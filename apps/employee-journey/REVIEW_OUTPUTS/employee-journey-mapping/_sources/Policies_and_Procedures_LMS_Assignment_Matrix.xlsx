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c01b4b7d4c94d4b" /></Relationships>
</file>

<file path=xl/workbook.xml><?xml version="1.0" encoding="utf-8"?>
<x:workbook xmlns:x="http://schemas.openxmlformats.org/spreadsheetml/2006/main">
  <x:sheets>
    <x:sheet xmlns:r="http://schemas.openxmlformats.org/officeDocument/2006/relationships" name="READ ME" sheetId="1" r:id="R3cb22992678b45f1"/>
    <x:sheet xmlns:r="http://schemas.openxmlformats.org/officeDocument/2006/relationships" name="Pathway Summary" sheetId="2" r:id="R181aee2aa1324e07"/>
    <x:sheet xmlns:r="http://schemas.openxmlformats.org/officeDocument/2006/relationships" name="Course Catalog" sheetId="3" r:id="Re343e13c73194cff"/>
    <x:sheet xmlns:r="http://schemas.openxmlformats.org/officeDocument/2006/relationships" name="Policy Assignments" sheetId="4" r:id="R8f7ddf5607564f81"/>
    <x:sheet xmlns:r="http://schemas.openxmlformats.org/officeDocument/2006/relationships" name="Role Policy Matrix" sheetId="5" r:id="Rf10c4e2f6c9c4dff"/>
    <x:sheet xmlns:r="http://schemas.openxmlformats.org/officeDocument/2006/relationships" name="All Policy Review" sheetId="6" r:id="R1e0c217082d648dd"/>
    <x:sheet xmlns:r="http://schemas.openxmlformats.org/officeDocument/2006/relationships" name="Release Blockers" sheetId="7" r:id="R7c0ecb6942764d26"/>
    <x:sheet xmlns:r="http://schemas.openxmlformats.org/officeDocument/2006/relationships" name="Sources &amp; Method" sheetId="8" r:id="R6d1c3450724546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20"/>
      <x:color rgb="FFFFFFFF"/>
      <x:name val="Georgia"/>
    </x:font>
    <x:font>
      <x:i/>
      <x:sz val="10"/>
      <x:color rgb="FF64748B"/>
      <x:name val="Aptos"/>
    </x:font>
    <x:font>
      <x:b/>
      <x:sz val="9"/>
      <x:color rgb="FF17324D"/>
      <x:name val="Aptos"/>
    </x:font>
    <x:font>
      <x:b/>
      <x:sz val="22"/>
      <x:color rgb="FF0F766E"/>
      <x:name val="Georgia"/>
    </x:font>
    <x:font>
      <x:b/>
      <x:sz val="10"/>
      <x:color rgb="FFC25A28"/>
      <x:name val="Aptos"/>
    </x:font>
    <x:font>
      <x:sz val="10"/>
      <x:color rgb="FF17324D"/>
      <x:name val="Aptos"/>
    </x:font>
    <x:font>
      <x:sz val="9"/>
      <x:color rgb="FFFFFFFF"/>
      <x:name val="Aptos"/>
    </x:font>
    <x:font>
      <x:b/>
      <x:sz val="10"/>
      <x:color rgb="FFFFFFFF"/>
      <x:name val="Aptos"/>
    </x:font>
    <x:font>
      <x:b/>
      <x:sz val="11"/>
      <x:color rgb="FFC25A28"/>
      <x:name val="Aptos"/>
    </x:font>
    <x:font>
      <x:sz val="9"/>
      <x:color rgb="FF17324D"/>
      <x:name val="Aptos"/>
    </x:font>
    <x:font>
      <x:i/>
      <x:sz val="9"/>
      <x:color rgb="FF17324D"/>
      <x:name val="Aptos"/>
    </x:font>
  </x:fonts>
  <x:fills count="9">
    <x:fill>
      <x:patternFill patternType="none"/>
    </x:fill>
    <x:fill>
      <x:patternFill patternType="gray125"/>
    </x:fill>
    <x:fill>
      <x:patternFill patternType="solid">
        <x:fgColor rgb="FF17324D"/>
      </x:patternFill>
    </x:fill>
    <x:fill>
      <x:patternFill patternType="solid">
        <x:fgColor rgb="FFF1F5F9"/>
      </x:patternFill>
    </x:fill>
    <x:fill>
      <x:patternFill patternType="solid">
        <x:fgColor rgb="FFCBD5E1"/>
      </x:patternFill>
    </x:fill>
    <x:fill>
      <x:patternFill patternType="solid">
        <x:fgColor rgb="FFFFFFFF"/>
      </x:patternFill>
    </x:fill>
    <x:fill>
      <x:patternFill patternType="solid">
        <x:fgColor rgb="FFFCE8DB"/>
      </x:patternFill>
    </x:fill>
    <x:fill>
      <x:patternFill patternType="solid">
        <x:fgColor rgb="FFF8FAFC"/>
      </x:patternFill>
    </x:fill>
    <x:fill>
      <x:patternFill patternType="solid">
        <x:fgColor rgb="FF0F766E"/>
      </x:patternFill>
    </x:fill>
  </x:fills>
  <x:borders count="12">
    <x:border/>
    <x:border>
      <x:left style="thin">
        <x:color rgb="FFE2E8F0"/>
      </x:left>
      <x:top style="thin">
        <x:color rgb="FFE2E8F0"/>
      </x:top>
    </x:border>
    <x:border>
      <x:right style="thin">
        <x:color rgb="FFE2E8F0"/>
      </x:right>
      <x:top style="thin">
        <x:color rgb="FFE2E8F0"/>
      </x:top>
    </x:border>
    <x:border>
      <x:left style="thin">
        <x:color rgb="FFE2E8F0"/>
      </x:left>
      <x:bottom style="thin">
        <x:color rgb="FFE2E8F0"/>
      </x:bottom>
    </x:border>
    <x:border>
      <x:right style="thin">
        <x:color rgb="FFE2E8F0"/>
      </x:right>
      <x:bottom style="thin">
        <x:color rgb="FFE2E8F0"/>
      </x:bottom>
    </x:border>
    <x:border>
      <x:top style="thin">
        <x:color rgb="FFE2E8F0"/>
      </x:top>
    </x:border>
    <x:border>
      <x:bottom style="thin">
        <x:color rgb="FFE2E8F0"/>
      </x:bottom>
    </x:border>
    <x:border>
      <x:left style="thin">
        <x:color rgb="FFE2E8F0"/>
      </x:left>
    </x:border>
    <x:border>
      <x:right style="thin">
        <x:color rgb="FFE2E8F0"/>
      </x:right>
    </x:border>
    <x:border>
      <x:left style="thin">
        <x:color rgb="FF0B5F59"/>
      </x:left>
      <x:top style="thin">
        <x:color rgb="FF0B5F59"/>
      </x:top>
      <x:bottom style="thin">
        <x:color rgb="FF0B5F59"/>
      </x:bottom>
    </x:border>
    <x:border>
      <x:top style="thin">
        <x:color rgb="FF0B5F59"/>
      </x:top>
      <x:bottom style="thin">
        <x:color rgb="FF0B5F59"/>
      </x:bottom>
    </x:border>
    <x:border>
      <x:right style="thin">
        <x:color rgb="FF0B5F59"/>
      </x:right>
      <x:top style="thin">
        <x:color rgb="FF0B5F59"/>
      </x:top>
      <x:bottom style="thin">
        <x:color rgb="FF0B5F59"/>
      </x:bottom>
    </x:border>
  </x:borders>
  <x:cellStyleXfs count="1">
    <x:xf numFmtId="0" fontId="0" fillId="0" borderId="0"/>
  </x:cellStyleXfs>
  <x:cellXfs count="1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6" fillId="7" borderId="5" xfId="0" applyNumberFormat="1" applyFont="1" applyFill="1" applyBorder="1"/>
    <x:xf numFmtId="0" fontId="6" fillId="7" borderId="2" xfId="0" applyNumberFormat="1" applyFont="1" applyFill="1" applyBorder="1"/>
    <x:xf numFmtId="0" fontId="6" fillId="7" borderId="3" xfId="0" applyNumberFormat="1" applyFont="1" applyFill="1" applyBorder="1"/>
    <x:xf numFmtId="0" fontId="6" fillId="7" borderId="6" xfId="0" applyNumberFormat="1" applyFont="1" applyFill="1" applyBorder="1"/>
    <x:xf numFmtId="0" fontId="6" fillId="7" borderId="4" xfId="0" applyNumberFormat="1" applyFont="1" applyFill="1" applyBorder="1"/>
    <x:xf numFmtId="0" fontId="6" fillId="7" borderId="1" xfId="0" applyNumberFormat="1" applyFont="1" applyFill="1" applyBorder="1" applyAlignment="1">
      <x:alignment wrapText="1"/>
    </x:xf>
    <x:xf numFmtId="0" fontId="6" fillId="7" borderId="5" xfId="0" applyNumberFormat="1" applyFont="1" applyFill="1" applyBorder="1" applyAlignment="1">
      <x:alignment wrapText="1"/>
    </x:xf>
    <x:xf numFmtId="0" fontId="6" fillId="7" borderId="2" xfId="0" applyNumberFormat="1" applyFont="1" applyFill="1" applyBorder="1" applyAlignment="1">
      <x:alignment wrapText="1"/>
    </x:xf>
    <x:xf numFmtId="0" fontId="6" fillId="7" borderId="3" xfId="0" applyNumberFormat="1" applyFont="1" applyFill="1" applyBorder="1" applyAlignment="1">
      <x:alignment wrapText="1"/>
    </x:xf>
    <x:xf numFmtId="0" fontId="6" fillId="7" borderId="6" xfId="0" applyNumberFormat="1" applyFont="1" applyFill="1" applyBorder="1" applyAlignment="1">
      <x:alignment wrapText="1"/>
    </x:xf>
    <x:xf numFmtId="0" fontId="6" fillId="7" borderId="4" xfId="0" applyNumberFormat="1" applyFont="1" applyFill="1" applyBorder="1" applyAlignment="1">
      <x:alignment wrapText="1"/>
    </x:xf>
    <x:xf numFmtId="0" fontId="6" fillId="7" borderId="1"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6" fillId="7" borderId="2" xfId="0" applyNumberFormat="1" applyFont="1" applyFill="1" applyBorder="1" applyAlignment="1">
      <x:alignment vertical="top" wrapText="1"/>
    </x:xf>
    <x:xf numFmtId="0" fontId="6" fillId="7" borderId="3" xfId="0" applyNumberFormat="1" applyFont="1" applyFill="1" applyBorder="1" applyAlignment="1">
      <x:alignment vertical="top" wrapText="1"/>
    </x:xf>
    <x:xf numFmtId="0" fontId="6" fillId="7" borderId="6"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6" fillId="7" borderId="7" xfId="0" applyNumberFormat="1" applyFont="1" applyFill="1" applyBorder="1"/>
    <x:xf numFmtId="0" fontId="6" fillId="7" borderId="8" xfId="0" applyNumberFormat="1" applyFont="1" applyFill="1" applyBorder="1"/>
    <x:xf numFmtId="0" fontId="6" fillId="7" borderId="7"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8" xfId="0" applyNumberFormat="1" applyFont="1" applyFill="1" applyBorder="1" applyAlignment="1">
      <x:alignment wrapText="1"/>
    </x:xf>
    <x:xf numFmtId="0" fontId="6" fillId="7" borderId="7"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8"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11" xfId="0" applyNumberFormat="1" applyFont="1" applyFill="1" applyBorder="1"/>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9" xfId="0" applyNumberFormat="1" applyFont="1" applyFill="1" applyBorder="1" applyAlignment="1">
      <x:alignment vertical="center" wrapText="1"/>
    </x:xf>
    <x:xf numFmtId="0" fontId="8" fillId="8" borderId="10" xfId="0" applyNumberFormat="1" applyFont="1" applyFill="1" applyBorder="1" applyAlignment="1">
      <x:alignment vertical="center" wrapText="1"/>
    </x:xf>
    <x:xf numFmtId="0" fontId="8" fillId="8" borderId="11" xfId="0" applyNumberFormat="1" applyFont="1" applyFill="1" applyBorder="1" applyAlignment="1">
      <x:alignment vertical="center" wrapText="1"/>
    </x:xf>
    <x:xf numFmtId="0" fontId="0" fillId="0"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9" fillId="6" borderId="0" xfId="0" applyNumberFormat="1" applyFont="1" applyFill="1" applyBorder="1"/>
    <x:xf numFmtId="0" fontId="9" fillId="6" borderId="0" xfId="0" applyNumberFormat="1" applyFont="1" applyFill="1" applyBorder="1" applyAlignment="1">
      <x:alignment wrapText="1"/>
    </x:xf>
    <x:xf numFmtId="0" fontId="3" fillId="2" borderId="0" xfId="0" applyNumberFormat="1" applyFont="1" applyFill="1" applyBorder="1" applyAlignment="1">
      <x:alignment vertical="center"/>
    </x:xf>
    <x:xf numFmtId="0" fontId="10" fillId="0" borderId="0" xfId="0" applyNumberFormat="1" applyFont="1" applyFill="1" applyBorder="1"/>
    <x:xf numFmtId="0" fontId="11" fillId="3" borderId="0" xfId="0" applyNumberFormat="1" applyFont="1" applyFill="1" applyBorder="1" applyAlignment="1">
      <x:alignment vertical="center" wrapText="1"/>
    </x:xf>
    <x:xf numFmtId="0" fontId="3" fillId="8" borderId="9" xfId="0" applyNumberFormat="1" applyFont="1" applyFill="1" applyBorder="1" applyAlignment="1">
      <x:alignment vertical="center" wrapText="1"/>
    </x:xf>
    <x:xf numFmtId="0" fontId="3" fillId="8" borderId="10" xfId="0" applyNumberFormat="1" applyFont="1" applyFill="1" applyBorder="1" applyAlignment="1">
      <x:alignment vertical="center" wrapText="1"/>
    </x:xf>
    <x:xf numFmtId="0" fontId="3" fillId="8" borderId="11" xfId="0" applyNumberFormat="1" applyFont="1" applyFill="1" applyBorder="1" applyAlignment="1">
      <x:alignment vertical="center" wrapText="1"/>
    </x:xf>
    <x:xf numFmtId="0" fontId="10" fillId="0" borderId="0" xfId="0" applyNumberFormat="1" applyFont="1" applyFill="1" applyBorder="1" applyAlignment="1">
      <x:alignment wrapText="1"/>
    </x:xf>
    <x:xf numFmtId="0" fontId="3" fillId="2" borderId="0" xfId="0" applyNumberFormat="1" applyFont="1" applyFill="1" applyBorder="1" applyAlignment="1">
      <x:alignment vertical="top"/>
    </x:xf>
    <x:xf numFmtId="0" fontId="10" fillId="0" borderId="0" xfId="0" applyNumberFormat="1" applyFont="1" applyFill="1" applyBorder="1" applyAlignment="1">
      <x:alignment vertical="top"/>
    </x:xf>
    <x:xf numFmtId="0" fontId="11" fillId="3" borderId="0" xfId="0" applyNumberFormat="1" applyFont="1" applyFill="1" applyBorder="1" applyAlignment="1">
      <x:alignment vertical="top" wrapText="1"/>
    </x:xf>
    <x:xf numFmtId="0" fontId="3" fillId="8" borderId="9" xfId="0" applyNumberFormat="1" applyFont="1" applyFill="1" applyBorder="1" applyAlignment="1">
      <x:alignment vertical="top" wrapText="1"/>
    </x:xf>
    <x:xf numFmtId="0" fontId="3" fillId="8" borderId="10" xfId="0" applyNumberFormat="1" applyFont="1" applyFill="1" applyBorder="1" applyAlignment="1">
      <x:alignment vertical="top" wrapText="1"/>
    </x:xf>
    <x:xf numFmtId="0" fontId="3" fillId="8" borderId="1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200" fontId="10" fillId="0" borderId="0" xfId="0" applyNumberFormat="1" applyFont="1" applyFill="1" applyBorder="1" applyAlignment="1">
      <x:alignment wrapText="1"/>
    </x:xf>
    <x:xf numFmtId="200" fontId="10" fillId="0" borderId="0" xfId="0" applyNumberFormat="1" applyFont="1" applyFill="1" applyBorder="1" applyAlignment="1">
      <x:alignment vertical="top" wrapText="1"/>
    </x:xf>
    <x:xf numFmtId="0" fontId="10" fillId="0" borderId="0" xfId="0" applyNumberFormat="1" applyFont="1" applyFill="1" applyBorder="1" applyAlignment="1">
      <x:alignment horizontal="center" wrapText="1"/>
    </x:xf>
    <x:xf numFmtId="0" fontId="10" fillId="0" borderId="0" xfId="0" applyNumberFormat="1" applyFont="1" applyFill="1" applyBorder="1" applyAlignment="1">
      <x:alignment horizontal="center" vertical="top" wrapText="1"/>
    </x:xf>
    <x:xf numFmtId="0" fontId="3" fillId="6" borderId="0" xfId="0" applyNumberFormat="1" applyFont="1" applyFill="1" applyBorder="1" applyAlignment="1">
      <x:alignment wrapText="1"/>
    </x:xf>
    <x:xf numFmtId="0" fontId="10" fillId="7" borderId="1" xfId="0" applyNumberFormat="1" applyFont="1" applyFill="1" applyBorder="1" applyAlignment="1">
      <x:alignment vertical="top" wrapText="1"/>
    </x:xf>
    <x:xf numFmtId="0" fontId="10" fillId="7" borderId="5" xfId="0" applyNumberFormat="1" applyFont="1" applyFill="1" applyBorder="1" applyAlignment="1">
      <x:alignment vertical="top" wrapText="1"/>
    </x:xf>
    <x:xf numFmtId="0" fontId="10" fillId="7" borderId="2" xfId="0" applyNumberFormat="1" applyFont="1" applyFill="1" applyBorder="1" applyAlignment="1">
      <x:alignment vertical="top" wrapText="1"/>
    </x:xf>
    <x:xf numFmtId="0" fontId="10" fillId="7" borderId="7"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0" fontId="10" fillId="7" borderId="8" xfId="0" applyNumberFormat="1" applyFont="1" applyFill="1" applyBorder="1" applyAlignment="1">
      <x:alignment vertical="top" wrapText="1"/>
    </x:xf>
    <x:xf numFmtId="0" fontId="10" fillId="7" borderId="3" xfId="0" applyNumberFormat="1" applyFont="1" applyFill="1" applyBorder="1" applyAlignment="1">
      <x:alignment vertical="top" wrapText="1"/>
    </x:xf>
    <x:xf numFmtId="0" fontId="10" fillId="7" borderId="6" xfId="0" applyNumberFormat="1" applyFont="1" applyFill="1" applyBorder="1" applyAlignment="1">
      <x:alignment vertical="top" wrapText="1"/>
    </x:xf>
    <x:xf numFmtId="0" fontId="10" fillId="7" borderId="4"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11" xfId="0" applyNumberFormat="1" applyFont="1" applyFill="1" applyBorder="1" applyAlignment="1">
      <x:alignment vertical="top" wrapText="1"/>
    </x:xf>
  </x:cellXfs>
  <x:cellStyles count="1">
    <x:cellStyle name="Normal" xfId="0"/>
  </x:cellStyles>
  <x:dxfs count="25">
    <x:dxf>
      <x:font>
        <x:b/>
        <x:color rgb="FF166534"/>
      </x:font>
      <x:fill>
        <x:patternFill patternType="solid">
          <x:bgColor rgb="FFDCFCE7"/>
        </x:patternFill>
      </x:fill>
    </x:dxf>
    <x:dxf>
      <x:font>
        <x:b/>
        <x:color rgb="FF991B1B"/>
      </x:font>
      <x:fill>
        <x:patternFill patternType="solid">
          <x:bgColor rgb="FFFEE2E2"/>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D4ED8"/>
      </x:font>
      <x:fill>
        <x:patternFill patternType="solid">
          <x:bgColor rgb="FFE8F1FA"/>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D4ED8"/>
      </x:font>
      <x:fill>
        <x:patternFill patternType="solid">
          <x:bgColor rgb="FFE8F1FA"/>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D4ED8"/>
      </x:font>
      <x:fill>
        <x:patternFill patternType="solid">
          <x:bgColor rgb="FFE8F1FA"/>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D4ED8"/>
      </x:font>
      <x:fill>
        <x:patternFill patternType="solid">
          <x:bgColor rgb="FFE8F1FA"/>
        </x:patternFill>
      </x:fill>
    </x:dxf>
    <x:dxf>
      <x:font>
        <x:b/>
        <x:color rgb="FF166534"/>
      </x:font>
      <x:fill>
        <x:patternFill patternType="solid">
          <x:bgColor rgb="FFDCFCE7"/>
        </x:patternFill>
      </x:fill>
    </x:dxf>
    <x:dxf>
      <x:font>
        <x:b/>
        <x:color rgb="FF17324D"/>
      </x:font>
      <x:fill>
        <x:patternFill patternType="solid">
          <x:bgColor rgb="FFDCEEF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D4ED8"/>
      </x:font>
      <x:fill>
        <x:patternFill patternType="solid">
          <x:bgColor rgb="FFE8F1FA"/>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b/>
        <x:color rgb="FF1D4ED8"/>
      </x:font>
      <x:fill>
        <x:patternFill patternType="solid">
          <x:bgColor rgb="FFE8F1F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b5ad3988f384540" /><Relationship Type="http://schemas.openxmlformats.org/officeDocument/2006/relationships/theme" Target="/xl/theme/theme1.xml" Id="R373499209ded4094" /><Relationship Type="http://schemas.openxmlformats.org/officeDocument/2006/relationships/sharedStrings" Target="/xl/sharedStrings.xml" Id="R80b935a1aa134531" /><Relationship Type="http://schemas.openxmlformats.org/officeDocument/2006/relationships/worksheet" Target="/xl/worksheets/sheet1.xml" Id="R3cb22992678b45f1" /><Relationship Type="http://schemas.openxmlformats.org/officeDocument/2006/relationships/worksheet" Target="/xl/worksheets/sheet2.xml" Id="R181aee2aa1324e07" /><Relationship Type="http://schemas.openxmlformats.org/officeDocument/2006/relationships/worksheet" Target="/xl/worksheets/sheet3.xml" Id="Re343e13c73194cff" /><Relationship Type="http://schemas.openxmlformats.org/officeDocument/2006/relationships/worksheet" Target="/xl/worksheets/sheet4.xml" Id="R8f7ddf5607564f81" /><Relationship Type="http://schemas.openxmlformats.org/officeDocument/2006/relationships/worksheet" Target="/xl/worksheets/sheet5.xml" Id="Rf10c4e2f6c9c4dff" /><Relationship Type="http://schemas.openxmlformats.org/officeDocument/2006/relationships/worksheet" Target="/xl/worksheets/sheet6.xml" Id="R1e0c217082d648dd" /><Relationship Type="http://schemas.openxmlformats.org/officeDocument/2006/relationships/worksheet" Target="/xl/worksheets/sheet7.xml" Id="R7c0ecb6942764d26" /><Relationship Type="http://schemas.openxmlformats.org/officeDocument/2006/relationships/worksheet" Target="/xl/worksheets/sheet8.xml" Id="R6d1c34507245469f" /></Relationships>
</file>

<file path=xl/tables/table1.xml><?xml version="1.0" encoding="utf-8"?>
<x:table xmlns:x="http://schemas.openxmlformats.org/spreadsheetml/2006/main" id="1" name="PathwaySummaryTable" displayName="PathwaySummaryTable" ref="A4:K17" headerRowCount="1" totalsRowCount="0" totalsRowShown="0">
  <x:autoFilter ref="A4:K17"/>
  <x:tableColumns count="11">
    <x:tableColumn id="1" name="Pathway"/>
    <x:tableColumn id="2" name="Type"/>
    <x:tableColumn id="3" name="General inherited"/>
    <x:tableColumn id="4" name="Role-specific"/>
    <x:tableColumn id="5" name="Recommended total"/>
    <x:tableColumn id="6" name="Courses with hold"/>
    <x:tableColumn id="7" name="Deployable now"/>
    <x:tableColumn id="8" name="Preview target"/>
    <x:tableColumn id="9" name="Variance"/>
    <x:tableColumn id="10" name="Policy assignment rows"/>
    <x:tableColumn id="11" name="Notes"/>
  </x:tableColumns>
  <x:tableStyleInfo name="TableStyleMedium2" showFirstColumn="0" showLastColumn="0" showRowStripes="1" showColumnStripes="0"/>
</x:table>
</file>

<file path=xl/tables/table2.xml><?xml version="1.0" encoding="utf-8"?>
<x:table xmlns:x="http://schemas.openxmlformats.org/spreadsheetml/2006/main" id="2" name="CourseCatalogTable" displayName="CourseCatalogTable" ref="A4:N72" headerRowCount="1" totalsRowCount="0" totalsRowShown="0">
  <x:autoFilter ref="A4:N72"/>
  <x:tableColumns count="14">
    <x:tableColumn id="1" name="Course ID"/>
    <x:tableColumn id="2" name="Pathway"/>
    <x:tableColumn id="3" name="Course title"/>
    <x:tableColumn id="4" name="Assignment mode"/>
    <x:tableColumn id="5" name="Trigger"/>
    <x:tableColumn id="6" name="Initial due"/>
    <x:tableColumn id="7" name="Recurrence"/>
    <x:tableColumn id="8" name="Pass score"/>
    <x:tableColumn id="9" name="Additional validation"/>
    <x:tableColumn id="10" name="Policy rows"/>
    <x:tableColumn id="11" name="Source status"/>
    <x:tableColumn id="12" name="Release status"/>
    <x:tableColumn id="13" name="Owner approval"/>
    <x:tableColumn id="14" name="Implementation notes"/>
  </x:tableColumns>
  <x:tableStyleInfo name="TableStyleMedium2" showFirstColumn="0" showLastColumn="0" showRowStripes="1" showColumnStripes="0"/>
</x:table>
</file>

<file path=xl/tables/table3.xml><?xml version="1.0" encoding="utf-8"?>
<x:table xmlns:x="http://schemas.openxmlformats.org/spreadsheetml/2006/main" id="3" name="PolicyAssignmentsTable" displayName="PolicyAssignmentsTable" ref="A4:P868" headerRowCount="1" totalsRowCount="0" totalsRowShown="0">
  <x:autoFilter ref="A4:P868"/>
  <x:tableColumns count="16">
    <x:tableColumn id="1" name="Course ID"/>
    <x:tableColumn id="2" name="Pathway"/>
    <x:tableColumn id="3" name="Policy ID"/>
    <x:tableColumn id="4" name="Policy title"/>
    <x:tableColumn id="5" name="Assignment type"/>
    <x:tableColumn id="6" name="Read full policy"/>
    <x:tableColumn id="7" name="Scored quiz"/>
    <x:tableColumn id="8" name="Quiz bundle"/>
    <x:tableColumn id="9" name="Assessment add-on"/>
    <x:tableColumn id="10" name="Initial due"/>
    <x:tableColumn id="11" name="Recurrence"/>
    <x:tableColumn id="12" name="Release status"/>
    <x:tableColumn id="13" name="Scope rationale"/>
    <x:tableColumn id="14" name="Internal source"/>
    <x:tableColumn id="15" name="External authority URL"/>
    <x:tableColumn id="16" name="Source notes"/>
  </x:tableColumns>
  <x:tableStyleInfo name="TableStyleMedium2" showFirstColumn="0" showLastColumn="0" showRowStripes="1" showColumnStripes="0"/>
</x:table>
</file>

<file path=xl/tables/table4.xml><?xml version="1.0" encoding="utf-8"?>
<x:table xmlns:x="http://schemas.openxmlformats.org/spreadsheetml/2006/main" id="4" name="RolePolicyMatrixTable" displayName="RolePolicyMatrixTable" ref="A4:P221" headerRowCount="1" totalsRowCount="0" totalsRowShown="0">
  <x:autoFilter ref="A4:P221"/>
  <x:tableColumns count="16">
    <x:tableColumn id="1" name="Policy ID"/>
    <x:tableColumn id="2" name="Policy title"/>
    <x:tableColumn id="3" name="General"/>
    <x:tableColumn id="4" name="LVN"/>
    <x:tableColumn id="5" name="RN"/>
    <x:tableColumn id="6" name="HHA"/>
    <x:tableColumn id="7" name="PT"/>
    <x:tableColumn id="8" name="PTA"/>
    <x:tableColumn id="9" name="OT"/>
    <x:tableColumn id="10" name="COTA"/>
    <x:tableColumn id="11" name="SLP"/>
    <x:tableColumn id="12" name="MSW"/>
    <x:tableColumn id="13" name="ADM"/>
    <x:tableColumn id="14" name="DON"/>
    <x:tableColumn id="15" name="GB"/>
    <x:tableColumn id="16" name="Source / status note"/>
  </x:tableColumns>
  <x:tableStyleInfo name="TableStyleMedium2" showFirstColumn="0" showLastColumn="0" showRowStripes="1" showColumnStripes="0"/>
</x:table>
</file>

<file path=xl/tables/table5.xml><?xml version="1.0" encoding="utf-8"?>
<x:table xmlns:x="http://schemas.openxmlformats.org/spreadsheetml/2006/main" id="5" name="AllPolicyReviewTable" displayName="AllPolicyReviewTable" ref="A4:M276" headerRowCount="1" totalsRowCount="0" totalsRowShown="0">
  <x:autoFilter ref="A4:M276"/>
  <x:tableColumns count="13">
    <x:tableColumn id="1" name="Policy ID"/>
    <x:tableColumn id="2" name="Policy title"/>
    <x:tableColumn id="3" name="Classification"/>
    <x:tableColumn id="4" name="Status"/>
    <x:tableColumn id="5" name="Owner"/>
    <x:tableColumn id="6" name="Scope excerpt"/>
    <x:tableColumn id="7" name="LMS decision"/>
    <x:tableColumn id="8" name="Assigned pathways"/>
    <x:tableColumn id="9" name="Quiz bundle IDs"/>
    <x:tableColumn id="10" name="Decision rationale"/>
    <x:tableColumn id="11" name="Source quality"/>
    <x:tableColumn id="12" name="Internal source"/>
    <x:tableColumn id="13" name="External authority URL"/>
  </x:tableColumns>
  <x:tableStyleInfo name="TableStyleMedium2" showFirstColumn="0" showLastColumn="0" showRowStripes="1" showColumnStripes="0"/>
</x:table>
</file>

<file path=xl/tables/table6.xml><?xml version="1.0" encoding="utf-8"?>
<x:table xmlns:x="http://schemas.openxmlformats.org/spreadsheetml/2006/main" id="6" name="ReleaseBlockersTable" displayName="ReleaseBlockersTable" ref="A4:H13" headerRowCount="1" totalsRowCount="0" totalsRowShown="0">
  <x:autoFilter ref="A4:H13"/>
  <x:tableColumns count="8">
    <x:tableColumn id="1" name="Severity"/>
    <x:tableColumn id="2" name="Issue"/>
    <x:tableColumn id="3" name="Evidence"/>
    <x:tableColumn id="4" name="Affected courses"/>
    <x:tableColumn id="5" name="Required action"/>
    <x:tableColumn id="6" name="Owner"/>
    <x:tableColumn id="7" name="Release acceptance"/>
    <x:tableColumn id="8" name="Authority / source"/>
  </x:tableColumns>
  <x:tableStyleInfo name="TableStyleMedium2" showFirstColumn="0" showLastColumn="0" showRowStripes="1" showColumnStripes="0"/>
</x:table>
</file>

<file path=xl/tables/table7.xml><?xml version="1.0" encoding="utf-8"?>
<x:table xmlns:x="http://schemas.openxmlformats.org/spreadsheetml/2006/main" id="7" name="SourcesMethodTable" displayName="SourcesMethodTable" ref="A4:D17" headerRowCount="1" totalsRowCount="0" totalsRowShown="0">
  <x:autoFilter ref="A4:D17"/>
  <x:tableColumns count="4">
    <x:tableColumn id="1" name="Source type"/>
    <x:tableColumn id="2" name="Topic"/>
    <x:tableColumn id="3" name="Source / URL"/>
    <x:tableColumn id="4" name="How it was us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9f35c9a7b804b55" /></Relationships>
</file>

<file path=xl/worksheets/_rels/sheet3.xml.rels>&#65279;<?xml version="1.0" encoding="utf-8"?><Relationships xmlns="http://schemas.openxmlformats.org/package/2006/relationships"><Relationship Type="http://schemas.openxmlformats.org/officeDocument/2006/relationships/table" Target="/xl/tables/table2.xml" Id="R539ccdf023834030" /></Relationships>
</file>

<file path=xl/worksheets/_rels/sheet4.xml.rels>&#65279;<?xml version="1.0" encoding="utf-8"?><Relationships xmlns="http://schemas.openxmlformats.org/package/2006/relationships"><Relationship Type="http://schemas.openxmlformats.org/officeDocument/2006/relationships/table" Target="/xl/tables/table3.xml" Id="R129f7b18861647d8" /></Relationships>
</file>

<file path=xl/worksheets/_rels/sheet5.xml.rels>&#65279;<?xml version="1.0" encoding="utf-8"?><Relationships xmlns="http://schemas.openxmlformats.org/package/2006/relationships"><Relationship Type="http://schemas.openxmlformats.org/officeDocument/2006/relationships/table" Target="/xl/tables/table4.xml" Id="R3536b28e5c9448e4" /></Relationships>
</file>

<file path=xl/worksheets/_rels/sheet6.xml.rels>&#65279;<?xml version="1.0" encoding="utf-8"?><Relationships xmlns="http://schemas.openxmlformats.org/package/2006/relationships"><Relationship Type="http://schemas.openxmlformats.org/officeDocument/2006/relationships/table" Target="/xl/tables/table5.xml" Id="R0071d7fea76a44db" /></Relationships>
</file>

<file path=xl/worksheets/_rels/sheet7.xml.rels>&#65279;<?xml version="1.0" encoding="utf-8"?><Relationships xmlns="http://schemas.openxmlformats.org/package/2006/relationships"><Relationship Type="http://schemas.openxmlformats.org/officeDocument/2006/relationships/table" Target="/xl/tables/table6.xml" Id="R60961e5846584724" /></Relationships>
</file>

<file path=xl/worksheets/_rels/sheet8.xml.rels>&#65279;<?xml version="1.0" encoding="utf-8"?><Relationships xmlns="http://schemas.openxmlformats.org/package/2006/relationships"><Relationship Type="http://schemas.openxmlformats.org/officeDocument/2006/relationships/table" Target="/xl/tables/table7.xml" Id="Rd6ef41a20994439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Policies &amp; Procedures LMS Assignment Blueprint</x:v>
      </x:c>
    </x:row>
    <x:row r="2" ht="30" customHeight="1">
      <x:c r="A2" s="7" t="str">
        <x:v>Decision-ready map for one General pathway plus the 12 requested roles • review date 2026-07-20</x:v>
      </x:c>
    </x:row>
    <x:row r="4">
      <x:c r="A4" s="10" t="str">
        <x:v>POLICY BODIES REVIEWED</x:v>
      </x:c>
      <x:c r="B4" s="10"/>
      <x:c r="C4" s="10" t="str">
        <x:v>PATHWAYS</x:v>
      </x:c>
      <x:c r="D4" s="10"/>
      <x:c r="E4" s="10" t="str">
        <x:v>UNIQUE QUIZ BUNDLES</x:v>
      </x:c>
      <x:c r="F4" s="10"/>
      <x:c r="G4" s="10" t="str">
        <x:v>COURSES WITH A HOLD</x:v>
      </x:c>
      <x:c r="H4" s="10"/>
    </x:row>
    <x:row r="5">
      <x:c r="A5" s="21" t="n">
        <x:f>COUNTA('All Policy Review'!A5:A276)</x:f>
        <x:v>272</x:v>
      </x:c>
      <x:c r="B5" s="22"/>
      <x:c r="C5" s="21" t="n">
        <x:f>COUNTA('Pathway Summary'!A5:A17)</x:f>
        <x:v>13</x:v>
      </x:c>
      <x:c r="D5" s="22"/>
      <x:c r="E5" s="21" t="n">
        <x:f>COUNTA('Course Catalog'!A5:A72)</x:f>
        <x:v>68</x:v>
      </x:c>
      <x:c r="F5" s="22"/>
      <x:c r="G5" s="21" t="n">
        <x:f>COUNTIF('Course Catalog'!L5:L72,"Hold")+COUNTIF('Course Catalog'!L5:L72,"Partial hold")</x:f>
        <x:v>17</x:v>
      </x:c>
      <x:c r="H5" s="22"/>
    </x:row>
    <x:row r="6">
      <x:c r="A6" s="23"/>
      <x:c r="B6" s="24"/>
      <x:c r="C6" s="23"/>
      <x:c r="D6" s="24"/>
      <x:c r="E6" s="23"/>
      <x:c r="F6" s="24"/>
      <x:c r="G6" s="23"/>
      <x:c r="H6" s="24"/>
    </x:row>
    <x:row r="8">
      <x:c r="A8" s="27" t="str">
        <x:v>ASSIGNMENT DECISION</x:v>
      </x:c>
      <x:c r="B8" s="27"/>
      <x:c r="C8" s="27"/>
      <x:c r="D8" s="27"/>
      <x:c r="E8" s="27"/>
      <x:c r="F8" s="27"/>
      <x:c r="G8" s="27"/>
      <x:c r="H8" s="27"/>
    </x:row>
    <x:row r="9">
      <x:c r="A9" s="42" t="str">
        <x:v>Assign the eight General courses to every employee pathway (LVN through DON), then add the role-specific courses. Governing Body members use their 13-course standalone track and do not automatically inherit employee-only HR/Cal-OSHA content.</x:v>
      </x:c>
      <x:c r="B9" s="43"/>
      <x:c r="C9" s="43"/>
      <x:c r="D9" s="43"/>
      <x:c r="E9" s="43"/>
      <x:c r="F9" s="43"/>
      <x:c r="G9" s="43"/>
      <x:c r="H9" s="44"/>
    </x:row>
    <x:row r="10">
      <x:c r="A10" s="45"/>
      <x:c r="B10" s="46"/>
      <x:c r="C10" s="46"/>
      <x:c r="D10" s="46"/>
      <x:c r="E10" s="46"/>
      <x:c r="F10" s="46"/>
      <x:c r="G10" s="46"/>
      <x:c r="H10" s="47"/>
    </x:row>
    <x:row r="12">
      <x:c r="A12" s="27" t="str">
        <x:v>READ + QUIZ MODEL</x:v>
      </x:c>
      <x:c r="B12" s="27"/>
      <x:c r="C12" s="27"/>
      <x:c r="D12" s="27"/>
      <x:c r="E12" s="27"/>
      <x:c r="F12" s="27"/>
      <x:c r="G12" s="27"/>
      <x:c r="H12" s="27"/>
    </x:row>
    <x:row r="13">
      <x:c r="A13" s="42" t="str">
        <x:v>Every policy listed in Policy Assignments is read and tested through its course-level quiz. One quiz may cover multiple related policies. Default pass score is 80%; OASIS is 85%. A quiz never substitutes for required observation, return demonstration, coding exercise, drill, interactive Q&amp;A, or supervised practice.</x:v>
      </x:c>
      <x:c r="B13" s="43"/>
      <x:c r="C13" s="43"/>
      <x:c r="D13" s="43"/>
      <x:c r="E13" s="43"/>
      <x:c r="F13" s="43"/>
      <x:c r="G13" s="43"/>
      <x:c r="H13" s="44"/>
    </x:row>
    <x:row r="14">
      <x:c r="A14" s="53"/>
      <x:c r="B14" s="54"/>
      <x:c r="C14" s="54"/>
      <x:c r="D14" s="54"/>
      <x:c r="E14" s="54"/>
      <x:c r="F14" s="54"/>
      <x:c r="G14" s="54"/>
      <x:c r="H14" s="55"/>
    </x:row>
    <x:row r="15">
      <x:c r="A15" s="45"/>
      <x:c r="B15" s="46"/>
      <x:c r="C15" s="46"/>
      <x:c r="D15" s="46"/>
      <x:c r="E15" s="46"/>
      <x:c r="F15" s="46"/>
      <x:c r="G15" s="46"/>
      <x:c r="H15" s="47"/>
    </x:row>
    <x:row r="17">
      <x:c r="A17" s="27" t="str">
        <x:v>WHAT WAS EXCLUDED</x:v>
      </x:c>
      <x:c r="B17" s="27"/>
      <x:c r="C17" s="27"/>
      <x:c r="D17" s="27"/>
      <x:c r="E17" s="27"/>
      <x:c r="F17" s="27"/>
      <x:c r="G17" s="27"/>
      <x:c r="H17" s="27"/>
    </x:row>
    <x:row r="18">
      <x:c r="A18" s="42" t="str">
        <x:v>A policy was not made a separate scored assignment when it was an owner-only procedure, a billing/IT/HR function outside the selected pathways, a duplicate/consolidated source, or acknowledgment/reference material without a defensible need for a quiz. Exclusion from the LMS quiz map does not remove operational access or other acknowledgment duties.</x:v>
      </x:c>
      <x:c r="B18" s="43"/>
      <x:c r="C18" s="43"/>
      <x:c r="D18" s="43"/>
      <x:c r="E18" s="43"/>
      <x:c r="F18" s="43"/>
      <x:c r="G18" s="43"/>
      <x:c r="H18" s="44"/>
    </x:row>
    <x:row r="19">
      <x:c r="A19" s="53"/>
      <x:c r="B19" s="54"/>
      <x:c r="C19" s="54"/>
      <x:c r="D19" s="54"/>
      <x:c r="E19" s="54"/>
      <x:c r="F19" s="54"/>
      <x:c r="G19" s="54"/>
      <x:c r="H19" s="55"/>
    </x:row>
    <x:row r="20">
      <x:c r="A20" s="45"/>
      <x:c r="B20" s="46"/>
      <x:c r="C20" s="46"/>
      <x:c r="D20" s="46"/>
      <x:c r="E20" s="46"/>
      <x:c r="F20" s="46"/>
      <x:c r="G20" s="46"/>
      <x:c r="H20" s="47"/>
    </x:row>
    <x:row r="22">
      <x:c r="A22" s="27" t="str">
        <x:v>RELEASE GATE</x:v>
      </x:c>
      <x:c r="B22" s="27"/>
      <x:c r="C22" s="27"/>
      <x:c r="D22" s="27"/>
      <x:c r="E22" s="27"/>
      <x:c r="F22" s="27"/>
      <x:c r="G22" s="27"/>
      <x:c r="H22" s="27"/>
    </x:row>
    <x:row r="23">
      <x:c r="A23" s="42" t="str">
        <x:v>Do not publish any red/hold component until the policy owner resolves the source defect. The critical blockers are missing job-description bodies, the OASIS authority/canonical-source conflict, the incorrect California harassment statement, and GV-GB-001 missing from the generated library. Use Release Blockers as the owner checklist.</x:v>
      </x:c>
      <x:c r="B23" s="43"/>
      <x:c r="C23" s="43"/>
      <x:c r="D23" s="43"/>
      <x:c r="E23" s="43"/>
      <x:c r="F23" s="43"/>
      <x:c r="G23" s="43"/>
      <x:c r="H23" s="44"/>
    </x:row>
    <x:row r="24">
      <x:c r="A24" s="53"/>
      <x:c r="B24" s="54"/>
      <x:c r="C24" s="54"/>
      <x:c r="D24" s="54"/>
      <x:c r="E24" s="54"/>
      <x:c r="F24" s="54"/>
      <x:c r="G24" s="54"/>
      <x:c r="H24" s="55"/>
    </x:row>
    <x:row r="25">
      <x:c r="A25" s="53"/>
      <x:c r="B25" s="54"/>
      <x:c r="C25" s="54"/>
      <x:c r="D25" s="54"/>
      <x:c r="E25" s="54"/>
      <x:c r="F25" s="54"/>
      <x:c r="G25" s="54"/>
      <x:c r="H25" s="55"/>
    </x:row>
    <x:row r="26">
      <x:c r="A26" s="45"/>
      <x:c r="B26" s="46"/>
      <x:c r="C26" s="46"/>
      <x:c r="D26" s="46"/>
      <x:c r="E26" s="46"/>
      <x:c r="F26" s="46"/>
      <x:c r="G26" s="46"/>
      <x:c r="H26" s="47"/>
    </x:row>
    <x:row r="28">
      <x:c r="A28" s="27" t="str">
        <x:v>TIMING RULE TO IMPLEMENT</x:v>
      </x:c>
      <x:c r="B28" s="27"/>
      <x:c r="C28" s="27"/>
      <x:c r="D28" s="27"/>
      <x:c r="E28" s="27"/>
      <x:c r="F28" s="27"/>
      <x:c r="G28" s="27"/>
      <x:c r="H28" s="27"/>
    </x:row>
    <x:row r="29">
      <x:c r="A29" s="42" t="str">
        <x:v>Recommended reconciliation: General orientation by day 5; all initial read/quiz assignments by day 14; role competency by day 30 and always before independent duty, first exposure, or specialty assignment. Annual/biennial rules and triggered refreshers remain course-specific.</x:v>
      </x:c>
      <x:c r="B29" s="43"/>
      <x:c r="C29" s="43"/>
      <x:c r="D29" s="43"/>
      <x:c r="E29" s="43"/>
      <x:c r="F29" s="43"/>
      <x:c r="G29" s="43"/>
      <x:c r="H29" s="44"/>
    </x:row>
    <x:row r="30">
      <x:c r="A30" s="53"/>
      <x:c r="B30" s="54"/>
      <x:c r="C30" s="54"/>
      <x:c r="D30" s="54"/>
      <x:c r="E30" s="54"/>
      <x:c r="F30" s="54"/>
      <x:c r="G30" s="54"/>
      <x:c r="H30" s="55"/>
    </x:row>
    <x:row r="31">
      <x:c r="A31" s="45"/>
      <x:c r="B31" s="46"/>
      <x:c r="C31" s="46"/>
      <x:c r="D31" s="46"/>
      <x:c r="E31" s="46"/>
      <x:c r="F31" s="46"/>
      <x:c r="G31" s="46"/>
      <x:c r="H31" s="47"/>
    </x:row>
    <x:row r="33">
      <x:c r="A33" s="58" t="str">
        <x:v>Legend: green = ready • blue = conditional/triggered • yellow = partial hold • red = hold. This is an LMS assignment recommendation and source-integrity review; final legal/clinical policy approval remains with the named owners.</x:v>
      </x:c>
      <x:c r="B33" s="58"/>
      <x:c r="C33" s="58"/>
      <x:c r="D33" s="58"/>
      <x:c r="E33" s="58"/>
      <x:c r="F33" s="58"/>
      <x:c r="G33" s="58"/>
      <x:c r="H33" s="58"/>
    </x:row>
    <x:row r="34">
      <x:c r="A34" s="58"/>
      <x:c r="B34" s="58"/>
      <x:c r="C34" s="58"/>
      <x:c r="D34" s="58"/>
      <x:c r="E34" s="58"/>
      <x:c r="F34" s="58"/>
      <x:c r="G34" s="58"/>
      <x:c r="H34" s="58"/>
    </x:row>
  </x:sheetData>
  <x:mergeCells>
    <x:mergeCell ref="A1:H1"/>
    <x:mergeCell ref="A2:H2"/>
    <x:mergeCell ref="A4:B4"/>
    <x:mergeCell ref="C4:D4"/>
    <x:mergeCell ref="E4:F4"/>
    <x:mergeCell ref="G4:H4"/>
    <x:mergeCell ref="A5:B6"/>
    <x:mergeCell ref="C5:D6"/>
    <x:mergeCell ref="E5:F6"/>
    <x:mergeCell ref="G5:H6"/>
    <x:mergeCell ref="A8:H8"/>
    <x:mergeCell ref="A9:H10"/>
    <x:mergeCell ref="A12:H12"/>
    <x:mergeCell ref="A13:H15"/>
    <x:mergeCell ref="A17:H17"/>
    <x:mergeCell ref="A18:H20"/>
    <x:mergeCell ref="A22:H22"/>
    <x:mergeCell ref="A23:H26"/>
    <x:mergeCell ref="A28:H28"/>
    <x:mergeCell ref="A29:H31"/>
    <x:mergeCell ref="A33:H3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6" hidden="0" customWidth="1"/>
    <x:col min="3" max="3" width="14" hidden="0" customWidth="1"/>
    <x:col min="4" max="4" width="13" hidden="0" customWidth="1"/>
    <x:col min="5" max="5" width="15" hidden="0" customWidth="1"/>
    <x:col min="6" max="6" width="15" hidden="0" customWidth="1"/>
    <x:col min="7" max="7" width="14" hidden="0" customWidth="1"/>
    <x:col min="8" max="8" width="13" hidden="0" customWidth="1"/>
    <x:col min="9" max="9" width="10" hidden="0" customWidth="1"/>
    <x:col min="10" max="10" width="17" hidden="0" customWidth="1"/>
    <x:col min="11" max="11" width="32" hidden="0" customWidth="1"/>
  </x:cols>
  <x:sheetData>
    <x:row r="1" ht="34" customHeight="1">
      <x:c r="A1" s="3" t="str">
        <x:v>Pathway Summary</x:v>
      </x:c>
      <x:c r="B1" s="85"/>
      <x:c r="C1" s="85"/>
      <x:c r="D1" s="85"/>
      <x:c r="E1" s="85"/>
      <x:c r="F1" s="85"/>
      <x:c r="G1" s="85"/>
      <x:c r="H1" s="85"/>
      <x:c r="I1" s="85"/>
      <x:c r="J1" s="85"/>
      <x:c r="K1" s="85"/>
    </x:row>
    <x:row r="2" ht="30" customHeight="1">
      <x:c r="A2" s="7" t="str">
        <x:v>Employee pathways inherit the eight General courses; totals reconcile to the preview counts.</x:v>
      </x:c>
      <x:c r="B2" s="85"/>
      <x:c r="C2" s="85"/>
      <x:c r="D2" s="85"/>
      <x:c r="E2" s="85"/>
      <x:c r="F2" s="85"/>
      <x:c r="G2" s="85"/>
      <x:c r="H2" s="85"/>
      <x:c r="I2" s="85"/>
      <x:c r="J2" s="85"/>
      <x:c r="K2" s="85"/>
    </x:row>
    <x:row r="3">
      <x:c r="A3" s="85"/>
      <x:c r="B3" s="85"/>
      <x:c r="C3" s="85"/>
      <x:c r="D3" s="85"/>
      <x:c r="E3" s="85"/>
      <x:c r="F3" s="85"/>
      <x:c r="G3" s="85"/>
      <x:c r="H3" s="85"/>
      <x:c r="I3" s="85"/>
      <x:c r="J3" s="85"/>
      <x:c r="K3" s="85"/>
    </x:row>
    <x:row r="4" ht="32" customHeight="1">
      <x:c r="A4" s="67" t="str">
        <x:v>Pathway</x:v>
      </x:c>
      <x:c r="B4" s="68" t="str">
        <x:v>Type</x:v>
      </x:c>
      <x:c r="C4" s="68" t="str">
        <x:v>General inherited</x:v>
      </x:c>
      <x:c r="D4" s="68" t="str">
        <x:v>Role-specific</x:v>
      </x:c>
      <x:c r="E4" s="68" t="str">
        <x:v>Recommended total</x:v>
      </x:c>
      <x:c r="F4" s="68" t="str">
        <x:v>Courses with hold</x:v>
      </x:c>
      <x:c r="G4" s="68" t="str">
        <x:v>Deployable now</x:v>
      </x:c>
      <x:c r="H4" s="68" t="str">
        <x:v>Preview target</x:v>
      </x:c>
      <x:c r="I4" s="68" t="str">
        <x:v>Variance</x:v>
      </x:c>
      <x:c r="J4" s="68" t="str">
        <x:v>Policy assignment rows</x:v>
      </x:c>
      <x:c r="K4" s="69" t="str">
        <x:v>Notes</x:v>
      </x:c>
    </x:row>
    <x:row r="5" ht="24" customHeight="1">
      <x:c r="A5" s="90" t="str">
        <x:v>General</x:v>
      </x:c>
      <x:c r="B5" s="90" t="str">
        <x:v>Base</x:v>
      </x:c>
      <x:c r="C5" s="90" t="n">
        <x:f>IF(B5="Employee",COUNTIF('Course Catalog'!$B$5:$B$72,"General"),0)</x:f>
        <x:v>0</x:v>
      </x:c>
      <x:c r="D5" s="90" t="n">
        <x:f>COUNTIF('Course Catalog'!$B$5:$B$72,A5)</x:f>
        <x:v>8</x:v>
      </x:c>
      <x:c r="E5" s="90" t="n">
        <x:f>C5+D5</x:f>
        <x:v>8</x:v>
      </x:c>
      <x:c r="F5" s="90" t="n">
        <x:f>0+COUNTIFS('Course Catalog'!$B$5:$B$72,A5,'Course Catalog'!$L$5:$L$72,"Hold")+COUNTIFS('Course Catalog'!$B$5:$B$72,A5,'Course Catalog'!$L$5:$L$72,"Partial hold")</x:f>
        <x:v>1</x:v>
      </x:c>
      <x:c r="G5" s="90" t="n">
        <x:f>E5-F5</x:f>
        <x:v>7</x:v>
      </x:c>
      <x:c r="H5" s="90" t="n">
        <x:v>8</x:v>
      </x:c>
      <x:c r="I5" s="90" t="n">
        <x:f>E5-H5</x:f>
        <x:v>0</x:v>
      </x:c>
      <x:c r="J5" s="90" t="n">
        <x:f>0+COUNTIF('Policy Assignments'!$B$5:$B$868,A5)</x:f>
        <x:v>47</x:v>
      </x:c>
      <x:c r="K5" s="90" t="str">
        <x:v>Inherited by LVN–DON; not by GB.</x:v>
      </x:c>
    </x:row>
    <x:row r="6" ht="24" customHeight="1">
      <x:c r="A6" s="90" t="str">
        <x:v>LVN</x:v>
      </x:c>
      <x:c r="B6" s="90" t="str">
        <x:v>Employee</x:v>
      </x:c>
      <x:c r="C6" s="90" t="n">
        <x:f>IF(B6="Employee",COUNTIF('Course Catalog'!$B$5:$B$72,"General"),0)</x:f>
        <x:v>8</x:v>
      </x:c>
      <x:c r="D6" s="90" t="n">
        <x:f>COUNTIF('Course Catalog'!$B$5:$B$72,A6)</x:f>
        <x:v>5</x:v>
      </x:c>
      <x:c r="E6" s="90" t="n">
        <x:f>C6+D6</x:f>
        <x:v>13</x:v>
      </x:c>
      <x:c r="F6" s="90" t="n">
        <x:f>COUNTIFS('Course Catalog'!$B$5:$B$72,"General",'Course Catalog'!$L$5:$L$72,"Hold")+COUNTIFS('Course Catalog'!$B$5:$B$72,"General",'Course Catalog'!$L$5:$L$72,"Partial hold")+COUNTIFS('Course Catalog'!$B$5:$B$72,A6,'Course Catalog'!$L$5:$L$72,"Hold")+COUNTIFS('Course Catalog'!$B$5:$B$72,A6,'Course Catalog'!$L$5:$L$72,"Partial hold")</x:f>
        <x:v>2</x:v>
      </x:c>
      <x:c r="G6" s="90" t="n">
        <x:f>E6-F6</x:f>
        <x:v>11</x:v>
      </x:c>
      <x:c r="H6" s="90" t="n">
        <x:v>13</x:v>
      </x:c>
      <x:c r="I6" s="90" t="n">
        <x:f>E6-H6</x:f>
        <x:v>0</x:v>
      </x:c>
      <x:c r="J6" s="90" t="n">
        <x:f>COUNTIF('Policy Assignments'!$B$5:$B$868,"General")+COUNTIF('Policy Assignments'!$B$5:$B$868,A6)</x:f>
        <x:v>103</x:v>
      </x:c>
      <x:c r="K6" s="90" t="str">
        <x:v>Full name: Licensed Vocational Nurse</x:v>
      </x:c>
    </x:row>
    <x:row r="7" ht="24" customHeight="1">
      <x:c r="A7" s="90" t="str">
        <x:v>RN</x:v>
      </x:c>
      <x:c r="B7" s="90" t="str">
        <x:v>Employee</x:v>
      </x:c>
      <x:c r="C7" s="90" t="n">
        <x:f>IF(B7="Employee",COUNTIF('Course Catalog'!$B$5:$B$72,"General"),0)</x:f>
        <x:v>8</x:v>
      </x:c>
      <x:c r="D7" s="90" t="n">
        <x:f>COUNTIF('Course Catalog'!$B$5:$B$72,A7)</x:f>
        <x:v>8</x:v>
      </x:c>
      <x:c r="E7" s="90" t="n">
        <x:f>C7+D7</x:f>
        <x:v>16</x:v>
      </x:c>
      <x:c r="F7" s="90" t="n">
        <x:f>COUNTIFS('Course Catalog'!$B$5:$B$72,"General",'Course Catalog'!$L$5:$L$72,"Hold")+COUNTIFS('Course Catalog'!$B$5:$B$72,"General",'Course Catalog'!$L$5:$L$72,"Partial hold")+COUNTIFS('Course Catalog'!$B$5:$B$72,A7,'Course Catalog'!$L$5:$L$72,"Hold")+COUNTIFS('Course Catalog'!$B$5:$B$72,A7,'Course Catalog'!$L$5:$L$72,"Partial hold")</x:f>
        <x:v>4</x:v>
      </x:c>
      <x:c r="G7" s="90" t="n">
        <x:f>E7-F7</x:f>
        <x:v>12</x:v>
      </x:c>
      <x:c r="H7" s="90" t="n">
        <x:v>16</x:v>
      </x:c>
      <x:c r="I7" s="90" t="n">
        <x:f>E7-H7</x:f>
        <x:v>0</x:v>
      </x:c>
      <x:c r="J7" s="90" t="n">
        <x:f>COUNTIF('Policy Assignments'!$B$5:$B$868,"General")+COUNTIF('Policy Assignments'!$B$5:$B$868,A7)</x:f>
        <x:v>142</x:v>
      </x:c>
      <x:c r="K7" s="90" t="str">
        <x:v>Full name: Registered Nurse</x:v>
      </x:c>
    </x:row>
    <x:row r="8" ht="24" customHeight="1">
      <x:c r="A8" s="90" t="str">
        <x:v>HHA</x:v>
      </x:c>
      <x:c r="B8" s="90" t="str">
        <x:v>Employee</x:v>
      </x:c>
      <x:c r="C8" s="90" t="n">
        <x:f>IF(B8="Employee",COUNTIF('Course Catalog'!$B$5:$B$72,"General"),0)</x:f>
        <x:v>8</x:v>
      </x:c>
      <x:c r="D8" s="90" t="n">
        <x:f>COUNTIF('Course Catalog'!$B$5:$B$72,A8)</x:f>
        <x:v>5</x:v>
      </x:c>
      <x:c r="E8" s="90" t="n">
        <x:f>C8+D8</x:f>
        <x:v>13</x:v>
      </x:c>
      <x:c r="F8" s="90" t="n">
        <x:f>COUNTIFS('Course Catalog'!$B$5:$B$72,"General",'Course Catalog'!$L$5:$L$72,"Hold")+COUNTIFS('Course Catalog'!$B$5:$B$72,"General",'Course Catalog'!$L$5:$L$72,"Partial hold")+COUNTIFS('Course Catalog'!$B$5:$B$72,A8,'Course Catalog'!$L$5:$L$72,"Hold")+COUNTIFS('Course Catalog'!$B$5:$B$72,A8,'Course Catalog'!$L$5:$L$72,"Partial hold")</x:f>
        <x:v>1</x:v>
      </x:c>
      <x:c r="G8" s="90" t="n">
        <x:f>E8-F8</x:f>
        <x:v>12</x:v>
      </x:c>
      <x:c r="H8" s="90" t="n">
        <x:v>13</x:v>
      </x:c>
      <x:c r="I8" s="90" t="n">
        <x:f>E8-H8</x:f>
        <x:v>0</x:v>
      </x:c>
      <x:c r="J8" s="90" t="n">
        <x:f>COUNTIF('Policy Assignments'!$B$5:$B$868,"General")+COUNTIF('Policy Assignments'!$B$5:$B$868,A8)</x:f>
        <x:v>91</x:v>
      </x:c>
      <x:c r="K8" s="90" t="str">
        <x:v>Full name: Home Health Aide</x:v>
      </x:c>
    </x:row>
    <x:row r="9" ht="24" customHeight="1">
      <x:c r="A9" s="90" t="str">
        <x:v>PT</x:v>
      </x:c>
      <x:c r="B9" s="90" t="str">
        <x:v>Employee</x:v>
      </x:c>
      <x:c r="C9" s="90" t="n">
        <x:f>IF(B9="Employee",COUNTIF('Course Catalog'!$B$5:$B$72,"General"),0)</x:f>
        <x:v>8</x:v>
      </x:c>
      <x:c r="D9" s="90" t="n">
        <x:f>COUNTIF('Course Catalog'!$B$5:$B$72,A9)</x:f>
        <x:v>3</x:v>
      </x:c>
      <x:c r="E9" s="90" t="n">
        <x:f>C9+D9</x:f>
        <x:v>11</x:v>
      </x:c>
      <x:c r="F9" s="90" t="n">
        <x:f>COUNTIFS('Course Catalog'!$B$5:$B$72,"General",'Course Catalog'!$L$5:$L$72,"Hold")+COUNTIFS('Course Catalog'!$B$5:$B$72,"General",'Course Catalog'!$L$5:$L$72,"Partial hold")+COUNTIFS('Course Catalog'!$B$5:$B$72,A9,'Course Catalog'!$L$5:$L$72,"Hold")+COUNTIFS('Course Catalog'!$B$5:$B$72,A9,'Course Catalog'!$L$5:$L$72,"Partial hold")</x:f>
        <x:v>3</x:v>
      </x:c>
      <x:c r="G9" s="90" t="n">
        <x:f>E9-F9</x:f>
        <x:v>8</x:v>
      </x:c>
      <x:c r="H9" s="90" t="n">
        <x:v>11</x:v>
      </x:c>
      <x:c r="I9" s="90" t="n">
        <x:f>E9-H9</x:f>
        <x:v>0</x:v>
      </x:c>
      <x:c r="J9" s="90" t="n">
        <x:f>COUNTIF('Policy Assignments'!$B$5:$B$868,"General")+COUNTIF('Policy Assignments'!$B$5:$B$868,A9)</x:f>
        <x:v>123</x:v>
      </x:c>
      <x:c r="K9" s="90" t="str">
        <x:v>Full name: Physical Therapist</x:v>
      </x:c>
    </x:row>
    <x:row r="10" ht="24" customHeight="1">
      <x:c r="A10" s="90" t="str">
        <x:v>PTA</x:v>
      </x:c>
      <x:c r="B10" s="90" t="str">
        <x:v>Employee</x:v>
      </x:c>
      <x:c r="C10" s="90" t="n">
        <x:f>IF(B10="Employee",COUNTIF('Course Catalog'!$B$5:$B$72,"General"),0)</x:f>
        <x:v>8</x:v>
      </x:c>
      <x:c r="D10" s="90" t="n">
        <x:f>COUNTIF('Course Catalog'!$B$5:$B$72,A10)</x:f>
        <x:v>3</x:v>
      </x:c>
      <x:c r="E10" s="90" t="n">
        <x:f>C10+D10</x:f>
        <x:v>11</x:v>
      </x:c>
      <x:c r="F10" s="90" t="n">
        <x:f>COUNTIFS('Course Catalog'!$B$5:$B$72,"General",'Course Catalog'!$L$5:$L$72,"Hold")+COUNTIFS('Course Catalog'!$B$5:$B$72,"General",'Course Catalog'!$L$5:$L$72,"Partial hold")+COUNTIFS('Course Catalog'!$B$5:$B$72,A10,'Course Catalog'!$L$5:$L$72,"Hold")+COUNTIFS('Course Catalog'!$B$5:$B$72,A10,'Course Catalog'!$L$5:$L$72,"Partial hold")</x:f>
        <x:v>2</x:v>
      </x:c>
      <x:c r="G10" s="90" t="n">
        <x:f>E10-F10</x:f>
        <x:v>9</x:v>
      </x:c>
      <x:c r="H10" s="90" t="n">
        <x:v>11</x:v>
      </x:c>
      <x:c r="I10" s="90" t="n">
        <x:f>E10-H10</x:f>
        <x:v>0</x:v>
      </x:c>
      <x:c r="J10" s="90" t="n">
        <x:f>COUNTIF('Policy Assignments'!$B$5:$B$868,"General")+COUNTIF('Policy Assignments'!$B$5:$B$868,A10)</x:f>
        <x:v>97</x:v>
      </x:c>
      <x:c r="K10" s="90" t="str">
        <x:v>Full name: Physical Therapist Assistant</x:v>
      </x:c>
    </x:row>
    <x:row r="11" ht="24" customHeight="1">
      <x:c r="A11" s="90" t="str">
        <x:v>OT</x:v>
      </x:c>
      <x:c r="B11" s="90" t="str">
        <x:v>Employee</x:v>
      </x:c>
      <x:c r="C11" s="90" t="n">
        <x:f>IF(B11="Employee",COUNTIF('Course Catalog'!$B$5:$B$72,"General"),0)</x:f>
        <x:v>8</x:v>
      </x:c>
      <x:c r="D11" s="90" t="n">
        <x:f>COUNTIF('Course Catalog'!$B$5:$B$72,A11)</x:f>
        <x:v>3</x:v>
      </x:c>
      <x:c r="E11" s="90" t="n">
        <x:f>C11+D11</x:f>
        <x:v>11</x:v>
      </x:c>
      <x:c r="F11" s="90" t="n">
        <x:f>COUNTIFS('Course Catalog'!$B$5:$B$72,"General",'Course Catalog'!$L$5:$L$72,"Hold")+COUNTIFS('Course Catalog'!$B$5:$B$72,"General",'Course Catalog'!$L$5:$L$72,"Partial hold")+COUNTIFS('Course Catalog'!$B$5:$B$72,A11,'Course Catalog'!$L$5:$L$72,"Hold")+COUNTIFS('Course Catalog'!$B$5:$B$72,A11,'Course Catalog'!$L$5:$L$72,"Partial hold")</x:f>
        <x:v>3</x:v>
      </x:c>
      <x:c r="G11" s="90" t="n">
        <x:f>E11-F11</x:f>
        <x:v>8</x:v>
      </x:c>
      <x:c r="H11" s="90" t="n">
        <x:v>11</x:v>
      </x:c>
      <x:c r="I11" s="90" t="n">
        <x:f>E11-H11</x:f>
        <x:v>0</x:v>
      </x:c>
      <x:c r="J11" s="90" t="n">
        <x:f>COUNTIF('Policy Assignments'!$B$5:$B$868,"General")+COUNTIF('Policy Assignments'!$B$5:$B$868,A11)</x:f>
        <x:v>123</x:v>
      </x:c>
      <x:c r="K11" s="90" t="str">
        <x:v>Full name: Occupational Therapist</x:v>
      </x:c>
    </x:row>
    <x:row r="12" ht="24" customHeight="1">
      <x:c r="A12" s="90" t="str">
        <x:v>COTA</x:v>
      </x:c>
      <x:c r="B12" s="90" t="str">
        <x:v>Employee</x:v>
      </x:c>
      <x:c r="C12" s="90" t="n">
        <x:f>IF(B12="Employee",COUNTIF('Course Catalog'!$B$5:$B$72,"General"),0)</x:f>
        <x:v>8</x:v>
      </x:c>
      <x:c r="D12" s="90" t="n">
        <x:f>COUNTIF('Course Catalog'!$B$5:$B$72,A12)</x:f>
        <x:v>3</x:v>
      </x:c>
      <x:c r="E12" s="90" t="n">
        <x:f>C12+D12</x:f>
        <x:v>11</x:v>
      </x:c>
      <x:c r="F12" s="90" t="n">
        <x:f>COUNTIFS('Course Catalog'!$B$5:$B$72,"General",'Course Catalog'!$L$5:$L$72,"Hold")+COUNTIFS('Course Catalog'!$B$5:$B$72,"General",'Course Catalog'!$L$5:$L$72,"Partial hold")+COUNTIFS('Course Catalog'!$B$5:$B$72,A12,'Course Catalog'!$L$5:$L$72,"Hold")+COUNTIFS('Course Catalog'!$B$5:$B$72,A12,'Course Catalog'!$L$5:$L$72,"Partial hold")</x:f>
        <x:v>2</x:v>
      </x:c>
      <x:c r="G12" s="90" t="n">
        <x:f>E12-F12</x:f>
        <x:v>9</x:v>
      </x:c>
      <x:c r="H12" s="90" t="n">
        <x:v>11</x:v>
      </x:c>
      <x:c r="I12" s="90" t="n">
        <x:f>E12-H12</x:f>
        <x:v>0</x:v>
      </x:c>
      <x:c r="J12" s="90" t="n">
        <x:f>COUNTIF('Policy Assignments'!$B$5:$B$868,"General")+COUNTIF('Policy Assignments'!$B$5:$B$868,A12)</x:f>
        <x:v>97</x:v>
      </x:c>
      <x:c r="K12" s="90" t="str">
        <x:v>Full name: Certified Occupational Therapy Assistant</x:v>
      </x:c>
    </x:row>
    <x:row r="13" ht="24" customHeight="1">
      <x:c r="A13" s="90" t="str">
        <x:v>SLP</x:v>
      </x:c>
      <x:c r="B13" s="90" t="str">
        <x:v>Employee</x:v>
      </x:c>
      <x:c r="C13" s="90" t="n">
        <x:f>IF(B13="Employee",COUNTIF('Course Catalog'!$B$5:$B$72,"General"),0)</x:f>
        <x:v>8</x:v>
      </x:c>
      <x:c r="D13" s="90" t="n">
        <x:f>COUNTIF('Course Catalog'!$B$5:$B$72,A13)</x:f>
        <x:v>1</x:v>
      </x:c>
      <x:c r="E13" s="90" t="n">
        <x:f>C13+D13</x:f>
        <x:v>9</x:v>
      </x:c>
      <x:c r="F13" s="90" t="n">
        <x:f>COUNTIFS('Course Catalog'!$B$5:$B$72,"General",'Course Catalog'!$L$5:$L$72,"Hold")+COUNTIFS('Course Catalog'!$B$5:$B$72,"General",'Course Catalog'!$L$5:$L$72,"Partial hold")+COUNTIFS('Course Catalog'!$B$5:$B$72,A13,'Course Catalog'!$L$5:$L$72,"Hold")+COUNTIFS('Course Catalog'!$B$5:$B$72,A13,'Course Catalog'!$L$5:$L$72,"Partial hold")</x:f>
        <x:v>2</x:v>
      </x:c>
      <x:c r="G13" s="90" t="n">
        <x:f>E13-F13</x:f>
        <x:v>7</x:v>
      </x:c>
      <x:c r="H13" s="90" t="n">
        <x:v>9</x:v>
      </x:c>
      <x:c r="I13" s="90" t="n">
        <x:f>E13-H13</x:f>
        <x:v>0</x:v>
      </x:c>
      <x:c r="J13" s="90" t="n">
        <x:f>COUNTIF('Policy Assignments'!$B$5:$B$868,"General")+COUNTIF('Policy Assignments'!$B$5:$B$868,A13)</x:f>
        <x:v>122</x:v>
      </x:c>
      <x:c r="K13" s="90" t="str">
        <x:v>Full name: Speech-Language Pathologist</x:v>
      </x:c>
    </x:row>
    <x:row r="14" ht="24" customHeight="1">
      <x:c r="A14" s="90" t="str">
        <x:v>MSW</x:v>
      </x:c>
      <x:c r="B14" s="90" t="str">
        <x:v>Employee</x:v>
      </x:c>
      <x:c r="C14" s="90" t="n">
        <x:f>IF(B14="Employee",COUNTIF('Course Catalog'!$B$5:$B$72,"General"),0)</x:f>
        <x:v>8</x:v>
      </x:c>
      <x:c r="D14" s="90" t="n">
        <x:f>COUNTIF('Course Catalog'!$B$5:$B$72,A14)</x:f>
        <x:v>1</x:v>
      </x:c>
      <x:c r="E14" s="90" t="n">
        <x:f>C14+D14</x:f>
        <x:v>9</x:v>
      </x:c>
      <x:c r="F14" s="90" t="n">
        <x:f>COUNTIFS('Course Catalog'!$B$5:$B$72,"General",'Course Catalog'!$L$5:$L$72,"Hold")+COUNTIFS('Course Catalog'!$B$5:$B$72,"General",'Course Catalog'!$L$5:$L$72,"Partial hold")+COUNTIFS('Course Catalog'!$B$5:$B$72,A14,'Course Catalog'!$L$5:$L$72,"Hold")+COUNTIFS('Course Catalog'!$B$5:$B$72,A14,'Course Catalog'!$L$5:$L$72,"Partial hold")</x:f>
        <x:v>1</x:v>
      </x:c>
      <x:c r="G14" s="90" t="n">
        <x:f>E14-F14</x:f>
        <x:v>8</x:v>
      </x:c>
      <x:c r="H14" s="90" t="n">
        <x:v>9</x:v>
      </x:c>
      <x:c r="I14" s="90" t="n">
        <x:f>E14-H14</x:f>
        <x:v>0</x:v>
      </x:c>
      <x:c r="J14" s="90" t="n">
        <x:f>COUNTIF('Policy Assignments'!$B$5:$B$868,"General")+COUNTIF('Policy Assignments'!$B$5:$B$868,A14)</x:f>
        <x:v>92</x:v>
      </x:c>
      <x:c r="K14" s="90" t="str">
        <x:v>Full name: Medical Social Worker</x:v>
      </x:c>
    </x:row>
    <x:row r="15" ht="24" customHeight="1">
      <x:c r="A15" s="90" t="str">
        <x:v>ADM</x:v>
      </x:c>
      <x:c r="B15" s="90" t="str">
        <x:v>Employee</x:v>
      </x:c>
      <x:c r="C15" s="90" t="n">
        <x:f>IF(B15="Employee",COUNTIF('Course Catalog'!$B$5:$B$72,"General"),0)</x:f>
        <x:v>8</x:v>
      </x:c>
      <x:c r="D15" s="90" t="n">
        <x:f>COUNTIF('Course Catalog'!$B$5:$B$72,A15)</x:f>
        <x:v>7</x:v>
      </x:c>
      <x:c r="E15" s="90" t="n">
        <x:f>C15+D15</x:f>
        <x:v>15</x:v>
      </x:c>
      <x:c r="F15" s="90" t="n">
        <x:f>COUNTIFS('Course Catalog'!$B$5:$B$72,"General",'Course Catalog'!$L$5:$L$72,"Hold")+COUNTIFS('Course Catalog'!$B$5:$B$72,"General",'Course Catalog'!$L$5:$L$72,"Partial hold")+COUNTIFS('Course Catalog'!$B$5:$B$72,A15,'Course Catalog'!$L$5:$L$72,"Hold")+COUNTIFS('Course Catalog'!$B$5:$B$72,A15,'Course Catalog'!$L$5:$L$72,"Partial hold")</x:f>
        <x:v>3</x:v>
      </x:c>
      <x:c r="G15" s="90" t="n">
        <x:f>E15-F15</x:f>
        <x:v>12</x:v>
      </x:c>
      <x:c r="H15" s="90" t="n">
        <x:v>15</x:v>
      </x:c>
      <x:c r="I15" s="90" t="n">
        <x:f>E15-H15</x:f>
        <x:v>0</x:v>
      </x:c>
      <x:c r="J15" s="90" t="n">
        <x:f>COUNTIF('Policy Assignments'!$B$5:$B$868,"General")+COUNTIF('Policy Assignments'!$B$5:$B$868,A15)</x:f>
        <x:v>123</x:v>
      </x:c>
      <x:c r="K15" s="90" t="str">
        <x:v>Full name: Administrator</x:v>
      </x:c>
    </x:row>
    <x:row r="16" ht="24" customHeight="1">
      <x:c r="A16" s="90" t="str">
        <x:v>DON</x:v>
      </x:c>
      <x:c r="B16" s="90" t="str">
        <x:v>Employee</x:v>
      </x:c>
      <x:c r="C16" s="90" t="n">
        <x:f>IF(B16="Employee",COUNTIF('Course Catalog'!$B$5:$B$72,"General"),0)</x:f>
        <x:v>8</x:v>
      </x:c>
      <x:c r="D16" s="90" t="n">
        <x:f>COUNTIF('Course Catalog'!$B$5:$B$72,A16)</x:f>
        <x:v>8</x:v>
      </x:c>
      <x:c r="E16" s="90" t="n">
        <x:f>C16+D16</x:f>
        <x:v>16</x:v>
      </x:c>
      <x:c r="F16" s="90" t="n">
        <x:f>COUNTIFS('Course Catalog'!$B$5:$B$72,"General",'Course Catalog'!$L$5:$L$72,"Hold")+COUNTIFS('Course Catalog'!$B$5:$B$72,"General",'Course Catalog'!$L$5:$L$72,"Partial hold")+COUNTIFS('Course Catalog'!$B$5:$B$72,A16,'Course Catalog'!$L$5:$L$72,"Hold")+COUNTIFS('Course Catalog'!$B$5:$B$72,A16,'Course Catalog'!$L$5:$L$72,"Partial hold")</x:f>
        <x:v>3</x:v>
      </x:c>
      <x:c r="G16" s="90" t="n">
        <x:f>E16-F16</x:f>
        <x:v>13</x:v>
      </x:c>
      <x:c r="H16" s="90" t="n">
        <x:v>16</x:v>
      </x:c>
      <x:c r="I16" s="90" t="n">
        <x:f>E16-H16</x:f>
        <x:v>0</x:v>
      </x:c>
      <x:c r="J16" s="90" t="n">
        <x:f>COUNTIF('Policy Assignments'!$B$5:$B$868,"General")+COUNTIF('Policy Assignments'!$B$5:$B$868,A16)</x:f>
        <x:v>179</x:v>
      </x:c>
      <x:c r="K16" s="90" t="str">
        <x:v>Full name: Director of Nursing / Clinical Manager</x:v>
      </x:c>
    </x:row>
    <x:row r="17" ht="24" customHeight="1">
      <x:c r="A17" s="90" t="str">
        <x:v>GB</x:v>
      </x:c>
      <x:c r="B17" s="90" t="str">
        <x:v>Governing body</x:v>
      </x:c>
      <x:c r="C17" s="90" t="n">
        <x:f>IF(B17="Employee",COUNTIF('Course Catalog'!$B$5:$B$72,"General"),0)</x:f>
        <x:v>0</x:v>
      </x:c>
      <x:c r="D17" s="90" t="n">
        <x:f>COUNTIF('Course Catalog'!$B$5:$B$72,A17)</x:f>
        <x:v>13</x:v>
      </x:c>
      <x:c r="E17" s="90" t="n">
        <x:f>C17+D17</x:f>
        <x:v>13</x:v>
      </x:c>
      <x:c r="F17" s="90" t="n">
        <x:f>0+COUNTIFS('Course Catalog'!$B$5:$B$72,A17,'Course Catalog'!$L$5:$L$72,"Hold")+COUNTIFS('Course Catalog'!$B$5:$B$72,A17,'Course Catalog'!$L$5:$L$72,"Partial hold")</x:f>
        <x:v>1</x:v>
      </x:c>
      <x:c r="G17" s="90" t="n">
        <x:f>E17-F17</x:f>
        <x:v>12</x:v>
      </x:c>
      <x:c r="H17" s="90" t="n">
        <x:v>13</x:v>
      </x:c>
      <x:c r="I17" s="90" t="n">
        <x:f>E17-H17</x:f>
        <x:v>0</x:v>
      </x:c>
      <x:c r="J17" s="90" t="n">
        <x:f>0+COUNTIF('Policy Assignments'!$B$5:$B$868,A17)</x:f>
        <x:v>42</x:v>
      </x:c>
      <x:c r="K17" s="90" t="str">
        <x:v>Standalone governance track.</x:v>
      </x:c>
    </x:row>
  </x:sheetData>
  <x:mergeCells>
    <x:mergeCell ref="A1:K1"/>
    <x:mergeCell ref="A2:K2"/>
  </x:mergeCells>
  <x:conditionalFormatting sqref="I5:I17">
    <x:cfRule type="cellIs" dxfId="0" priority="1" operator="equal">
      <x:formula>0</x:formula>
    </x:cfRule>
  </x:conditionalFormatting>
  <x:conditionalFormatting sqref="F5:F17">
    <x:cfRule type="cellIs" dxfId="1" priority="2" operator="greaterThan">
      <x:formula>0</x:formula>
    </x:cfRule>
  </x:conditionalFormatting>
  <x:pageMargins left="0.7" right="0.7" top="0.75" bottom="0.75" header="0.3" footer="0.3"/>
  <x:tableParts count="1">
    <x:tablePart xmlns:r="http://schemas.openxmlformats.org/officeDocument/2006/relationships" r:id="Rc9f35c9a7b804b5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34" hidden="0" customWidth="1"/>
    <x:col min="4" max="4" width="22" hidden="0" customWidth="1"/>
    <x:col min="5" max="5" width="24" hidden="0" customWidth="1"/>
    <x:col min="6" max="6" width="24" hidden="0" customWidth="1"/>
    <x:col min="7" max="7" width="30" hidden="0" customWidth="1"/>
    <x:col min="8" max="8" width="10" hidden="0" customWidth="1"/>
    <x:col min="9" max="9" width="32" hidden="0" customWidth="1"/>
    <x:col min="10" max="10" width="11" hidden="0" customWidth="1"/>
    <x:col min="11" max="11" width="24" hidden="0" customWidth="1"/>
    <x:col min="12" max="12" width="14" hidden="0" customWidth="1"/>
    <x:col min="13" max="13" width="22" hidden="0" customWidth="1"/>
    <x:col min="14" max="14" width="46" hidden="0" customWidth="1"/>
  </x:cols>
  <x:sheetData>
    <x:row r="1" ht="34" customHeight="1">
      <x:c r="A1" s="3" t="str">
        <x:v>Course Catalog</x:v>
      </x:c>
      <x:c r="B1" s="85"/>
      <x:c r="C1" s="85"/>
      <x:c r="D1" s="85"/>
      <x:c r="E1" s="85"/>
      <x:c r="F1" s="85"/>
      <x:c r="G1" s="85"/>
      <x:c r="H1" s="85"/>
      <x:c r="I1" s="85"/>
      <x:c r="J1" s="85"/>
      <x:c r="K1" s="85"/>
      <x:c r="L1" s="85"/>
      <x:c r="M1" s="85"/>
      <x:c r="N1" s="85"/>
    </x:row>
    <x:row r="2" ht="30" customHeight="1">
      <x:c r="A2" s="7" t="str">
        <x:v>Course bundles keep quiz load manageable while preserving every assigned policy and required non-quiz competency.</x:v>
      </x:c>
      <x:c r="B2" s="85"/>
      <x:c r="C2" s="85"/>
      <x:c r="D2" s="85"/>
      <x:c r="E2" s="85"/>
      <x:c r="F2" s="85"/>
      <x:c r="G2" s="85"/>
      <x:c r="H2" s="85"/>
      <x:c r="I2" s="85"/>
      <x:c r="J2" s="85"/>
      <x:c r="K2" s="85"/>
      <x:c r="L2" s="85"/>
      <x:c r="M2" s="85"/>
      <x:c r="N2" s="85"/>
    </x:row>
    <x:row r="3">
      <x:c r="A3" s="85"/>
      <x:c r="B3" s="85"/>
      <x:c r="C3" s="85"/>
      <x:c r="D3" s="85"/>
      <x:c r="E3" s="85"/>
      <x:c r="F3" s="85"/>
      <x:c r="G3" s="85"/>
      <x:c r="H3" s="85"/>
      <x:c r="I3" s="85"/>
      <x:c r="J3" s="85"/>
      <x:c r="K3" s="85"/>
      <x:c r="L3" s="85"/>
      <x:c r="M3" s="85"/>
      <x:c r="N3" s="85"/>
    </x:row>
    <x:row r="4" ht="32" customHeight="1">
      <x:c r="A4" s="67" t="str">
        <x:v>Course ID</x:v>
      </x:c>
      <x:c r="B4" s="68" t="str">
        <x:v>Pathway</x:v>
      </x:c>
      <x:c r="C4" s="68" t="str">
        <x:v>Course title</x:v>
      </x:c>
      <x:c r="D4" s="68" t="str">
        <x:v>Assignment mode</x:v>
      </x:c>
      <x:c r="E4" s="68" t="str">
        <x:v>Trigger</x:v>
      </x:c>
      <x:c r="F4" s="68" t="str">
        <x:v>Initial due</x:v>
      </x:c>
      <x:c r="G4" s="68" t="str">
        <x:v>Recurrence</x:v>
      </x:c>
      <x:c r="H4" s="68" t="str">
        <x:v>Pass score</x:v>
      </x:c>
      <x:c r="I4" s="68" t="str">
        <x:v>Additional validation</x:v>
      </x:c>
      <x:c r="J4" s="68" t="str">
        <x:v>Policy rows</x:v>
      </x:c>
      <x:c r="K4" s="68" t="str">
        <x:v>Source status</x:v>
      </x:c>
      <x:c r="L4" s="68" t="str">
        <x:v>Release status</x:v>
      </x:c>
      <x:c r="M4" s="68" t="str">
        <x:v>Owner approval</x:v>
      </x:c>
      <x:c r="N4" s="69" t="str">
        <x:v>Implementation notes</x:v>
      </x:c>
    </x:row>
    <x:row r="5" ht="44" customHeight="1">
      <x:c r="A5" s="90" t="str">
        <x:v>G-01</x:v>
      </x:c>
      <x:c r="B5" s="90" t="str">
        <x:v>General</x:v>
      </x:c>
      <x:c r="C5" s="90" t="str">
        <x:v>Agency Orientation, Scope &amp; Policy Responsibilities</x:v>
      </x:c>
      <x:c r="D5" s="90" t="str">
        <x:v>Required</x:v>
      </x:c>
      <x:c r="E5" s="90" t="str">
        <x:v>Pathway assignment</x:v>
      </x:c>
      <x:c r="F5" s="90" t="str">
        <x:v>General orientation by day 5; all acknowledgments by day 14</x:v>
      </x:c>
      <x:c r="G5" s="90" t="str">
        <x:v>At hire; on material revision</x:v>
      </x:c>
      <x:c r="H5" s="92" t="n">
        <x:v>0.8</x:v>
      </x:c>
      <x:c r="I5" s="90" t="str">
        <x:v>80% quiz; acknowledgment evidence</x:v>
      </x:c>
      <x:c r="J5" s="90" t="n">
        <x:f>COUNTIF('Policy Assignments'!$A$5:$A$868,A5)</x:f>
        <x:v>6</x:v>
      </x:c>
      <x:c r="K5" s="90" t="str">
        <x:v>Verified internal body</x:v>
      </x:c>
      <x:c r="L5" s="90" t="str">
        <x:v>Ready</x:v>
      </x:c>
      <x:c r="M5" s="90" t="str">
        <x:v>Policy owner + Compliance</x:v>
      </x:c>
      <x:c r="N5" s="90" t="str"/>
    </x:row>
    <x:row r="6" ht="44" customHeight="1">
      <x:c r="A6" s="90" t="str">
        <x:v>G-02</x:v>
      </x:c>
      <x:c r="B6" s="90" t="str">
        <x:v>General</x:v>
      </x:c>
      <x:c r="C6" s="90" t="str">
        <x:v>Compliance, Ethics, FWA &amp; Speaking Up</x:v>
      </x:c>
      <x:c r="D6" s="90" t="str">
        <x:v>Required</x:v>
      </x:c>
      <x:c r="E6" s="90" t="str">
        <x:v>Pathway assignment</x:v>
      </x:c>
      <x:c r="F6" s="90" t="str">
        <x:v>By day 14; before independent duty if earlier</x:v>
      </x:c>
      <x:c r="G6" s="90" t="str">
        <x:v>Initial + annual agency standard</x:v>
      </x:c>
      <x:c r="H6" s="92" t="n">
        <x:v>0.8</x:v>
      </x:c>
      <x:c r="I6" s="90" t="str">
        <x:v>80% quiz with reporting scenarios</x:v>
      </x:c>
      <x:c r="J6" s="90" t="n">
        <x:f>COUNTIF('Policy Assignments'!$A$5:$A$868,A6)</x:f>
        <x:v>8</x:v>
      </x:c>
      <x:c r="K6" s="90" t="str">
        <x:v>Verified internal body</x:v>
      </x:c>
      <x:c r="L6" s="90" t="str">
        <x:v>Ready</x:v>
      </x:c>
      <x:c r="M6" s="90" t="str">
        <x:v>Policy owner + Compliance</x:v>
      </x:c>
      <x:c r="N6" s="90" t="str"/>
    </x:row>
    <x:row r="7" ht="44" customHeight="1">
      <x:c r="A7" s="90" t="str">
        <x:v>G-03</x:v>
      </x:c>
      <x:c r="B7" s="90" t="str">
        <x:v>General</x:v>
      </x:c>
      <x:c r="C7" s="90" t="str">
        <x:v>Privacy, Confidentiality &amp; Information Security</x:v>
      </x:c>
      <x:c r="D7" s="90" t="str">
        <x:v>Required core + triggered modules</x:v>
      </x:c>
      <x:c r="E7" s="90" t="str">
        <x:v>Pathway assignment</x:v>
      </x:c>
      <x:c r="F7" s="90" t="str">
        <x:v>By day 14; before independent duty if earlier</x:v>
      </x:c>
      <x:c r="G7" s="90" t="str">
        <x:v>Initial + annual agency standard; on material change</x:v>
      </x:c>
      <x:c r="H7" s="92" t="n">
        <x:v>0.8</x:v>
      </x:c>
      <x:c r="I7" s="90" t="str">
        <x:v>80% quiz; phishing simulation; triggered AI/BYOD/EHR checks</x:v>
      </x:c>
      <x:c r="J7" s="90" t="n">
        <x:f>COUNTIF('Policy Assignments'!$A$5:$A$868,A7)</x:f>
        <x:v>11</x:v>
      </x:c>
      <x:c r="K7" s="90" t="str">
        <x:v>Verified internal body</x:v>
      </x:c>
      <x:c r="L7" s="90" t="str">
        <x:v>Conditional</x:v>
      </x:c>
      <x:c r="M7" s="90" t="str">
        <x:v>Policy owner + Compliance</x:v>
      </x:c>
      <x:c r="N7" s="90" t="str"/>
    </x:row>
    <x:row r="8" ht="44" customHeight="1">
      <x:c r="A8" s="90" t="str">
        <x:v>G-04</x:v>
      </x:c>
      <x:c r="B8" s="90" t="str">
        <x:v>General</x:v>
      </x:c>
      <x:c r="C8" s="90" t="str">
        <x:v>Patient Rights, Abuse Reporting &amp; Grievances</x:v>
      </x:c>
      <x:c r="D8" s="90" t="str">
        <x:v>Required</x:v>
      </x:c>
      <x:c r="E8" s="90" t="str">
        <x:v>Pathway assignment</x:v>
      </x:c>
      <x:c r="F8" s="90" t="str">
        <x:v>By day 14; before independent duty if earlier</x:v>
      </x:c>
      <x:c r="G8" s="90" t="str">
        <x:v>Initial + annual agency standard</x:v>
      </x:c>
      <x:c r="H8" s="92" t="n">
        <x:v>0.8</x:v>
      </x:c>
      <x:c r="I8" s="90" t="str">
        <x:v>80% quiz with mandatory-reporting scenarios</x:v>
      </x:c>
      <x:c r="J8" s="90" t="n">
        <x:f>COUNTIF('Policy Assignments'!$A$5:$A$868,A8)</x:f>
        <x:v>5</x:v>
      </x:c>
      <x:c r="K8" s="90" t="str">
        <x:v>Verified internal body</x:v>
      </x:c>
      <x:c r="L8" s="90" t="str">
        <x:v>Ready</x:v>
      </x:c>
      <x:c r="M8" s="90" t="str">
        <x:v>Policy owner + Compliance</x:v>
      </x:c>
      <x:c r="N8" s="90" t="str"/>
    </x:row>
    <x:row r="9" ht="44" customHeight="1">
      <x:c r="A9" s="90" t="str">
        <x:v>G-05</x:v>
      </x:c>
      <x:c r="B9" s="90" t="str">
        <x:v>General</x:v>
      </x:c>
      <x:c r="C9" s="90" t="str">
        <x:v>IIPP, Workplace Violence, Safety &amp; Incident Reporting</x:v>
      </x:c>
      <x:c r="D9" s="90" t="str">
        <x:v>Required</x:v>
      </x:c>
      <x:c r="E9" s="90" t="str">
        <x:v>Pathway assignment</x:v>
      </x:c>
      <x:c r="F9" s="90" t="str">
        <x:v>By day 14; before independent duty if earlier</x:v>
      </x:c>
      <x:c r="G9" s="90" t="str">
        <x:v>Initial + annual; additional training when hazards/plan change</x:v>
      </x:c>
      <x:c r="H9" s="92" t="n">
        <x:v>0.8</x:v>
      </x:c>
      <x:c r="I9" s="90" t="str">
        <x:v>80% quiz; interactive workplace-violence Q&amp;A</x:v>
      </x:c>
      <x:c r="J9" s="90" t="n">
        <x:f>COUNTIF('Policy Assignments'!$A$5:$A$868,A9)</x:f>
        <x:v>5</x:v>
      </x:c>
      <x:c r="K9" s="90" t="str">
        <x:v>Master selected; duplicate cross-reference remains</x:v>
      </x:c>
      <x:c r="L9" s="90" t="str">
        <x:v>Ready</x:v>
      </x:c>
      <x:c r="M9" s="90" t="str">
        <x:v>Policy owner + Compliance</x:v>
      </x:c>
      <x:c r="N9" s="90" t="str">
        <x:v>Use RM-OS-001 as the controlled IIPP course source; retire or reconcile RM-OS-101 references.</x:v>
      </x:c>
    </x:row>
    <x:row r="10" ht="44" customHeight="1">
      <x:c r="A10" s="90" t="str">
        <x:v>G-06</x:v>
      </x:c>
      <x:c r="B10" s="90" t="str">
        <x:v>General</x:v>
      </x:c>
      <x:c r="C10" s="90" t="str">
        <x:v>Emergency Preparedness &amp; Service Continuity</x:v>
      </x:c>
      <x:c r="D10" s="90" t="str">
        <x:v>Required</x:v>
      </x:c>
      <x:c r="E10" s="90" t="str">
        <x:v>Pathway assignment</x:v>
      </x:c>
      <x:c r="F10" s="90" t="str">
        <x:v>By day 14; before independent duty if earlier</x:v>
      </x:c>
      <x:c r="G10" s="90" t="str">
        <x:v>Initial + annual agency standard; drill/exercise annually</x:v>
      </x:c>
      <x:c r="H10" s="92" t="n">
        <x:v>0.8</x:v>
      </x:c>
      <x:c r="I10" s="90" t="str">
        <x:v>80% quiz plus assigned drill/exercise</x:v>
      </x:c>
      <x:c r="J10" s="90" t="n">
        <x:f>COUNTIF('Policy Assignments'!$A$5:$A$868,A10)</x:f>
        <x:v>4</x:v>
      </x:c>
      <x:c r="K10" s="90" t="str">
        <x:v>Verified internal body</x:v>
      </x:c>
      <x:c r="L10" s="90" t="str">
        <x:v>Ready</x:v>
      </x:c>
      <x:c r="M10" s="90" t="str">
        <x:v>Policy owner + Compliance</x:v>
      </x:c>
      <x:c r="N10" s="90" t="str">
        <x:v>Federal HHA training minimum is at least every 2 years; the supplied policies intentionally use a stricter annual standard.</x:v>
      </x:c>
    </x:row>
    <x:row r="11" ht="44" customHeight="1">
      <x:c r="A11" s="90" t="str">
        <x:v>G-07</x:v>
      </x:c>
      <x:c r="B11" s="90" t="str">
        <x:v>General</x:v>
      </x:c>
      <x:c r="C11" s="90" t="str">
        <x:v>Respectful Workplace &amp; Employment Conduct</x:v>
      </x:c>
      <x:c r="D11" s="90" t="str">
        <x:v>Required</x:v>
      </x:c>
      <x:c r="E11" s="90" t="str">
        <x:v>Pathway assignment</x:v>
      </x:c>
      <x:c r="F11" s="90" t="str">
        <x:v>By day 14; before independent duty if earlier</x:v>
      </x:c>
      <x:c r="G11" s="90" t="str">
        <x:v>Agency annual if retained; CA harassment minimum every 2 years</x:v>
      </x:c>
      <x:c r="H11" s="92" t="n">
        <x:v>0.8</x:v>
      </x:c>
      <x:c r="I11" s="90" t="str">
        <x:v>80% quiz; harassment module must be interactive</x:v>
      </x:c>
      <x:c r="J11" s="90" t="n">
        <x:f>COUNTIF('Policy Assignments'!$A$5:$A$868,A11)</x:f>
        <x:v>4</x:v>
      </x:c>
      <x:c r="K11" s="90" t="str">
        <x:v>Policy/legal cadence conflict</x:v>
      </x:c>
      <x:c r="L11" s="90" t="str">
        <x:v>Partial hold</x:v>
      </x:c>
      <x:c r="M11" s="90" t="str">
        <x:v>Policy owner + Compliance</x:v>
      </x:c>
      <x:c r="N11" s="90" t="str">
        <x:v>Correct HR-ER-004: CA requires 1 hour nonsupervisory and 2 hours supervisory, within 6 months and every 2 years. Annual may remain only as a clearly labeled stricter agency standard.</x:v>
      </x:c>
    </x:row>
    <x:row r="12" ht="44" customHeight="1">
      <x:c r="A12" s="90" t="str">
        <x:v>G-08</x:v>
      </x:c>
      <x:c r="B12" s="90" t="str">
        <x:v>General</x:v>
      </x:c>
      <x:c r="C12" s="90" t="str">
        <x:v>QAPI &amp; Patient Safety Awareness</x:v>
      </x:c>
      <x:c r="D12" s="90" t="str">
        <x:v>Required</x:v>
      </x:c>
      <x:c r="E12" s="90" t="str">
        <x:v>Pathway assignment</x:v>
      </x:c>
      <x:c r="F12" s="90" t="str">
        <x:v>By day 14; before independent duty if earlier</x:v>
      </x:c>
      <x:c r="G12" s="90" t="str">
        <x:v>Initial + annual agency standard</x:v>
      </x:c>
      <x:c r="H12" s="92" t="n">
        <x:v>0.8</x:v>
      </x:c>
      <x:c r="I12" s="90" t="str">
        <x:v>80% quiz using safety-escalation examples</x:v>
      </x:c>
      <x:c r="J12" s="90" t="n">
        <x:f>COUNTIF('Policy Assignments'!$A$5:$A$868,A12)</x:f>
        <x:v>4</x:v>
      </x:c>
      <x:c r="K12" s="90" t="str">
        <x:v>Verified internal body</x:v>
      </x:c>
      <x:c r="L12" s="90" t="str">
        <x:v>Ready</x:v>
      </x:c>
      <x:c r="M12" s="90" t="str">
        <x:v>Policy owner + Compliance</x:v>
      </x:c>
      <x:c r="N12" s="90" t="str"/>
    </x:row>
    <x:row r="13" ht="44" customHeight="1">
      <x:c r="A13" s="90" t="str">
        <x:v>LVN-01</x:v>
      </x:c>
      <x:c r="B13" s="90" t="str">
        <x:v>LVN</x:v>
      </x:c>
      <x:c r="C13" s="90" t="str">
        <x:v>LVN Role, Scope, Competency &amp; Supervision</x:v>
      </x:c>
      <x:c r="D13" s="90" t="str">
        <x:v>Required</x:v>
      </x:c>
      <x:c r="E13" s="90" t="str">
        <x:v>Pathway assignment</x:v>
      </x:c>
      <x:c r="F13" s="90" t="str">
        <x:v>By day 14; before independent duty if earlier</x:v>
      </x:c>
      <x:c r="G13" s="90" t="str">
        <x:v>At hire; then on material revision</x:v>
      </x:c>
      <x:c r="H13" s="92" t="n">
        <x:v>0.8</x:v>
      </x:c>
      <x:c r="I13" s="90" t="str">
        <x:v>80% quiz plus competency validation before independent duty</x:v>
      </x:c>
      <x:c r="J13" s="90" t="n">
        <x:f>COUNTIF('Policy Assignments'!$A$5:$A$868,A13)</x:f>
        <x:v>6</x:v>
      </x:c>
      <x:c r="K13" s="90" t="str">
        <x:v>Missing role policy body</x:v>
      </x:c>
      <x:c r="L13" s="90" t="str">
        <x:v>Partial hold</x:v>
      </x:c>
      <x:c r="M13" s="90" t="str">
        <x:v>Policy owner + Compliance</x:v>
      </x:c>
      <x:c r="N13" s="90" t="str"/>
    </x:row>
    <x:row r="14" ht="44" customHeight="1">
      <x:c r="A14" s="90" t="str">
        <x:v>LVN-02</x:v>
      </x:c>
      <x:c r="B14" s="90" t="str">
        <x:v>LVN</x:v>
      </x:c>
      <x:c r="C14" s="90" t="str">
        <x:v>Clinical Documentation, Plans &amp; Orders</x:v>
      </x:c>
      <x:c r="D14" s="90" t="str">
        <x:v>Required</x:v>
      </x:c>
      <x:c r="E14" s="90" t="str">
        <x:v>Pathway assignment</x:v>
      </x:c>
      <x:c r="F14" s="90" t="str">
        <x:v>By day 14; before independent duty if earlier</x:v>
      </x:c>
      <x:c r="G14" s="90" t="str">
        <x:v>At hire; then on material revision</x:v>
      </x:c>
      <x:c r="H14" s="92" t="n">
        <x:v>0.8</x:v>
      </x:c>
      <x:c r="I14" s="90" t="str">
        <x:v>80% quiz plus documentation/order simulation</x:v>
      </x:c>
      <x:c r="J14" s="90" t="n">
        <x:f>COUNTIF('Policy Assignments'!$A$5:$A$868,A14)</x:f>
        <x:v>10</x:v>
      </x:c>
      <x:c r="K14" s="90" t="str">
        <x:v>Verified internal body</x:v>
      </x:c>
      <x:c r="L14" s="90" t="str">
        <x:v>Ready</x:v>
      </x:c>
      <x:c r="M14" s="90" t="str">
        <x:v>Policy owner + Compliance</x:v>
      </x:c>
      <x:c r="N14" s="90" t="str"/>
    </x:row>
    <x:row r="15" ht="44" customHeight="1">
      <x:c r="A15" s="90" t="str">
        <x:v>LVN-03</x:v>
      </x:c>
      <x:c r="B15" s="90" t="str">
        <x:v>LVN</x:v>
      </x:c>
      <x:c r="C15" s="90" t="str">
        <x:v>Patient-Facing Care, Coordination &amp; Field Practice</x:v>
      </x:c>
      <x:c r="D15" s="90" t="str">
        <x:v>Required</x:v>
      </x:c>
      <x:c r="E15" s="90" t="str">
        <x:v>Pathway assignment</x:v>
      </x:c>
      <x:c r="F15" s="90" t="str">
        <x:v>By day 14; before independent duty if earlier</x:v>
      </x:c>
      <x:c r="G15" s="90" t="str">
        <x:v>At hire; then on material revision</x:v>
      </x:c>
      <x:c r="H15" s="92" t="n">
        <x:v>0.8</x:v>
      </x:c>
      <x:c r="I15" s="90" t="str">
        <x:v>80% quiz with patient-identification and escalation cases</x:v>
      </x:c>
      <x:c r="J15" s="90" t="n">
        <x:f>COUNTIF('Policy Assignments'!$A$5:$A$868,A15)</x:f>
        <x:v>12</x:v>
      </x:c>
      <x:c r="K15" s="90" t="str">
        <x:v>Verified internal body</x:v>
      </x:c>
      <x:c r="L15" s="90" t="str">
        <x:v>Ready</x:v>
      </x:c>
      <x:c r="M15" s="90" t="str">
        <x:v>Policy owner + Compliance</x:v>
      </x:c>
      <x:c r="N15" s="90" t="str"/>
    </x:row>
    <x:row r="16" ht="44" customHeight="1">
      <x:c r="A16" s="90" t="str">
        <x:v>LVN-04</x:v>
      </x:c>
      <x:c r="B16" s="90" t="str">
        <x:v>LVN</x:v>
      </x:c>
      <x:c r="C16" s="90" t="str">
        <x:v>Medication, Infection &amp; High-Risk Clinical Care</x:v>
      </x:c>
      <x:c r="D16" s="90" t="str">
        <x:v>Required core + patient/assignment triggered</x:v>
      </x:c>
      <x:c r="E16" s="90" t="str">
        <x:v>Pathway assignment</x:v>
      </x:c>
      <x:c r="F16" s="90" t="str">
        <x:v>By day 14; before independent duty if earlier</x:v>
      </x:c>
      <x:c r="G16" s="90" t="str">
        <x:v>Initial + annual; condition-specific refreshers as assigned</x:v>
      </x:c>
      <x:c r="H16" s="92" t="n">
        <x:v>0.8</x:v>
      </x:c>
      <x:c r="I16" s="90" t="str">
        <x:v>80% quiz plus medication/IPC skills as applicable</x:v>
      </x:c>
      <x:c r="J16" s="90" t="n">
        <x:f>COUNTIF('Policy Assignments'!$A$5:$A$868,A16)</x:f>
        <x:v>11</x:v>
      </x:c>
      <x:c r="K16" s="90" t="str">
        <x:v>Verified internal body</x:v>
      </x:c>
      <x:c r="L16" s="90" t="str">
        <x:v>Ready</x:v>
      </x:c>
      <x:c r="M16" s="90" t="str">
        <x:v>Policy owner + Compliance</x:v>
      </x:c>
      <x:c r="N16" s="90" t="str"/>
    </x:row>
    <x:row r="17" ht="44" customHeight="1">
      <x:c r="A17" s="90" t="str">
        <x:v>LVN-05</x:v>
      </x:c>
      <x:c r="B17" s="90" t="str">
        <x:v>LVN</x:v>
      </x:c>
      <x:c r="C17" s="90" t="str">
        <x:v>Transitions, Specialty Services &amp; Field Safety</x:v>
      </x:c>
      <x:c r="D17" s="90" t="str">
        <x:v>Required transitions + triggered specialty/safety modules</x:v>
      </x:c>
      <x:c r="E17" s="90" t="str">
        <x:v>Pathway assignment</x:v>
      </x:c>
      <x:c r="F17" s="90" t="str">
        <x:v>By day 14; before independent duty if earlier</x:v>
      </x:c>
      <x:c r="G17" s="90" t="str">
        <x:v>At hire; then on material revision</x:v>
      </x:c>
      <x:c r="H17" s="92" t="n">
        <x:v>0.8</x:v>
      </x:c>
      <x:c r="I17" s="90" t="str">
        <x:v>80% quiz plus skill check before specialty assignment</x:v>
      </x:c>
      <x:c r="J17" s="90" t="n">
        <x:f>COUNTIF('Policy Assignments'!$A$5:$A$868,A17)</x:f>
        <x:v>17</x:v>
      </x:c>
      <x:c r="K17" s="90" t="str">
        <x:v>Verified internal body</x:v>
      </x:c>
      <x:c r="L17" s="90" t="str">
        <x:v>Conditional</x:v>
      </x:c>
      <x:c r="M17" s="90" t="str">
        <x:v>Policy owner + Compliance</x:v>
      </x:c>
      <x:c r="N17" s="90" t="str"/>
    </x:row>
    <x:row r="18" ht="44" customHeight="1">
      <x:c r="A18" s="90" t="str">
        <x:v>RN-01</x:v>
      </x:c>
      <x:c r="B18" s="90" t="str">
        <x:v>RN</x:v>
      </x:c>
      <x:c r="C18" s="90" t="str">
        <x:v>RN Role, Scope, HHA Supervision &amp; Competency</x:v>
      </x:c>
      <x:c r="D18" s="90" t="str">
        <x:v>Required</x:v>
      </x:c>
      <x:c r="E18" s="90" t="str">
        <x:v>Pathway assignment</x:v>
      </x:c>
      <x:c r="F18" s="90" t="str">
        <x:v>By day 14; before independent duty if earlier</x:v>
      </x:c>
      <x:c r="G18" s="90" t="str">
        <x:v>At hire; then on material revision</x:v>
      </x:c>
      <x:c r="H18" s="92" t="n">
        <x:v>0.8</x:v>
      </x:c>
      <x:c r="I18" s="90" t="str">
        <x:v>80% quiz plus competency and supervised-practice evidence</x:v>
      </x:c>
      <x:c r="J18" s="90" t="n">
        <x:f>COUNTIF('Policy Assignments'!$A$5:$A$868,A18)</x:f>
        <x:v>8</x:v>
      </x:c>
      <x:c r="K18" s="90" t="str">
        <x:v>Missing role policy body</x:v>
      </x:c>
      <x:c r="L18" s="90" t="str">
        <x:v>Partial hold</x:v>
      </x:c>
      <x:c r="M18" s="90" t="str">
        <x:v>Policy owner + Compliance</x:v>
      </x:c>
      <x:c r="N18" s="90" t="str"/>
    </x:row>
    <x:row r="19" ht="44" customHeight="1">
      <x:c r="A19" s="90" t="str">
        <x:v>RN-02</x:v>
      </x:c>
      <x:c r="B19" s="90" t="str">
        <x:v>RN</x:v>
      </x:c>
      <x:c r="C19" s="90" t="str">
        <x:v>Documentation, Plan of Care &amp; Order Lifecycle</x:v>
      </x:c>
      <x:c r="D19" s="90" t="str">
        <x:v>Required</x:v>
      </x:c>
      <x:c r="E19" s="90" t="str">
        <x:v>Pathway assignment</x:v>
      </x:c>
      <x:c r="F19" s="90" t="str">
        <x:v>By day 14; before independent duty if earlier</x:v>
      </x:c>
      <x:c r="G19" s="90" t="str">
        <x:v>At hire; then on material revision</x:v>
      </x:c>
      <x:c r="H19" s="92" t="n">
        <x:v>0.8</x:v>
      </x:c>
      <x:c r="I19" s="90" t="str">
        <x:v>80% quiz plus documentation/order case</x:v>
      </x:c>
      <x:c r="J19" s="90" t="n">
        <x:f>COUNTIF('Policy Assignments'!$A$5:$A$868,A19)</x:f>
        <x:v>16</x:v>
      </x:c>
      <x:c r="K19" s="90" t="str">
        <x:v>Verified internal body</x:v>
      </x:c>
      <x:c r="L19" s="90" t="str">
        <x:v>Ready</x:v>
      </x:c>
      <x:c r="M19" s="90" t="str">
        <x:v>Policy owner + Compliance</x:v>
      </x:c>
      <x:c r="N19" s="90" t="str"/>
    </x:row>
    <x:row r="20" ht="44" customHeight="1">
      <x:c r="A20" s="90" t="str">
        <x:v>RN-03</x:v>
      </x:c>
      <x:c r="B20" s="90" t="str">
        <x:v>RN</x:v>
      </x:c>
      <x:c r="C20" s="90" t="str">
        <x:v>Comprehensive Assessment &amp; Medicare Eligibility</x:v>
      </x:c>
      <x:c r="D20" s="90" t="str">
        <x:v>Required</x:v>
      </x:c>
      <x:c r="E20" s="90" t="str">
        <x:v>Pathway assignment</x:v>
      </x:c>
      <x:c r="F20" s="90" t="str">
        <x:v>By day 14; before independent duty if earlier</x:v>
      </x:c>
      <x:c r="G20" s="90" t="str">
        <x:v>At hire; then on material revision</x:v>
      </x:c>
      <x:c r="H20" s="92" t="n">
        <x:v>0.85</x:v>
      </x:c>
      <x:c r="I20" s="90" t="str">
        <x:v>85% assessment plus supervised first comprehensive assessment</x:v>
      </x:c>
      <x:c r="J20" s="90" t="n">
        <x:f>COUNTIF('Policy Assignments'!$A$5:$A$868,A20)</x:f>
        <x:v>5</x:v>
      </x:c>
      <x:c r="K20" s="90" t="str">
        <x:v>Authority statement conflicts with current federal rule</x:v>
      </x:c>
      <x:c r="L20" s="90" t="str">
        <x:v>Partial hold</x:v>
      </x:c>
      <x:c r="M20" s="90" t="str">
        <x:v>Policy owner + Compliance</x:v>
      </x:c>
      <x:c r="N20" s="90" t="str"/>
    </x:row>
    <x:row r="21" ht="44" customHeight="1">
      <x:c r="A21" s="90" t="str">
        <x:v>RN-04</x:v>
      </x:c>
      <x:c r="B21" s="90" t="str">
        <x:v>RN</x:v>
      </x:c>
      <x:c r="C21" s="90" t="str">
        <x:v>OASIS Authorization, Accuracy &amp; Submission Integrity</x:v>
      </x:c>
      <x:c r="D21" s="90" t="str">
        <x:v>Required</x:v>
      </x:c>
      <x:c r="E21" s="90" t="str">
        <x:v>Pathway assignment</x:v>
      </x:c>
      <x:c r="F21" s="90" t="str">
        <x:v>By day 14; before independent duty if earlier</x:v>
      </x:c>
      <x:c r="G21" s="90" t="str">
        <x:v>At hire; then on material revision</x:v>
      </x:c>
      <x:c r="H21" s="92" t="n">
        <x:v>0.85</x:v>
      </x:c>
      <x:c r="I21" s="90" t="str">
        <x:v>85% written exam, coding exercise, tool demonstration, supervised SOC</x:v>
      </x:c>
      <x:c r="J21" s="90" t="n">
        <x:f>COUNTIF('Policy Assignments'!$A$5:$A$868,A21)</x:f>
        <x:v>22</x:v>
      </x:c>
      <x:c r="K21" s="90" t="str">
        <x:v>Two overlapping OASIS generations; authority conflict</x:v>
      </x:c>
      <x:c r="L21" s="90" t="str">
        <x:v>Hold</x:v>
      </x:c>
      <x:c r="M21" s="90" t="str">
        <x:v>Policy owner + Compliance</x:v>
      </x:c>
      <x:c r="N21" s="90" t="str">
        <x:v>Choose one canonical OASIS source and correct assessor eligibility before publishing. RN learning objectives remain valid.</x:v>
      </x:c>
    </x:row>
    <x:row r="22" ht="44" customHeight="1">
      <x:c r="A22" s="90" t="str">
        <x:v>RN-05</x:v>
      </x:c>
      <x:c r="B22" s="90" t="str">
        <x:v>RN</x:v>
      </x:c>
      <x:c r="C22" s="90" t="str">
        <x:v>Medication, Infection &amp; High-Risk Clinical Care</x:v>
      </x:c>
      <x:c r="D22" s="90" t="str">
        <x:v>Required core + patient-triggered modules</x:v>
      </x:c>
      <x:c r="E22" s="90" t="str">
        <x:v>Pathway assignment</x:v>
      </x:c>
      <x:c r="F22" s="90" t="str">
        <x:v>By day 14; before independent duty if earlier</x:v>
      </x:c>
      <x:c r="G22" s="90" t="str">
        <x:v>Initial + annual; patient-specific competency as assigned</x:v>
      </x:c>
      <x:c r="H22" s="92" t="n">
        <x:v>0.8</x:v>
      </x:c>
      <x:c r="I22" s="90" t="str">
        <x:v>80% quiz plus medication/reconciliation skills</x:v>
      </x:c>
      <x:c r="J22" s="90" t="n">
        <x:f>COUNTIF('Policy Assignments'!$A$5:$A$868,A22)</x:f>
        <x:v>10</x:v>
      </x:c>
      <x:c r="K22" s="90" t="str">
        <x:v>Verified internal body</x:v>
      </x:c>
      <x:c r="L22" s="90" t="str">
        <x:v>Ready</x:v>
      </x:c>
      <x:c r="M22" s="90" t="str">
        <x:v>Policy owner + Compliance</x:v>
      </x:c>
      <x:c r="N22" s="90" t="str"/>
    </x:row>
    <x:row r="23" ht="44" customHeight="1">
      <x:c r="A23" s="90" t="str">
        <x:v>RN-06</x:v>
      </x:c>
      <x:c r="B23" s="90" t="str">
        <x:v>RN</x:v>
      </x:c>
      <x:c r="C23" s="90" t="str">
        <x:v>Specialty Procedures, Telehealth, IV &amp; Wound Care</x:v>
      </x:c>
      <x:c r="D23" s="90" t="str">
        <x:v>Conditional</x:v>
      </x:c>
      <x:c r="E23" s="90" t="str">
        <x:v>Before assignment/use</x:v>
      </x:c>
      <x:c r="F23" s="90" t="str">
        <x:v>By day 14; before independent duty if earlier</x:v>
      </x:c>
      <x:c r="G23" s="90" t="str">
        <x:v>Before first assignment; annual where policy requires</x:v>
      </x:c>
      <x:c r="H23" s="92" t="n">
        <x:v>0.8</x:v>
      </x:c>
      <x:c r="I23" s="90" t="str">
        <x:v>80% quiz plus return demonstration</x:v>
      </x:c>
      <x:c r="J23" s="90" t="n">
        <x:f>COUNTIF('Policy Assignments'!$A$5:$A$868,A23)</x:f>
        <x:v>5</x:v>
      </x:c>
      <x:c r="K23" s="90" t="str">
        <x:v>Verified internal body</x:v>
      </x:c>
      <x:c r="L23" s="90" t="str">
        <x:v>Conditional</x:v>
      </x:c>
      <x:c r="M23" s="90" t="str">
        <x:v>Policy owner + Compliance</x:v>
      </x:c>
      <x:c r="N23" s="90" t="str"/>
    </x:row>
    <x:row r="24" ht="44" customHeight="1">
      <x:c r="A24" s="90" t="str">
        <x:v>RN-07</x:v>
      </x:c>
      <x:c r="B24" s="90" t="str">
        <x:v>RN</x:v>
      </x:c>
      <x:c r="C24" s="90" t="str">
        <x:v>Transitions, Special Populations &amp; Patient Safeguards</x:v>
      </x:c>
      <x:c r="D24" s="90" t="str">
        <x:v>Required core + population-triggered modules</x:v>
      </x:c>
      <x:c r="E24" s="90" t="str">
        <x:v>Pathway assignment</x:v>
      </x:c>
      <x:c r="F24" s="90" t="str">
        <x:v>By day 14; before independent duty if earlier</x:v>
      </x:c>
      <x:c r="G24" s="90" t="str">
        <x:v>At hire; then on material revision</x:v>
      </x:c>
      <x:c r="H24" s="92" t="n">
        <x:v>0.8</x:v>
      </x:c>
      <x:c r="I24" s="90" t="str">
        <x:v>80% quiz using transition and special-population cases</x:v>
      </x:c>
      <x:c r="J24" s="90" t="n">
        <x:f>COUNTIF('Policy Assignments'!$A$5:$A$868,A24)</x:f>
        <x:v>13</x:v>
      </x:c>
      <x:c r="K24" s="90" t="str">
        <x:v>Verified internal body</x:v>
      </x:c>
      <x:c r="L24" s="90" t="str">
        <x:v>Ready</x:v>
      </x:c>
      <x:c r="M24" s="90" t="str">
        <x:v>Policy owner + Compliance</x:v>
      </x:c>
      <x:c r="N24" s="90" t="str"/>
    </x:row>
    <x:row r="25" ht="44" customHeight="1">
      <x:c r="A25" s="90" t="str">
        <x:v>RN-08</x:v>
      </x:c>
      <x:c r="B25" s="90" t="str">
        <x:v>RN</x:v>
      </x:c>
      <x:c r="C25" s="90" t="str">
        <x:v>Clinical Quality, Documentation Audit &amp; Field Safety</x:v>
      </x:c>
      <x:c r="D25" s="90" t="str">
        <x:v>Required core + exposure/driving triggers</x:v>
      </x:c>
      <x:c r="E25" s="90" t="str">
        <x:v>Pathway assignment</x:v>
      </x:c>
      <x:c r="F25" s="90" t="str">
        <x:v>By day 14; before independent duty if earlier</x:v>
      </x:c>
      <x:c r="G25" s="90" t="str">
        <x:v>At hire; then on material revision</x:v>
      </x:c>
      <x:c r="H25" s="92" t="n">
        <x:v>0.8</x:v>
      </x:c>
      <x:c r="I25" s="90" t="str">
        <x:v>80% quiz; exposure/field drills as applicable</x:v>
      </x:c>
      <x:c r="J25" s="90" t="n">
        <x:f>COUNTIF('Policy Assignments'!$A$5:$A$868,A25)</x:f>
        <x:v>16</x:v>
      </x:c>
      <x:c r="K25" s="90" t="str">
        <x:v>Verified internal body</x:v>
      </x:c>
      <x:c r="L25" s="90" t="str">
        <x:v>Ready</x:v>
      </x:c>
      <x:c r="M25" s="90" t="str">
        <x:v>Policy owner + Compliance</x:v>
      </x:c>
      <x:c r="N25" s="90" t="str"/>
    </x:row>
    <x:row r="26" ht="44" customHeight="1">
      <x:c r="A26" s="90" t="str">
        <x:v>HHA-01</x:v>
      </x:c>
      <x:c r="B26" s="90" t="str">
        <x:v>HHA</x:v>
      </x:c>
      <x:c r="C26" s="90" t="str">
        <x:v>HHA Job Duties, Scope &amp; Care-Plan Compliance</x:v>
      </x:c>
      <x:c r="D26" s="90" t="str">
        <x:v>Required</x:v>
      </x:c>
      <x:c r="E26" s="90" t="str">
        <x:v>Pathway assignment</x:v>
      </x:c>
      <x:c r="F26" s="90" t="str">
        <x:v>By day 14; before independent duty if earlier</x:v>
      </x:c>
      <x:c r="G26" s="90" t="str">
        <x:v>At hire; then on material revision</x:v>
      </x:c>
      <x:c r="H26" s="92" t="n">
        <x:v>0.8</x:v>
      </x:c>
      <x:c r="I26" s="90" t="str">
        <x:v>80% quiz plus care-plan task matching</x:v>
      </x:c>
      <x:c r="J26" s="90" t="n">
        <x:f>COUNTIF('Policy Assignments'!$A$5:$A$868,A26)</x:f>
        <x:v>5</x:v>
      </x:c>
      <x:c r="K26" s="90" t="str">
        <x:v>Verified internal body</x:v>
      </x:c>
      <x:c r="L26" s="90" t="str">
        <x:v>Ready</x:v>
      </x:c>
      <x:c r="M26" s="90" t="str">
        <x:v>Policy owner + Compliance</x:v>
      </x:c>
      <x:c r="N26" s="90" t="str"/>
    </x:row>
    <x:row r="27" ht="44" customHeight="1">
      <x:c r="A27" s="90" t="str">
        <x:v>HHA-02</x:v>
      </x:c>
      <x:c r="B27" s="90" t="str">
        <x:v>HHA</x:v>
      </x:c>
      <x:c r="C27" s="90" t="str">
        <x:v>HHA Competency Evaluation &amp; Supervision</x:v>
      </x:c>
      <x:c r="D27" s="90" t="str">
        <x:v>Required</x:v>
      </x:c>
      <x:c r="E27" s="90" t="str">
        <x:v>Pathway assignment</x:v>
      </x:c>
      <x:c r="F27" s="90" t="str">
        <x:v>By day 14; before independent duty if earlier</x:v>
      </x:c>
      <x:c r="G27" s="90" t="str">
        <x:v>At hire; then on material revision</x:v>
      </x:c>
      <x:c r="H27" s="92" t="n">
        <x:v>0.8</x:v>
      </x:c>
      <x:c r="I27" s="90" t="str">
        <x:v>Direct observation of required tasks; quiz is supplemental</x:v>
      </x:c>
      <x:c r="J27" s="90" t="n">
        <x:f>COUNTIF('Policy Assignments'!$A$5:$A$868,A27)</x:f>
        <x:v>3</x:v>
      </x:c>
      <x:c r="K27" s="90" t="str">
        <x:v>Verified internal body</x:v>
      </x:c>
      <x:c r="L27" s="90" t="str">
        <x:v>Ready</x:v>
      </x:c>
      <x:c r="M27" s="90" t="str">
        <x:v>Policy owner + Compliance</x:v>
      </x:c>
      <x:c r="N27" s="90" t="str"/>
    </x:row>
    <x:row r="28" ht="44" customHeight="1">
      <x:c r="A28" s="90" t="str">
        <x:v>HHA-03</x:v>
      </x:c>
      <x:c r="B28" s="90" t="str">
        <x:v>HHA</x:v>
      </x:c>
      <x:c r="C28" s="90" t="str">
        <x:v>Aide Documentation, Communication &amp; Missed Visits</x:v>
      </x:c>
      <x:c r="D28" s="90" t="str">
        <x:v>Required</x:v>
      </x:c>
      <x:c r="E28" s="90" t="str">
        <x:v>Pathway assignment</x:v>
      </x:c>
      <x:c r="F28" s="90" t="str">
        <x:v>By day 14; before independent duty if earlier</x:v>
      </x:c>
      <x:c r="G28" s="90" t="str">
        <x:v>At hire; then on material revision</x:v>
      </x:c>
      <x:c r="H28" s="92" t="n">
        <x:v>0.8</x:v>
      </x:c>
      <x:c r="I28" s="90" t="str">
        <x:v>80% quiz plus documentation/reporting scenario</x:v>
      </x:c>
      <x:c r="J28" s="90" t="n">
        <x:f>COUNTIF('Policy Assignments'!$A$5:$A$868,A28)</x:f>
        <x:v>9</x:v>
      </x:c>
      <x:c r="K28" s="90" t="str">
        <x:v>Verified internal body</x:v>
      </x:c>
      <x:c r="L28" s="90" t="str">
        <x:v>Ready</x:v>
      </x:c>
      <x:c r="M28" s="90" t="str">
        <x:v>Policy owner + Compliance</x:v>
      </x:c>
      <x:c r="N28" s="90" t="str"/>
    </x:row>
    <x:row r="29" ht="44" customHeight="1">
      <x:c r="A29" s="90" t="str">
        <x:v>HHA-04</x:v>
      </x:c>
      <x:c r="B29" s="90" t="str">
        <x:v>HHA</x:v>
      </x:c>
      <x:c r="C29" s="90" t="str">
        <x:v>Personal Care Safety, Med Reporting, IPC, Falls &amp; Pain</x:v>
      </x:c>
      <x:c r="D29" s="90" t="str">
        <x:v>Required</x:v>
      </x:c>
      <x:c r="E29" s="90" t="str">
        <x:v>Pathway assignment</x:v>
      </x:c>
      <x:c r="F29" s="90" t="str">
        <x:v>By day 14; before independent duty if earlier</x:v>
      </x:c>
      <x:c r="G29" s="90" t="str">
        <x:v>At hire; then on material revision</x:v>
      </x:c>
      <x:c r="H29" s="92" t="n">
        <x:v>0.8</x:v>
      </x:c>
      <x:c r="I29" s="90" t="str">
        <x:v>80% quiz plus safe-care return demonstrations</x:v>
      </x:c>
      <x:c r="J29" s="90" t="n">
        <x:f>COUNTIF('Policy Assignments'!$A$5:$A$868,A29)</x:f>
        <x:v>13</x:v>
      </x:c>
      <x:c r="K29" s="90" t="str">
        <x:v>Verified internal body</x:v>
      </x:c>
      <x:c r="L29" s="90" t="str">
        <x:v>Ready</x:v>
      </x:c>
      <x:c r="M29" s="90" t="str">
        <x:v>Policy owner + Compliance</x:v>
      </x:c>
      <x:c r="N29" s="90" t="str"/>
    </x:row>
    <x:row r="30" ht="44" customHeight="1">
      <x:c r="A30" s="90" t="str">
        <x:v>HHA-05</x:v>
      </x:c>
      <x:c r="B30" s="90" t="str">
        <x:v>HHA</x:v>
      </x:c>
      <x:c r="C30" s="90" t="str">
        <x:v>Annual 12-Hour In-Service &amp; Field Safety</x:v>
      </x:c>
      <x:c r="D30" s="90" t="str">
        <x:v>Annual required hours + triggered modules</x:v>
      </x:c>
      <x:c r="E30" s="90" t="str">
        <x:v>Pathway assignment</x:v>
      </x:c>
      <x:c r="F30" s="90" t="str">
        <x:v>By day 14; before independent duty if earlier</x:v>
      </x:c>
      <x:c r="G30" s="90" t="str">
        <x:v>At least 12 in-service hours each 12-month period</x:v>
      </x:c>
      <x:c r="H30" s="92" t="n">
        <x:v>0.8</x:v>
      </x:c>
      <x:c r="I30" s="90" t="str">
        <x:v>Track ≥12 hours; quiz plus hands-on/simulation elements</x:v>
      </x:c>
      <x:c r="J30" s="90" t="n">
        <x:f>COUNTIF('Policy Assignments'!$A$5:$A$868,A30)</x:f>
        <x:v>14</x:v>
      </x:c>
      <x:c r="K30" s="90" t="str">
        <x:v>Verified internal body</x:v>
      </x:c>
      <x:c r="L30" s="90" t="str">
        <x:v>Ready</x:v>
      </x:c>
      <x:c r="M30" s="90" t="str">
        <x:v>Policy owner + Compliance</x:v>
      </x:c>
      <x:c r="N30" s="90" t="str"/>
    </x:row>
    <x:row r="31" ht="44" customHeight="1">
      <x:c r="A31" s="90" t="str">
        <x:v>PT-01</x:v>
      </x:c>
      <x:c r="B31" s="90" t="str">
        <x:v>PT</x:v>
      </x:c>
      <x:c r="C31" s="90" t="str">
        <x:v>PT Job Duties, Scope, Supervision &amp; Competency</x:v>
      </x:c>
      <x:c r="D31" s="90" t="str">
        <x:v>Required</x:v>
      </x:c>
      <x:c r="E31" s="90" t="str">
        <x:v>Pathway assignment</x:v>
      </x:c>
      <x:c r="F31" s="90" t="str">
        <x:v>By day 14; before independent duty if earlier</x:v>
      </x:c>
      <x:c r="G31" s="90" t="str">
        <x:v>At hire; then on material revision</x:v>
      </x:c>
      <x:c r="H31" s="92" t="n">
        <x:v>0.8</x:v>
      </x:c>
      <x:c r="I31" s="90" t="str">
        <x:v>80% quiz plus discipline competency validation</x:v>
      </x:c>
      <x:c r="J31" s="90" t="n">
        <x:f>COUNTIF('Policy Assignments'!$A$5:$A$868,A31)</x:f>
        <x:v>6</x:v>
      </x:c>
      <x:c r="K31" s="90" t="str">
        <x:v>Missing role policy body</x:v>
      </x:c>
      <x:c r="L31" s="90" t="str">
        <x:v>Partial hold</x:v>
      </x:c>
      <x:c r="M31" s="90" t="str">
        <x:v>Policy owner + Compliance</x:v>
      </x:c>
      <x:c r="N31" s="90" t="str"/>
    </x:row>
    <x:row r="32" ht="44" customHeight="1">
      <x:c r="A32" s="90" t="str">
        <x:v>PT-02</x:v>
      </x:c>
      <x:c r="B32" s="90" t="str">
        <x:v>PT</x:v>
      </x:c>
      <x:c r="C32" s="90" t="str">
        <x:v>Therapy Documentation, Coordination &amp; Field Safety</x:v>
      </x:c>
      <x:c r="D32" s="90" t="str">
        <x:v>Required core + exposure/driving triggers</x:v>
      </x:c>
      <x:c r="E32" s="90" t="str">
        <x:v>Pathway assignment</x:v>
      </x:c>
      <x:c r="F32" s="90" t="str">
        <x:v>By day 14; before independent duty if earlier</x:v>
      </x:c>
      <x:c r="G32" s="90" t="str">
        <x:v>At hire; then on material revision</x:v>
      </x:c>
      <x:c r="H32" s="92" t="n">
        <x:v>0.8</x:v>
      </x:c>
      <x:c r="I32" s="90" t="str">
        <x:v>80% quiz plus documentation/field-safety scenarios</x:v>
      </x:c>
      <x:c r="J32" s="90" t="n">
        <x:f>COUNTIF('Policy Assignments'!$A$5:$A$868,A32)</x:f>
        <x:v>31</x:v>
      </x:c>
      <x:c r="K32" s="90" t="str">
        <x:v>Verified internal body</x:v>
      </x:c>
      <x:c r="L32" s="90" t="str">
        <x:v>Ready</x:v>
      </x:c>
      <x:c r="M32" s="90" t="str">
        <x:v>Policy owner + Compliance</x:v>
      </x:c>
      <x:c r="N32" s="90" t="str"/>
    </x:row>
    <x:row r="33" ht="44" customHeight="1">
      <x:c r="A33" s="90" t="str">
        <x:v>PT-03</x:v>
      </x:c>
      <x:c r="B33" s="90" t="str">
        <x:v>PT</x:v>
      </x:c>
      <x:c r="C33" s="90" t="str">
        <x:v>Therapy-Only OASIS &amp; Specialty PT Services</x:v>
      </x:c>
      <x:c r="D33" s="90" t="str">
        <x:v>Conditional</x:v>
      </x:c>
      <x:c r="E33" s="90" t="str">
        <x:v>Therapy-only assessment authorization or specialty assignment</x:v>
      </x:c>
      <x:c r="F33" s="90" t="str">
        <x:v>By day 14; before independent duty if earlier</x:v>
      </x:c>
      <x:c r="G33" s="90" t="str">
        <x:v>At hire; then on material revision</x:v>
      </x:c>
      <x:c r="H33" s="92" t="n">
        <x:v>0.85</x:v>
      </x:c>
      <x:c r="I33" s="90" t="str">
        <x:v>85% OASIS exam/coding exercise if authorized; skill checks for specialty care</x:v>
      </x:c>
      <x:c r="J33" s="90" t="n">
        <x:f>COUNTIF('Policy Assignments'!$A$5:$A$868,A33)</x:f>
        <x:v>39</x:v>
      </x:c>
      <x:c r="K33" s="90" t="str">
        <x:v>OASIS authority/canonical-source conflict</x:v>
      </x:c>
      <x:c r="L33" s="90" t="str">
        <x:v>Partial hold</x:v>
      </x:c>
      <x:c r="M33" s="90" t="str">
        <x:v>Policy owner + Compliance</x:v>
      </x:c>
      <x:c r="N33" s="90" t="str"/>
    </x:row>
    <x:row r="34" ht="44" customHeight="1">
      <x:c r="A34" s="90" t="str">
        <x:v>PTA-01</x:v>
      </x:c>
      <x:c r="B34" s="90" t="str">
        <x:v>PTA</x:v>
      </x:c>
      <x:c r="C34" s="90" t="str">
        <x:v>PTA Scope Under PT Supervision &amp; Competency</x:v>
      </x:c>
      <x:c r="D34" s="90" t="str">
        <x:v>Required</x:v>
      </x:c>
      <x:c r="E34" s="90" t="str">
        <x:v>Pathway assignment</x:v>
      </x:c>
      <x:c r="F34" s="90" t="str">
        <x:v>By day 14; before independent duty if earlier</x:v>
      </x:c>
      <x:c r="G34" s="90" t="str">
        <x:v>At hire; then on material revision</x:v>
      </x:c>
      <x:c r="H34" s="92" t="n">
        <x:v>0.8</x:v>
      </x:c>
      <x:c r="I34" s="90" t="str">
        <x:v>80% quiz plus supervised competency validation</x:v>
      </x:c>
      <x:c r="J34" s="90" t="n">
        <x:f>COUNTIF('Policy Assignments'!$A$5:$A$868,A34)</x:f>
        <x:v>6</x:v>
      </x:c>
      <x:c r="K34" s="90" t="str">
        <x:v>No dedicated job-description policy</x:v>
      </x:c>
      <x:c r="L34" s="90" t="str">
        <x:v>Partial hold</x:v>
      </x:c>
      <x:c r="M34" s="90" t="str">
        <x:v>Policy owner + Compliance</x:v>
      </x:c>
      <x:c r="N34" s="90" t="str"/>
    </x:row>
    <x:row r="35" ht="44" customHeight="1">
      <x:c r="A35" s="90" t="str">
        <x:v>PTA-02</x:v>
      </x:c>
      <x:c r="B35" s="90" t="str">
        <x:v>PTA</x:v>
      </x:c>
      <x:c r="C35" s="90" t="str">
        <x:v>PTA Documentation, Care-Plan Compliance &amp; Field Safety</x:v>
      </x:c>
      <x:c r="D35" s="90" t="str">
        <x:v>Required core + exposure/driving triggers</x:v>
      </x:c>
      <x:c r="E35" s="90" t="str">
        <x:v>Pathway assignment</x:v>
      </x:c>
      <x:c r="F35" s="90" t="str">
        <x:v>By day 14; before independent duty if earlier</x:v>
      </x:c>
      <x:c r="G35" s="90" t="str">
        <x:v>At hire; then on material revision</x:v>
      </x:c>
      <x:c r="H35" s="92" t="n">
        <x:v>0.8</x:v>
      </x:c>
      <x:c r="I35" s="90" t="str">
        <x:v>80% quiz plus documentation/reporting scenarios</x:v>
      </x:c>
      <x:c r="J35" s="90" t="n">
        <x:f>COUNTIF('Policy Assignments'!$A$5:$A$868,A35)</x:f>
        <x:v>29</x:v>
      </x:c>
      <x:c r="K35" s="90" t="str">
        <x:v>Verified internal body</x:v>
      </x:c>
      <x:c r="L35" s="90" t="str">
        <x:v>Ready</x:v>
      </x:c>
      <x:c r="M35" s="90" t="str">
        <x:v>Policy owner + Compliance</x:v>
      </x:c>
      <x:c r="N35" s="90" t="str"/>
    </x:row>
    <x:row r="36" ht="44" customHeight="1">
      <x:c r="A36" s="90" t="str">
        <x:v>PTA-03</x:v>
      </x:c>
      <x:c r="B36" s="90" t="str">
        <x:v>PTA</x:v>
      </x:c>
      <x:c r="C36" s="90" t="str">
        <x:v>PTA Specialty Safety &amp; Transitions</x:v>
      </x:c>
      <x:c r="D36" s="90" t="str">
        <x:v>Conditional</x:v>
      </x:c>
      <x:c r="E36" s="90" t="str">
        <x:v>Before specialty/patient-population assignment</x:v>
      </x:c>
      <x:c r="F36" s="90" t="str">
        <x:v>By day 14; before independent duty if earlier</x:v>
      </x:c>
      <x:c r="G36" s="90" t="str">
        <x:v>At hire; then on material revision</x:v>
      </x:c>
      <x:c r="H36" s="92" t="n">
        <x:v>0.8</x:v>
      </x:c>
      <x:c r="I36" s="90" t="str">
        <x:v>80% quiz plus discipline-specific skill validation</x:v>
      </x:c>
      <x:c r="J36" s="90" t="n">
        <x:f>COUNTIF('Policy Assignments'!$A$5:$A$868,A36)</x:f>
        <x:v>15</x:v>
      </x:c>
      <x:c r="K36" s="90" t="str">
        <x:v>Verified internal body</x:v>
      </x:c>
      <x:c r="L36" s="90" t="str">
        <x:v>Conditional</x:v>
      </x:c>
      <x:c r="M36" s="90" t="str">
        <x:v>Policy owner + Compliance</x:v>
      </x:c>
      <x:c r="N36" s="90" t="str"/>
    </x:row>
    <x:row r="37" ht="44" customHeight="1">
      <x:c r="A37" s="90" t="str">
        <x:v>OT-01</x:v>
      </x:c>
      <x:c r="B37" s="90" t="str">
        <x:v>OT</x:v>
      </x:c>
      <x:c r="C37" s="90" t="str">
        <x:v>OT Job Duties, Scope, Supervision &amp; Competency</x:v>
      </x:c>
      <x:c r="D37" s="90" t="str">
        <x:v>Required</x:v>
      </x:c>
      <x:c r="E37" s="90" t="str">
        <x:v>Pathway assignment</x:v>
      </x:c>
      <x:c r="F37" s="90" t="str">
        <x:v>By day 14; before independent duty if earlier</x:v>
      </x:c>
      <x:c r="G37" s="90" t="str">
        <x:v>At hire; then on material revision</x:v>
      </x:c>
      <x:c r="H37" s="92" t="n">
        <x:v>0.8</x:v>
      </x:c>
      <x:c r="I37" s="90" t="str">
        <x:v>80% quiz plus discipline competency validation</x:v>
      </x:c>
      <x:c r="J37" s="90" t="n">
        <x:f>COUNTIF('Policy Assignments'!$A$5:$A$868,A37)</x:f>
        <x:v>6</x:v>
      </x:c>
      <x:c r="K37" s="90" t="str">
        <x:v>Missing role policy body</x:v>
      </x:c>
      <x:c r="L37" s="90" t="str">
        <x:v>Partial hold</x:v>
      </x:c>
      <x:c r="M37" s="90" t="str">
        <x:v>Policy owner + Compliance</x:v>
      </x:c>
      <x:c r="N37" s="90" t="str"/>
    </x:row>
    <x:row r="38" ht="44" customHeight="1">
      <x:c r="A38" s="90" t="str">
        <x:v>OT-02</x:v>
      </x:c>
      <x:c r="B38" s="90" t="str">
        <x:v>OT</x:v>
      </x:c>
      <x:c r="C38" s="90" t="str">
        <x:v>Therapy Documentation, Coordination &amp; Field Safety</x:v>
      </x:c>
      <x:c r="D38" s="90" t="str">
        <x:v>Required core + exposure/driving triggers</x:v>
      </x:c>
      <x:c r="E38" s="90" t="str">
        <x:v>Pathway assignment</x:v>
      </x:c>
      <x:c r="F38" s="90" t="str">
        <x:v>By day 14; before independent duty if earlier</x:v>
      </x:c>
      <x:c r="G38" s="90" t="str">
        <x:v>At hire; then on material revision</x:v>
      </x:c>
      <x:c r="H38" s="92" t="n">
        <x:v>0.8</x:v>
      </x:c>
      <x:c r="I38" s="90" t="str">
        <x:v>80% quiz plus documentation/field-safety scenarios</x:v>
      </x:c>
      <x:c r="J38" s="90" t="n">
        <x:f>COUNTIF('Policy Assignments'!$A$5:$A$868,A38)</x:f>
        <x:v>31</x:v>
      </x:c>
      <x:c r="K38" s="90" t="str">
        <x:v>Verified internal body</x:v>
      </x:c>
      <x:c r="L38" s="90" t="str">
        <x:v>Ready</x:v>
      </x:c>
      <x:c r="M38" s="90" t="str">
        <x:v>Policy owner + Compliance</x:v>
      </x:c>
      <x:c r="N38" s="90" t="str"/>
    </x:row>
    <x:row r="39" ht="44" customHeight="1">
      <x:c r="A39" s="90" t="str">
        <x:v>OT-03</x:v>
      </x:c>
      <x:c r="B39" s="90" t="str">
        <x:v>OT</x:v>
      </x:c>
      <x:c r="C39" s="90" t="str">
        <x:v>Therapy-Only OASIS &amp; Specialty OT Services</x:v>
      </x:c>
      <x:c r="D39" s="90" t="str">
        <x:v>Conditional</x:v>
      </x:c>
      <x:c r="E39" s="90" t="str">
        <x:v>Therapy-only assessment authorization or specialty assignment</x:v>
      </x:c>
      <x:c r="F39" s="90" t="str">
        <x:v>By day 14; before independent duty if earlier</x:v>
      </x:c>
      <x:c r="G39" s="90" t="str">
        <x:v>At hire; then on material revision</x:v>
      </x:c>
      <x:c r="H39" s="92" t="n">
        <x:v>0.85</x:v>
      </x:c>
      <x:c r="I39" s="90" t="str">
        <x:v>85% OASIS exam/coding exercise if authorized; skill checks for specialty care</x:v>
      </x:c>
      <x:c r="J39" s="90" t="n">
        <x:f>COUNTIF('Policy Assignments'!$A$5:$A$868,A39)</x:f>
        <x:v>39</x:v>
      </x:c>
      <x:c r="K39" s="90" t="str">
        <x:v>OASIS authority/canonical-source conflict</x:v>
      </x:c>
      <x:c r="L39" s="90" t="str">
        <x:v>Partial hold</x:v>
      </x:c>
      <x:c r="M39" s="90" t="str">
        <x:v>Policy owner + Compliance</x:v>
      </x:c>
      <x:c r="N39" s="90" t="str"/>
    </x:row>
    <x:row r="40" ht="44" customHeight="1">
      <x:c r="A40" s="90" t="str">
        <x:v>COTA-01</x:v>
      </x:c>
      <x:c r="B40" s="90" t="str">
        <x:v>COTA</x:v>
      </x:c>
      <x:c r="C40" s="90" t="str">
        <x:v>COTA Scope Under OT Supervision &amp; Competency</x:v>
      </x:c>
      <x:c r="D40" s="90" t="str">
        <x:v>Required</x:v>
      </x:c>
      <x:c r="E40" s="90" t="str">
        <x:v>Pathway assignment</x:v>
      </x:c>
      <x:c r="F40" s="90" t="str">
        <x:v>By day 14; before independent duty if earlier</x:v>
      </x:c>
      <x:c r="G40" s="90" t="str">
        <x:v>At hire; then on material revision</x:v>
      </x:c>
      <x:c r="H40" s="92" t="n">
        <x:v>0.8</x:v>
      </x:c>
      <x:c r="I40" s="90" t="str">
        <x:v>80% quiz plus supervised competency validation</x:v>
      </x:c>
      <x:c r="J40" s="90" t="n">
        <x:f>COUNTIF('Policy Assignments'!$A$5:$A$868,A40)</x:f>
        <x:v>6</x:v>
      </x:c>
      <x:c r="K40" s="90" t="str">
        <x:v>No dedicated job-description policy</x:v>
      </x:c>
      <x:c r="L40" s="90" t="str">
        <x:v>Partial hold</x:v>
      </x:c>
      <x:c r="M40" s="90" t="str">
        <x:v>Policy owner + Compliance</x:v>
      </x:c>
      <x:c r="N40" s="90" t="str"/>
    </x:row>
    <x:row r="41" ht="44" customHeight="1">
      <x:c r="A41" s="90" t="str">
        <x:v>COTA-02</x:v>
      </x:c>
      <x:c r="B41" s="90" t="str">
        <x:v>COTA</x:v>
      </x:c>
      <x:c r="C41" s="90" t="str">
        <x:v>COTA Documentation, Care-Plan Compliance &amp; Field Safety</x:v>
      </x:c>
      <x:c r="D41" s="90" t="str">
        <x:v>Required core + exposure/driving triggers</x:v>
      </x:c>
      <x:c r="E41" s="90" t="str">
        <x:v>Pathway assignment</x:v>
      </x:c>
      <x:c r="F41" s="90" t="str">
        <x:v>By day 14; before independent duty if earlier</x:v>
      </x:c>
      <x:c r="G41" s="90" t="str">
        <x:v>At hire; then on material revision</x:v>
      </x:c>
      <x:c r="H41" s="92" t="n">
        <x:v>0.8</x:v>
      </x:c>
      <x:c r="I41" s="90" t="str">
        <x:v>80% quiz plus documentation/reporting scenarios</x:v>
      </x:c>
      <x:c r="J41" s="90" t="n">
        <x:f>COUNTIF('Policy Assignments'!$A$5:$A$868,A41)</x:f>
        <x:v>29</x:v>
      </x:c>
      <x:c r="K41" s="90" t="str">
        <x:v>Verified internal body</x:v>
      </x:c>
      <x:c r="L41" s="90" t="str">
        <x:v>Ready</x:v>
      </x:c>
      <x:c r="M41" s="90" t="str">
        <x:v>Policy owner + Compliance</x:v>
      </x:c>
      <x:c r="N41" s="90" t="str"/>
    </x:row>
    <x:row r="42" ht="44" customHeight="1">
      <x:c r="A42" s="90" t="str">
        <x:v>COTA-03</x:v>
      </x:c>
      <x:c r="B42" s="90" t="str">
        <x:v>COTA</x:v>
      </x:c>
      <x:c r="C42" s="90" t="str">
        <x:v>COTA Specialty Safety &amp; Transitions</x:v>
      </x:c>
      <x:c r="D42" s="90" t="str">
        <x:v>Conditional</x:v>
      </x:c>
      <x:c r="E42" s="90" t="str">
        <x:v>Before specialty/patient-population assignment</x:v>
      </x:c>
      <x:c r="F42" s="90" t="str">
        <x:v>By day 14; before independent duty if earlier</x:v>
      </x:c>
      <x:c r="G42" s="90" t="str">
        <x:v>At hire; then on material revision</x:v>
      </x:c>
      <x:c r="H42" s="92" t="n">
        <x:v>0.8</x:v>
      </x:c>
      <x:c r="I42" s="90" t="str">
        <x:v>80% quiz plus discipline-specific skill validation</x:v>
      </x:c>
      <x:c r="J42" s="90" t="n">
        <x:f>COUNTIF('Policy Assignments'!$A$5:$A$868,A42)</x:f>
        <x:v>15</x:v>
      </x:c>
      <x:c r="K42" s="90" t="str">
        <x:v>Verified internal body</x:v>
      </x:c>
      <x:c r="L42" s="90" t="str">
        <x:v>Conditional</x:v>
      </x:c>
      <x:c r="M42" s="90" t="str">
        <x:v>Policy owner + Compliance</x:v>
      </x:c>
      <x:c r="N42" s="90" t="str"/>
    </x:row>
    <x:row r="43" ht="44" customHeight="1">
      <x:c r="A43" s="90" t="str">
        <x:v>SLP-01</x:v>
      </x:c>
      <x:c r="B43" s="90" t="str">
        <x:v>SLP</x:v>
      </x:c>
      <x:c r="C43" s="90" t="str">
        <x:v>SLP Practice, Documentation, Field Safety &amp; Conditional OASIS</x:v>
      </x:c>
      <x:c r="D43" s="90" t="str">
        <x:v>Required</x:v>
      </x:c>
      <x:c r="E43" s="90" t="str">
        <x:v>Pathway assignment</x:v>
      </x:c>
      <x:c r="F43" s="90" t="str">
        <x:v>By day 14; before independent duty if earlier</x:v>
      </x:c>
      <x:c r="G43" s="90" t="str">
        <x:v>At hire; then on material revision</x:v>
      </x:c>
      <x:c r="H43" s="92" t="n">
        <x:v>0.85</x:v>
      </x:c>
      <x:c r="I43" s="90" t="str">
        <x:v>80% role quiz; 85% OASIS assessment and coding exercise if authorized</x:v>
      </x:c>
      <x:c r="J43" s="90" t="n">
        <x:f>COUNTIF('Policy Assignments'!$A$5:$A$868,A43)</x:f>
        <x:v>75</x:v>
      </x:c>
      <x:c r="K43" s="90" t="str">
        <x:v>Missing role body + OASIS conflict</x:v>
      </x:c>
      <x:c r="L43" s="90" t="str">
        <x:v>Partial hold</x:v>
      </x:c>
      <x:c r="M43" s="90" t="str">
        <x:v>Policy owner + Compliance</x:v>
      </x:c>
      <x:c r="N43" s="90" t="str"/>
    </x:row>
    <x:row r="44" ht="44" customHeight="1">
      <x:c r="A44" s="90" t="str">
        <x:v>MSW-01</x:v>
      </x:c>
      <x:c r="B44" s="90" t="str">
        <x:v>MSW</x:v>
      </x:c>
      <x:c r="C44" s="90" t="str">
        <x:v>MSW Practice, Documentation, Coordination &amp; Field Safety</x:v>
      </x:c>
      <x:c r="D44" s="90" t="str">
        <x:v>Required core + population/exposure triggers</x:v>
      </x:c>
      <x:c r="E44" s="90" t="str">
        <x:v>Pathway assignment</x:v>
      </x:c>
      <x:c r="F44" s="90" t="str">
        <x:v>By day 14; before independent duty if earlier</x:v>
      </x:c>
      <x:c r="G44" s="90" t="str">
        <x:v>At hire; then on material revision</x:v>
      </x:c>
      <x:c r="H44" s="92" t="n">
        <x:v>0.8</x:v>
      </x:c>
      <x:c r="I44" s="90" t="str">
        <x:v>80% quiz using psychosocial, SDOH, abuse, and escalation cases</x:v>
      </x:c>
      <x:c r="J44" s="90" t="n">
        <x:f>COUNTIF('Policy Assignments'!$A$5:$A$868,A44)</x:f>
        <x:v>45</x:v>
      </x:c>
      <x:c r="K44" s="90" t="str">
        <x:v>Verified internal body</x:v>
      </x:c>
      <x:c r="L44" s="90" t="str">
        <x:v>Ready</x:v>
      </x:c>
      <x:c r="M44" s="90" t="str">
        <x:v>Policy owner + Compliance</x:v>
      </x:c>
      <x:c r="N44" s="90" t="str"/>
    </x:row>
    <x:row r="45" ht="44" customHeight="1">
      <x:c r="A45" s="90" t="str">
        <x:v>ADM-01</x:v>
      </x:c>
      <x:c r="B45" s="90" t="str">
        <x:v>ADM</x:v>
      </x:c>
      <x:c r="C45" s="90" t="str">
        <x:v>Administrator Authority, Accountability &amp; Delegation</x:v>
      </x:c>
      <x:c r="D45" s="90" t="str">
        <x:v>Required</x:v>
      </x:c>
      <x:c r="E45" s="90" t="str">
        <x:v>Pathway assignment</x:v>
      </x:c>
      <x:c r="F45" s="90" t="str">
        <x:v>By day 14; before independent duty if earlier</x:v>
      </x:c>
      <x:c r="G45" s="90" t="str">
        <x:v>At hire; then on material revision</x:v>
      </x:c>
      <x:c r="H45" s="92" t="n">
        <x:v>0.8</x:v>
      </x:c>
      <x:c r="I45" s="90" t="str">
        <x:v>80% leadership scenario quiz</x:v>
      </x:c>
      <x:c r="J45" s="90" t="n">
        <x:f>COUNTIF('Policy Assignments'!$A$5:$A$868,A45)</x:f>
        <x:v>7</x:v>
      </x:c>
      <x:c r="K45" s="90" t="str">
        <x:v>GB-001 absent from generated library</x:v>
      </x:c>
      <x:c r="L45" s="90" t="str">
        <x:v>Partial hold</x:v>
      </x:c>
      <x:c r="M45" s="90" t="str">
        <x:v>Policy owner + Compliance</x:v>
      </x:c>
      <x:c r="N45" s="90" t="str"/>
    </x:row>
    <x:row r="46" ht="44" customHeight="1">
      <x:c r="A46" s="90" t="str">
        <x:v>ADM-02</x:v>
      </x:c>
      <x:c r="B46" s="90" t="str">
        <x:v>ADM</x:v>
      </x:c>
      <x:c r="C46" s="90" t="str">
        <x:v>Governance, Board Operations &amp; Policy Lifecycle</x:v>
      </x:c>
      <x:c r="D46" s="90" t="str">
        <x:v>Required</x:v>
      </x:c>
      <x:c r="E46" s="90" t="str">
        <x:v>Pathway assignment</x:v>
      </x:c>
      <x:c r="F46" s="90" t="str">
        <x:v>By day 14; before independent duty if earlier</x:v>
      </x:c>
      <x:c r="G46" s="90" t="str">
        <x:v>At hire; then on material revision</x:v>
      </x:c>
      <x:c r="H46" s="92" t="n">
        <x:v>0.8</x:v>
      </x:c>
      <x:c r="I46" s="90" t="str">
        <x:v>80% governance/policy decision quiz</x:v>
      </x:c>
      <x:c r="J46" s="90" t="n">
        <x:f>COUNTIF('Policy Assignments'!$A$5:$A$868,A46)</x:f>
        <x:v>11</x:v>
      </x:c>
      <x:c r="K46" s="90" t="str">
        <x:v>Verified internal body</x:v>
      </x:c>
      <x:c r="L46" s="90" t="str">
        <x:v>Ready</x:v>
      </x:c>
      <x:c r="M46" s="90" t="str">
        <x:v>Policy owner + Compliance</x:v>
      </x:c>
      <x:c r="N46" s="90" t="str"/>
    </x:row>
    <x:row r="47" ht="44" customHeight="1">
      <x:c r="A47" s="90" t="str">
        <x:v>ADM-03</x:v>
      </x:c>
      <x:c r="B47" s="90" t="str">
        <x:v>ADM</x:v>
      </x:c>
      <x:c r="C47" s="90" t="str">
        <x:v>Compliance Leadership &amp; Survey Readiness</x:v>
      </x:c>
      <x:c r="D47" s="90" t="str">
        <x:v>Required</x:v>
      </x:c>
      <x:c r="E47" s="90" t="str">
        <x:v>Pathway assignment</x:v>
      </x:c>
      <x:c r="F47" s="90" t="str">
        <x:v>By day 14; before independent duty if earlier</x:v>
      </x:c>
      <x:c r="G47" s="90" t="str">
        <x:v>At hire; then on material revision</x:v>
      </x:c>
      <x:c r="H47" s="92" t="n">
        <x:v>0.8</x:v>
      </x:c>
      <x:c r="I47" s="90" t="str">
        <x:v>80% survey/compliance case quiz</x:v>
      </x:c>
      <x:c r="J47" s="90" t="n">
        <x:f>COUNTIF('Policy Assignments'!$A$5:$A$868,A47)</x:f>
        <x:v>12</x:v>
      </x:c>
      <x:c r="K47" s="90" t="str">
        <x:v>Verified internal body</x:v>
      </x:c>
      <x:c r="L47" s="90" t="str">
        <x:v>Ready</x:v>
      </x:c>
      <x:c r="M47" s="90" t="str">
        <x:v>Policy owner + Compliance</x:v>
      </x:c>
      <x:c r="N47" s="90" t="str"/>
    </x:row>
    <x:row r="48" ht="44" customHeight="1">
      <x:c r="A48" s="90" t="str">
        <x:v>ADM-04</x:v>
      </x:c>
      <x:c r="B48" s="90" t="str">
        <x:v>ADM</x:v>
      </x:c>
      <x:c r="C48" s="90" t="str">
        <x:v>QAPI Governance &amp; Data-Driven Oversight</x:v>
      </x:c>
      <x:c r="D48" s="90" t="str">
        <x:v>Required</x:v>
      </x:c>
      <x:c r="E48" s="90" t="str">
        <x:v>Pathway assignment</x:v>
      </x:c>
      <x:c r="F48" s="90" t="str">
        <x:v>By day 14; before independent duty if earlier</x:v>
      </x:c>
      <x:c r="G48" s="90" t="str">
        <x:v>At hire; then on material revision</x:v>
      </x:c>
      <x:c r="H48" s="92" t="n">
        <x:v>0.8</x:v>
      </x:c>
      <x:c r="I48" s="90" t="str">
        <x:v>80% QAPI governance scenario quiz</x:v>
      </x:c>
      <x:c r="J48" s="90" t="n">
        <x:f>COUNTIF('Policy Assignments'!$A$5:$A$868,A48)</x:f>
        <x:v>16</x:v>
      </x:c>
      <x:c r="K48" s="90" t="str">
        <x:v>Verified internal body</x:v>
      </x:c>
      <x:c r="L48" s="90" t="str">
        <x:v>Ready</x:v>
      </x:c>
      <x:c r="M48" s="90" t="str">
        <x:v>Policy owner + Compliance</x:v>
      </x:c>
      <x:c r="N48" s="90" t="str"/>
    </x:row>
    <x:row r="49" ht="44" customHeight="1">
      <x:c r="A49" s="90" t="str">
        <x:v>ADM-05</x:v>
      </x:c>
      <x:c r="B49" s="90" t="str">
        <x:v>ADM</x:v>
      </x:c>
      <x:c r="C49" s="90" t="str">
        <x:v>Enterprise Risk, Emergency &amp; Claims Leadership</x:v>
      </x:c>
      <x:c r="D49" s="90" t="str">
        <x:v>Required</x:v>
      </x:c>
      <x:c r="E49" s="90" t="str">
        <x:v>Pathway assignment</x:v>
      </x:c>
      <x:c r="F49" s="90" t="str">
        <x:v>By day 14; before independent duty if earlier</x:v>
      </x:c>
      <x:c r="G49" s="90" t="str">
        <x:v>At hire; then on material revision</x:v>
      </x:c>
      <x:c r="H49" s="92" t="n">
        <x:v>0.8</x:v>
      </x:c>
      <x:c r="I49" s="90" t="str">
        <x:v>80% risk/emergency case quiz plus exercise participation</x:v>
      </x:c>
      <x:c r="J49" s="90" t="n">
        <x:f>COUNTIF('Policy Assignments'!$A$5:$A$868,A49)</x:f>
        <x:v>9</x:v>
      </x:c>
      <x:c r="K49" s="90" t="str">
        <x:v>Verified internal body</x:v>
      </x:c>
      <x:c r="L49" s="90" t="str">
        <x:v>Ready</x:v>
      </x:c>
      <x:c r="M49" s="90" t="str">
        <x:v>Policy owner + Compliance</x:v>
      </x:c>
      <x:c r="N49" s="90" t="str"/>
    </x:row>
    <x:row r="50" ht="44" customHeight="1">
      <x:c r="A50" s="90" t="str">
        <x:v>ADM-06</x:v>
      </x:c>
      <x:c r="B50" s="90" t="str">
        <x:v>ADM</x:v>
      </x:c>
      <x:c r="C50" s="90" t="str">
        <x:v>Workforce, Training, Competency &amp; Employee Relations Leadership</x:v>
      </x:c>
      <x:c r="D50" s="90" t="str">
        <x:v>Required</x:v>
      </x:c>
      <x:c r="E50" s="90" t="str">
        <x:v>Pathway assignment</x:v>
      </x:c>
      <x:c r="F50" s="90" t="str">
        <x:v>By day 14; before independent duty if earlier</x:v>
      </x:c>
      <x:c r="G50" s="90" t="str">
        <x:v>At hire; then on material revision</x:v>
      </x:c>
      <x:c r="H50" s="92" t="n">
        <x:v>0.8</x:v>
      </x:c>
      <x:c r="I50" s="90" t="str">
        <x:v>80% supervisor quiz; 2-hour interactive harassment course every 2 years</x:v>
      </x:c>
      <x:c r="J50" s="90" t="n">
        <x:f>COUNTIF('Policy Assignments'!$A$5:$A$868,A50)</x:f>
        <x:v>14</x:v>
      </x:c>
      <x:c r="K50" s="90" t="str">
        <x:v>Harassment statutory description requires correction</x:v>
      </x:c>
      <x:c r="L50" s="90" t="str">
        <x:v>Partial hold</x:v>
      </x:c>
      <x:c r="M50" s="90" t="str">
        <x:v>Policy owner + Compliance</x:v>
      </x:c>
      <x:c r="N50" s="90" t="str"/>
    </x:row>
    <x:row r="51" ht="44" customHeight="1">
      <x:c r="A51" s="90" t="str">
        <x:v>ADM-07</x:v>
      </x:c>
      <x:c r="B51" s="90" t="str">
        <x:v>ADM</x:v>
      </x:c>
      <x:c r="C51" s="90" t="str">
        <x:v>Financial Stewardship, Licensure &amp; Agency Continuity</x:v>
      </x:c>
      <x:c r="D51" s="90" t="str">
        <x:v>Required</x:v>
      </x:c>
      <x:c r="E51" s="90" t="str">
        <x:v>Pathway assignment</x:v>
      </x:c>
      <x:c r="F51" s="90" t="str">
        <x:v>By day 14; before independent duty if earlier</x:v>
      </x:c>
      <x:c r="G51" s="90" t="str">
        <x:v>At hire; then on material revision</x:v>
      </x:c>
      <x:c r="H51" s="92" t="n">
        <x:v>0.8</x:v>
      </x:c>
      <x:c r="I51" s="90" t="str">
        <x:v>80% executive decision quiz</x:v>
      </x:c>
      <x:c r="J51" s="90" t="n">
        <x:f>COUNTIF('Policy Assignments'!$A$5:$A$868,A51)</x:f>
        <x:v>7</x:v>
      </x:c>
      <x:c r="K51" s="90" t="str">
        <x:v>Verified internal body</x:v>
      </x:c>
      <x:c r="L51" s="90" t="str">
        <x:v>Ready</x:v>
      </x:c>
      <x:c r="M51" s="90" t="str">
        <x:v>Policy owner + Compliance</x:v>
      </x:c>
      <x:c r="N51" s="90" t="str"/>
    </x:row>
    <x:row r="52" ht="44" customHeight="1">
      <x:c r="A52" s="90" t="str">
        <x:v>DON-01</x:v>
      </x:c>
      <x:c r="B52" s="90" t="str">
        <x:v>DON</x:v>
      </x:c>
      <x:c r="C52" s="90" t="str">
        <x:v>DON / Clinical Manager Authority, Delegation &amp; Role</x:v>
      </x:c>
      <x:c r="D52" s="90" t="str">
        <x:v>Required</x:v>
      </x:c>
      <x:c r="E52" s="90" t="str">
        <x:v>Pathway assignment</x:v>
      </x:c>
      <x:c r="F52" s="90" t="str">
        <x:v>By day 14; before independent duty if earlier</x:v>
      </x:c>
      <x:c r="G52" s="90" t="str">
        <x:v>At hire; then on material revision</x:v>
      </x:c>
      <x:c r="H52" s="92" t="n">
        <x:v>0.8</x:v>
      </x:c>
      <x:c r="I52" s="90" t="str">
        <x:v>80% clinical-leadership scenario quiz</x:v>
      </x:c>
      <x:c r="J52" s="90" t="n">
        <x:f>COUNTIF('Policy Assignments'!$A$5:$A$868,A52)</x:f>
        <x:v>6</x:v>
      </x:c>
      <x:c r="K52" s="90" t="str">
        <x:v>Verified internal body</x:v>
      </x:c>
      <x:c r="L52" s="90" t="str">
        <x:v>Ready</x:v>
      </x:c>
      <x:c r="M52" s="90" t="str">
        <x:v>Policy owner + Compliance</x:v>
      </x:c>
      <x:c r="N52" s="90" t="str"/>
    </x:row>
    <x:row r="53" ht="44" customHeight="1">
      <x:c r="A53" s="90" t="str">
        <x:v>DON-02</x:v>
      </x:c>
      <x:c r="B53" s="90" t="str">
        <x:v>DON</x:v>
      </x:c>
      <x:c r="C53" s="90" t="str">
        <x:v>Clinical Documentation, Orders &amp; Care Coordination Oversight</x:v>
      </x:c>
      <x:c r="D53" s="90" t="str">
        <x:v>Required</x:v>
      </x:c>
      <x:c r="E53" s="90" t="str">
        <x:v>Pathway assignment</x:v>
      </x:c>
      <x:c r="F53" s="90" t="str">
        <x:v>By day 14; before independent duty if earlier</x:v>
      </x:c>
      <x:c r="G53" s="90" t="str">
        <x:v>At hire; then on material revision</x:v>
      </x:c>
      <x:c r="H53" s="92" t="n">
        <x:v>0.8</x:v>
      </x:c>
      <x:c r="I53" s="90" t="str">
        <x:v>80% audit/clinical-documentation case quiz</x:v>
      </x:c>
      <x:c r="J53" s="90" t="n">
        <x:f>COUNTIF('Policy Assignments'!$A$5:$A$868,A53)</x:f>
        <x:v>19</x:v>
      </x:c>
      <x:c r="K53" s="90" t="str">
        <x:v>Overlapping documentation generations require consolidation</x:v>
      </x:c>
      <x:c r="L53" s="90" t="str">
        <x:v>Ready</x:v>
      </x:c>
      <x:c r="M53" s="90" t="str">
        <x:v>Policy owner + Compliance</x:v>
      </x:c>
      <x:c r="N53" s="90" t="str"/>
    </x:row>
    <x:row r="54" ht="44" customHeight="1">
      <x:c r="A54" s="90" t="str">
        <x:v>DON-03</x:v>
      </x:c>
      <x:c r="B54" s="90" t="str">
        <x:v>DON</x:v>
      </x:c>
      <x:c r="C54" s="90" t="str">
        <x:v>Assessment &amp; OASIS Governance</x:v>
      </x:c>
      <x:c r="D54" s="90" t="str">
        <x:v>Required</x:v>
      </x:c>
      <x:c r="E54" s="90" t="str">
        <x:v>Pathway assignment</x:v>
      </x:c>
      <x:c r="F54" s="90" t="str">
        <x:v>By day 14; before independent duty if earlier</x:v>
      </x:c>
      <x:c r="G54" s="90" t="str">
        <x:v>At hire; then on material revision</x:v>
      </x:c>
      <x:c r="H54" s="92" t="n">
        <x:v>0.85</x:v>
      </x:c>
      <x:c r="I54" s="90" t="str">
        <x:v>85% OASIS governance assessment plus audit/coding exercise</x:v>
      </x:c>
      <x:c r="J54" s="90" t="n">
        <x:f>COUNTIF('Policy Assignments'!$A$5:$A$868,A54)</x:f>
        <x:v>27</x:v>
      </x:c>
      <x:c r="K54" s="90" t="str">
        <x:v>OASIS authority/canonical-source conflict</x:v>
      </x:c>
      <x:c r="L54" s="90" t="str">
        <x:v>Hold</x:v>
      </x:c>
      <x:c r="M54" s="90" t="str">
        <x:v>Policy owner + Compliance</x:v>
      </x:c>
      <x:c r="N54" s="90" t="str"/>
    </x:row>
    <x:row r="55" ht="44" customHeight="1">
      <x:c r="A55" s="90" t="str">
        <x:v>DON-04</x:v>
      </x:c>
      <x:c r="B55" s="90" t="str">
        <x:v>DON</x:v>
      </x:c>
      <x:c r="C55" s="90" t="str">
        <x:v>Discipline Services, HHA Supervision &amp; Competency</x:v>
      </x:c>
      <x:c r="D55" s="90" t="str">
        <x:v>Required</x:v>
      </x:c>
      <x:c r="E55" s="90" t="str">
        <x:v>Pathway assignment</x:v>
      </x:c>
      <x:c r="F55" s="90" t="str">
        <x:v>By day 14; before independent duty if earlier</x:v>
      </x:c>
      <x:c r="G55" s="90" t="str">
        <x:v>At hire; then on material revision</x:v>
      </x:c>
      <x:c r="H55" s="92" t="n">
        <x:v>0.8</x:v>
      </x:c>
      <x:c r="I55" s="90" t="str">
        <x:v>80% supervision quiz plus evaluator competency</x:v>
      </x:c>
      <x:c r="J55" s="90" t="n">
        <x:f>COUNTIF('Policy Assignments'!$A$5:$A$868,A55)</x:f>
        <x:v>9</x:v>
      </x:c>
      <x:c r="K55" s="90" t="str">
        <x:v>Verified internal body</x:v>
      </x:c>
      <x:c r="L55" s="90" t="str">
        <x:v>Ready</x:v>
      </x:c>
      <x:c r="M55" s="90" t="str">
        <x:v>Policy owner + Compliance</x:v>
      </x:c>
      <x:c r="N55" s="90" t="str"/>
    </x:row>
    <x:row r="56" ht="44" customHeight="1">
      <x:c r="A56" s="90" t="str">
        <x:v>DON-05</x:v>
      </x:c>
      <x:c r="B56" s="90" t="str">
        <x:v>DON</x:v>
      </x:c>
      <x:c r="C56" s="90" t="str">
        <x:v>Medication, Specialty &amp; High-Risk Clinical Governance</x:v>
      </x:c>
      <x:c r="D56" s="90" t="str">
        <x:v>Required oversight + service-line triggered detail</x:v>
      </x:c>
      <x:c r="E56" s="90" t="str">
        <x:v>Pathway assignment</x:v>
      </x:c>
      <x:c r="F56" s="90" t="str">
        <x:v>By day 14; before independent duty if earlier</x:v>
      </x:c>
      <x:c r="G56" s="90" t="str">
        <x:v>At hire; then on material revision</x:v>
      </x:c>
      <x:c r="H56" s="92" t="n">
        <x:v>0.8</x:v>
      </x:c>
      <x:c r="I56" s="90" t="str">
        <x:v>80% governance quiz plus specialty competency review</x:v>
      </x:c>
      <x:c r="J56" s="90" t="n">
        <x:f>COUNTIF('Policy Assignments'!$A$5:$A$868,A56)</x:f>
        <x:v>18</x:v>
      </x:c>
      <x:c r="K56" s="90" t="str">
        <x:v>Verified internal body</x:v>
      </x:c>
      <x:c r="L56" s="90" t="str">
        <x:v>Ready</x:v>
      </x:c>
      <x:c r="M56" s="90" t="str">
        <x:v>Policy owner + Compliance</x:v>
      </x:c>
      <x:c r="N56" s="90" t="str"/>
    </x:row>
    <x:row r="57" ht="44" customHeight="1">
      <x:c r="A57" s="90" t="str">
        <x:v>DON-06</x:v>
      </x:c>
      <x:c r="B57" s="90" t="str">
        <x:v>DON</x:v>
      </x:c>
      <x:c r="C57" s="90" t="str">
        <x:v>Clinical QAPI, Outcomes &amp; Patient Safety</x:v>
      </x:c>
      <x:c r="D57" s="90" t="str">
        <x:v>Required</x:v>
      </x:c>
      <x:c r="E57" s="90" t="str">
        <x:v>Pathway assignment</x:v>
      </x:c>
      <x:c r="F57" s="90" t="str">
        <x:v>By day 14; before independent duty if earlier</x:v>
      </x:c>
      <x:c r="G57" s="90" t="str">
        <x:v>At hire; then on material revision</x:v>
      </x:c>
      <x:c r="H57" s="92" t="n">
        <x:v>0.8</x:v>
      </x:c>
      <x:c r="I57" s="90" t="str">
        <x:v>80% QAPI case quiz plus project/data review</x:v>
      </x:c>
      <x:c r="J57" s="90" t="n">
        <x:f>COUNTIF('Policy Assignments'!$A$5:$A$868,A57)</x:f>
        <x:v>19</x:v>
      </x:c>
      <x:c r="K57" s="90" t="str">
        <x:v>Verified internal body</x:v>
      </x:c>
      <x:c r="L57" s="90" t="str">
        <x:v>Ready</x:v>
      </x:c>
      <x:c r="M57" s="90" t="str">
        <x:v>Policy owner + Compliance</x:v>
      </x:c>
      <x:c r="N57" s="90" t="str"/>
    </x:row>
    <x:row r="58" ht="44" customHeight="1">
      <x:c r="A58" s="90" t="str">
        <x:v>DON-07</x:v>
      </x:c>
      <x:c r="B58" s="90" t="str">
        <x:v>DON</x:v>
      </x:c>
      <x:c r="C58" s="90" t="str">
        <x:v>Clinical Compliance, Survey &amp; Documentation Audit</x:v>
      </x:c>
      <x:c r="D58" s="90" t="str">
        <x:v>Required</x:v>
      </x:c>
      <x:c r="E58" s="90" t="str">
        <x:v>Pathway assignment</x:v>
      </x:c>
      <x:c r="F58" s="90" t="str">
        <x:v>By day 14; before independent duty if earlier</x:v>
      </x:c>
      <x:c r="G58" s="90" t="str">
        <x:v>At hire; then on material revision</x:v>
      </x:c>
      <x:c r="H58" s="92" t="n">
        <x:v>0.8</x:v>
      </x:c>
      <x:c r="I58" s="90" t="str">
        <x:v>80% survey/audit scenario quiz</x:v>
      </x:c>
      <x:c r="J58" s="90" t="n">
        <x:f>COUNTIF('Policy Assignments'!$A$5:$A$868,A58)</x:f>
        <x:v>15</x:v>
      </x:c>
      <x:c r="K58" s="90" t="str">
        <x:v>Verified internal body</x:v>
      </x:c>
      <x:c r="L58" s="90" t="str">
        <x:v>Ready</x:v>
      </x:c>
      <x:c r="M58" s="90" t="str">
        <x:v>Policy owner + Compliance</x:v>
      </x:c>
      <x:c r="N58" s="90" t="str"/>
    </x:row>
    <x:row r="59" ht="44" customHeight="1">
      <x:c r="A59" s="90" t="str">
        <x:v>DON-08</x:v>
      </x:c>
      <x:c r="B59" s="90" t="str">
        <x:v>DON</x:v>
      </x:c>
      <x:c r="C59" s="90" t="str">
        <x:v>Clinical Workforce, Emergency &amp; Risk Leadership</x:v>
      </x:c>
      <x:c r="D59" s="90" t="str">
        <x:v>Required</x:v>
      </x:c>
      <x:c r="E59" s="90" t="str">
        <x:v>Pathway assignment</x:v>
      </x:c>
      <x:c r="F59" s="90" t="str">
        <x:v>By day 14; before independent duty if earlier</x:v>
      </x:c>
      <x:c r="G59" s="90" t="str">
        <x:v>At hire; then on material revision</x:v>
      </x:c>
      <x:c r="H59" s="92" t="n">
        <x:v>0.8</x:v>
      </x:c>
      <x:c r="I59" s="90" t="str">
        <x:v>80% supervisor quiz; drills; 2-hour interactive harassment course every 2 years</x:v>
      </x:c>
      <x:c r="J59" s="90" t="n">
        <x:f>COUNTIF('Policy Assignments'!$A$5:$A$868,A59)</x:f>
        <x:v>19</x:v>
      </x:c>
      <x:c r="K59" s="90" t="str">
        <x:v>Harassment statutory description requires correction</x:v>
      </x:c>
      <x:c r="L59" s="90" t="str">
        <x:v>Partial hold</x:v>
      </x:c>
      <x:c r="M59" s="90" t="str">
        <x:v>Policy owner + Compliance</x:v>
      </x:c>
      <x:c r="N59" s="90" t="str"/>
    </x:row>
    <x:row r="60" ht="44" customHeight="1">
      <x:c r="A60" s="90" t="str">
        <x:v>GB-01</x:v>
      </x:c>
      <x:c r="B60" s="90" t="str">
        <x:v>GB</x:v>
      </x:c>
      <x:c r="C60" s="90" t="str">
        <x:v>Governing Body Authority &amp; Responsibilities</x:v>
      </x:c>
      <x:c r="D60" s="90" t="str">
        <x:v>Required</x:v>
      </x:c>
      <x:c r="E60" s="90" t="str">
        <x:v>Pathway assignment</x:v>
      </x:c>
      <x:c r="F60" s="90" t="str">
        <x:v>Before voting/acting independently</x:v>
      </x:c>
      <x:c r="G60" s="90" t="str">
        <x:v>At hire; then on material revision</x:v>
      </x:c>
      <x:c r="H60" s="92" t="n">
        <x:v>0.8</x:v>
      </x:c>
      <x:c r="I60" s="90" t="str">
        <x:v>80% governance scenario quiz</x:v>
      </x:c>
      <x:c r="J60" s="90" t="n">
        <x:f>COUNTIF('Policy Assignments'!$A$5:$A$868,A60)</x:f>
        <x:v>1</x:v>
      </x:c>
      <x:c r="K60" s="90" t="str">
        <x:v>Raw policy exists; generated body missing</x:v>
      </x:c>
      <x:c r="L60" s="90" t="str">
        <x:v>Hold</x:v>
      </x:c>
      <x:c r="M60" s="90" t="str">
        <x:v>Policy owner + Compliance</x:v>
      </x:c>
      <x:c r="N60" s="90" t="str"/>
    </x:row>
    <x:row r="61" ht="44" customHeight="1">
      <x:c r="A61" s="90" t="str">
        <x:v>GB-02</x:v>
      </x:c>
      <x:c r="B61" s="90" t="str">
        <x:v>GB</x:v>
      </x:c>
      <x:c r="C61" s="90" t="str">
        <x:v>Board Meetings, Minutes &amp; Evidence</x:v>
      </x:c>
      <x:c r="D61" s="90" t="str">
        <x:v>Required</x:v>
      </x:c>
      <x:c r="E61" s="90" t="str">
        <x:v>Pathway assignment</x:v>
      </x:c>
      <x:c r="F61" s="90" t="str">
        <x:v>By day 14; before independent duty if earlier</x:v>
      </x:c>
      <x:c r="G61" s="90" t="str">
        <x:v>At hire; then on material revision</x:v>
      </x:c>
      <x:c r="H61" s="92" t="n">
        <x:v>0.8</x:v>
      </x:c>
      <x:c r="I61" s="90" t="str">
        <x:v>80% quiz</x:v>
      </x:c>
      <x:c r="J61" s="90" t="n">
        <x:f>COUNTIF('Policy Assignments'!$A$5:$A$868,A61)</x:f>
        <x:v>1</x:v>
      </x:c>
      <x:c r="K61" s="90" t="str">
        <x:v>Verified internal body</x:v>
      </x:c>
      <x:c r="L61" s="90" t="str">
        <x:v>Ready</x:v>
      </x:c>
      <x:c r="M61" s="90" t="str">
        <x:v>Policy owner + Compliance</x:v>
      </x:c>
      <x:c r="N61" s="90" t="str"/>
    </x:row>
    <x:row r="62" ht="44" customHeight="1">
      <x:c r="A62" s="90" t="str">
        <x:v>GB-03</x:v>
      </x:c>
      <x:c r="B62" s="90" t="str">
        <x:v>GB</x:v>
      </x:c>
      <x:c r="C62" s="90" t="str">
        <x:v>Conflict of Interest, Ethics &amp; Referral Integrity</x:v>
      </x:c>
      <x:c r="D62" s="90" t="str">
        <x:v>Required</x:v>
      </x:c>
      <x:c r="E62" s="90" t="str">
        <x:v>Pathway assignment</x:v>
      </x:c>
      <x:c r="F62" s="90" t="str">
        <x:v>By day 14; before independent duty if earlier</x:v>
      </x:c>
      <x:c r="G62" s="90" t="str">
        <x:v>Initial + annual disclosure</x:v>
      </x:c>
      <x:c r="H62" s="92" t="n">
        <x:v>0.8</x:v>
      </x:c>
      <x:c r="I62" s="90" t="str">
        <x:v>80% scenario quiz + disclosure</x:v>
      </x:c>
      <x:c r="J62" s="90" t="n">
        <x:f>COUNTIF('Policy Assignments'!$A$5:$A$868,A62)</x:f>
        <x:v>3</x:v>
      </x:c>
      <x:c r="K62" s="90" t="str">
        <x:v>Verified internal body</x:v>
      </x:c>
      <x:c r="L62" s="90" t="str">
        <x:v>Ready</x:v>
      </x:c>
      <x:c r="M62" s="90" t="str">
        <x:v>Policy owner + Compliance</x:v>
      </x:c>
      <x:c r="N62" s="90" t="str"/>
    </x:row>
    <x:row r="63" ht="44" customHeight="1">
      <x:c r="A63" s="90" t="str">
        <x:v>GB-04</x:v>
      </x:c>
      <x:c r="B63" s="90" t="str">
        <x:v>GB</x:v>
      </x:c>
      <x:c r="C63" s="90" t="str">
        <x:v>Succession Planning &amp; Delegation</x:v>
      </x:c>
      <x:c r="D63" s="90" t="str">
        <x:v>Required</x:v>
      </x:c>
      <x:c r="E63" s="90" t="str">
        <x:v>Pathway assignment</x:v>
      </x:c>
      <x:c r="F63" s="90" t="str">
        <x:v>By day 14; before independent duty if earlier</x:v>
      </x:c>
      <x:c r="G63" s="90" t="str">
        <x:v>At hire; then on material revision</x:v>
      </x:c>
      <x:c r="H63" s="92" t="n">
        <x:v>0.8</x:v>
      </x:c>
      <x:c r="I63" s="90" t="str">
        <x:v>80% continuity scenario quiz</x:v>
      </x:c>
      <x:c r="J63" s="90" t="n">
        <x:f>COUNTIF('Policy Assignments'!$A$5:$A$868,A63)</x:f>
        <x:v>2</x:v>
      </x:c>
      <x:c r="K63" s="90" t="str">
        <x:v>Verified internal body</x:v>
      </x:c>
      <x:c r="L63" s="90" t="str">
        <x:v>Ready</x:v>
      </x:c>
      <x:c r="M63" s="90" t="str">
        <x:v>Policy owner + Compliance</x:v>
      </x:c>
      <x:c r="N63" s="90" t="str"/>
    </x:row>
    <x:row r="64" ht="44" customHeight="1">
      <x:c r="A64" s="90" t="str">
        <x:v>GB-05</x:v>
      </x:c>
      <x:c r="B64" s="90" t="str">
        <x:v>GB</x:v>
      </x:c>
      <x:c r="C64" s="90" t="str">
        <x:v>Annual Governance Self-Assessment</x:v>
      </x:c>
      <x:c r="D64" s="90" t="str">
        <x:v>Required</x:v>
      </x:c>
      <x:c r="E64" s="90" t="str">
        <x:v>Pathway assignment</x:v>
      </x:c>
      <x:c r="F64" s="90" t="str">
        <x:v>By day 14; before independent duty if earlier</x:v>
      </x:c>
      <x:c r="G64" s="90" t="str">
        <x:v>Initial + annual</x:v>
      </x:c>
      <x:c r="H64" s="92" t="n">
        <x:v>0.8</x:v>
      </x:c>
      <x:c r="I64" s="90" t="str">
        <x:v>Completion of assessment + knowledge check</x:v>
      </x:c>
      <x:c r="J64" s="90" t="n">
        <x:f>COUNTIF('Policy Assignments'!$A$5:$A$868,A64)</x:f>
        <x:v>1</x:v>
      </x:c>
      <x:c r="K64" s="90" t="str">
        <x:v>Verified internal body</x:v>
      </x:c>
      <x:c r="L64" s="90" t="str">
        <x:v>Ready</x:v>
      </x:c>
      <x:c r="M64" s="90" t="str">
        <x:v>Policy owner + Compliance</x:v>
      </x:c>
      <x:c r="N64" s="90" t="str"/>
    </x:row>
    <x:row r="65" ht="44" customHeight="1">
      <x:c r="A65" s="90" t="str">
        <x:v>GB-06</x:v>
      </x:c>
      <x:c r="B65" s="90" t="str">
        <x:v>GB</x:v>
      </x:c>
      <x:c r="C65" s="90" t="str">
        <x:v>Organization, Administrator &amp; Scope of Services</x:v>
      </x:c>
      <x:c r="D65" s="90" t="str">
        <x:v>Required</x:v>
      </x:c>
      <x:c r="E65" s="90" t="str">
        <x:v>Pathway assignment</x:v>
      </x:c>
      <x:c r="F65" s="90" t="str">
        <x:v>By day 14; before independent duty if earlier</x:v>
      </x:c>
      <x:c r="G65" s="90" t="str">
        <x:v>At hire; then on material revision</x:v>
      </x:c>
      <x:c r="H65" s="92" t="n">
        <x:v>0.8</x:v>
      </x:c>
      <x:c r="I65" s="90" t="str">
        <x:v>80% accountability quiz</x:v>
      </x:c>
      <x:c r="J65" s="90" t="n">
        <x:f>COUNTIF('Policy Assignments'!$A$5:$A$868,A65)</x:f>
        <x:v>4</x:v>
      </x:c>
      <x:c r="K65" s="90" t="str">
        <x:v>Verified internal body</x:v>
      </x:c>
      <x:c r="L65" s="90" t="str">
        <x:v>Ready</x:v>
      </x:c>
      <x:c r="M65" s="90" t="str">
        <x:v>Policy owner + Compliance</x:v>
      </x:c>
      <x:c r="N65" s="90" t="str"/>
    </x:row>
    <x:row r="66" ht="44" customHeight="1">
      <x:c r="A66" s="90" t="str">
        <x:v>GB-07</x:v>
      </x:c>
      <x:c r="B66" s="90" t="str">
        <x:v>GB</x:v>
      </x:c>
      <x:c r="C66" s="90" t="str">
        <x:v>Strategic Planning &amp; Annual Goals</x:v>
      </x:c>
      <x:c r="D66" s="90" t="str">
        <x:v>Required</x:v>
      </x:c>
      <x:c r="E66" s="90" t="str">
        <x:v>Pathway assignment</x:v>
      </x:c>
      <x:c r="F66" s="90" t="str">
        <x:v>By day 14; before independent duty if earlier</x:v>
      </x:c>
      <x:c r="G66" s="90" t="str">
        <x:v>Initial + annual planning cycle</x:v>
      </x:c>
      <x:c r="H66" s="92" t="n">
        <x:v>0.8</x:v>
      </x:c>
      <x:c r="I66" s="90" t="str">
        <x:v>80% planning/governance quiz</x:v>
      </x:c>
      <x:c r="J66" s="90" t="n">
        <x:f>COUNTIF('Policy Assignments'!$A$5:$A$868,A66)</x:f>
        <x:v>1</x:v>
      </x:c>
      <x:c r="K66" s="90" t="str">
        <x:v>Verified internal body</x:v>
      </x:c>
      <x:c r="L66" s="90" t="str">
        <x:v>Ready</x:v>
      </x:c>
      <x:c r="M66" s="90" t="str">
        <x:v>Policy owner + Compliance</x:v>
      </x:c>
      <x:c r="N66" s="90" t="str"/>
    </x:row>
    <x:row r="67" ht="44" customHeight="1">
      <x:c r="A67" s="90" t="str">
        <x:v>GB-08</x:v>
      </x:c>
      <x:c r="B67" s="90" t="str">
        <x:v>GB</x:v>
      </x:c>
      <x:c r="C67" s="90" t="str">
        <x:v>Policy Approval, Review &amp; Staff Attestation Governance</x:v>
      </x:c>
      <x:c r="D67" s="90" t="str">
        <x:v>Required</x:v>
      </x:c>
      <x:c r="E67" s="90" t="str">
        <x:v>Pathway assignment</x:v>
      </x:c>
      <x:c r="F67" s="90" t="str">
        <x:v>By day 14; before independent duty if earlier</x:v>
      </x:c>
      <x:c r="G67" s="90" t="str">
        <x:v>At hire; then on material revision</x:v>
      </x:c>
      <x:c r="H67" s="92" t="n">
        <x:v>0.8</x:v>
      </x:c>
      <x:c r="I67" s="90" t="str">
        <x:v>80% policy-governance quiz</x:v>
      </x:c>
      <x:c r="J67" s="90" t="n">
        <x:f>COUNTIF('Policy Assignments'!$A$5:$A$868,A67)</x:f>
        <x:v>3</x:v>
      </x:c>
      <x:c r="K67" s="90" t="str">
        <x:v>Verified internal body</x:v>
      </x:c>
      <x:c r="L67" s="90" t="str">
        <x:v>Ready</x:v>
      </x:c>
      <x:c r="M67" s="90" t="str">
        <x:v>Policy owner + Compliance</x:v>
      </x:c>
      <x:c r="N67" s="90" t="str"/>
    </x:row>
    <x:row r="68" ht="44" customHeight="1">
      <x:c r="A68" s="90" t="str">
        <x:v>GB-09</x:v>
      </x:c>
      <x:c r="B68" s="90" t="str">
        <x:v>GB</x:v>
      </x:c>
      <x:c r="C68" s="90" t="str">
        <x:v>Compliance, Reporting, Privacy &amp; Oversight</x:v>
      </x:c>
      <x:c r="D68" s="90" t="str">
        <x:v>Required</x:v>
      </x:c>
      <x:c r="E68" s="90" t="str">
        <x:v>Pathway assignment</x:v>
      </x:c>
      <x:c r="F68" s="90" t="str">
        <x:v>By day 14; before independent duty if earlier</x:v>
      </x:c>
      <x:c r="G68" s="90" t="str">
        <x:v>Initial + annual</x:v>
      </x:c>
      <x:c r="H68" s="92" t="n">
        <x:v>0.8</x:v>
      </x:c>
      <x:c r="I68" s="90" t="str">
        <x:v>80% oversight scenario quiz</x:v>
      </x:c>
      <x:c r="J68" s="90" t="n">
        <x:f>COUNTIF('Policy Assignments'!$A$5:$A$868,A68)</x:f>
        <x:v>8</x:v>
      </x:c>
      <x:c r="K68" s="90" t="str">
        <x:v>Verified internal body</x:v>
      </x:c>
      <x:c r="L68" s="90" t="str">
        <x:v>Ready</x:v>
      </x:c>
      <x:c r="M68" s="90" t="str">
        <x:v>Policy owner + Compliance</x:v>
      </x:c>
      <x:c r="N68" s="90" t="str"/>
    </x:row>
    <x:row r="69" ht="44" customHeight="1">
      <x:c r="A69" s="90" t="str">
        <x:v>GB-10</x:v>
      </x:c>
      <x:c r="B69" s="90" t="str">
        <x:v>GB</x:v>
      </x:c>
      <x:c r="C69" s="90" t="str">
        <x:v>QAPI Governance &amp; Performance Improvement</x:v>
      </x:c>
      <x:c r="D69" s="90" t="str">
        <x:v>Required</x:v>
      </x:c>
      <x:c r="E69" s="90" t="str">
        <x:v>Pathway assignment</x:v>
      </x:c>
      <x:c r="F69" s="90" t="str">
        <x:v>By day 14; before independent duty if earlier</x:v>
      </x:c>
      <x:c r="G69" s="90" t="str">
        <x:v>Initial + annual QAPI review</x:v>
      </x:c>
      <x:c r="H69" s="92" t="n">
        <x:v>0.8</x:v>
      </x:c>
      <x:c r="I69" s="90" t="str">
        <x:v>80% QAPI governance quiz</x:v>
      </x:c>
      <x:c r="J69" s="90" t="n">
        <x:f>COUNTIF('Policy Assignments'!$A$5:$A$868,A69)</x:f>
        <x:v>6</x:v>
      </x:c>
      <x:c r="K69" s="90" t="str">
        <x:v>Verified internal body</x:v>
      </x:c>
      <x:c r="L69" s="90" t="str">
        <x:v>Ready</x:v>
      </x:c>
      <x:c r="M69" s="90" t="str">
        <x:v>Policy owner + Compliance</x:v>
      </x:c>
      <x:c r="N69" s="90" t="str"/>
    </x:row>
    <x:row r="70" ht="44" customHeight="1">
      <x:c r="A70" s="90" t="str">
        <x:v>GB-11</x:v>
      </x:c>
      <x:c r="B70" s="90" t="str">
        <x:v>GB</x:v>
      </x:c>
      <x:c r="C70" s="90" t="str">
        <x:v>Financial Stewardship &amp; Overpayment Controls</x:v>
      </x:c>
      <x:c r="D70" s="90" t="str">
        <x:v>Required</x:v>
      </x:c>
      <x:c r="E70" s="90" t="str">
        <x:v>Pathway assignment</x:v>
      </x:c>
      <x:c r="F70" s="90" t="str">
        <x:v>By day 14; before independent duty if earlier</x:v>
      </x:c>
      <x:c r="G70" s="90" t="str">
        <x:v>At hire; then on material revision</x:v>
      </x:c>
      <x:c r="H70" s="92" t="n">
        <x:v>0.8</x:v>
      </x:c>
      <x:c r="I70" s="90" t="str">
        <x:v>80% fiduciary scenario quiz</x:v>
      </x:c>
      <x:c r="J70" s="90" t="n">
        <x:f>COUNTIF('Policy Assignments'!$A$5:$A$868,A70)</x:f>
        <x:v>3</x:v>
      </x:c>
      <x:c r="K70" s="90" t="str">
        <x:v>Verified internal body</x:v>
      </x:c>
      <x:c r="L70" s="90" t="str">
        <x:v>Ready</x:v>
      </x:c>
      <x:c r="M70" s="90" t="str">
        <x:v>Policy owner + Compliance</x:v>
      </x:c>
      <x:c r="N70" s="90" t="str"/>
    </x:row>
    <x:row r="71" ht="44" customHeight="1">
      <x:c r="A71" s="90" t="str">
        <x:v>GB-12</x:v>
      </x:c>
      <x:c r="B71" s="90" t="str">
        <x:v>GB</x:v>
      </x:c>
      <x:c r="C71" s="90" t="str">
        <x:v>Emergency Preparedness &amp; Enterprise Risk Oversight</x:v>
      </x:c>
      <x:c r="D71" s="90" t="str">
        <x:v>Required</x:v>
      </x:c>
      <x:c r="E71" s="90" t="str">
        <x:v>Pathway assignment</x:v>
      </x:c>
      <x:c r="F71" s="90" t="str">
        <x:v>By day 14; before independent duty if earlier</x:v>
      </x:c>
      <x:c r="G71" s="90" t="str">
        <x:v>Initial + annual agency governance review</x:v>
      </x:c>
      <x:c r="H71" s="92" t="n">
        <x:v>0.8</x:v>
      </x:c>
      <x:c r="I71" s="90" t="str">
        <x:v>80% risk/continuity quiz + exercise participation as assigned</x:v>
      </x:c>
      <x:c r="J71" s="90" t="n">
        <x:f>COUNTIF('Policy Assignments'!$A$5:$A$868,A71)</x:f>
        <x:v>4</x:v>
      </x:c>
      <x:c r="K71" s="90" t="str">
        <x:v>Verified internal body</x:v>
      </x:c>
      <x:c r="L71" s="90" t="str">
        <x:v>Ready</x:v>
      </x:c>
      <x:c r="M71" s="90" t="str">
        <x:v>Policy owner + Compliance</x:v>
      </x:c>
      <x:c r="N71" s="90" t="str"/>
    </x:row>
    <x:row r="72" ht="44" customHeight="1">
      <x:c r="A72" s="90" t="str">
        <x:v>GB-13</x:v>
      </x:c>
      <x:c r="B72" s="90" t="str">
        <x:v>GB</x:v>
      </x:c>
      <x:c r="C72" s="90" t="str">
        <x:v>Licensure, Certification, Closure &amp; Change of Ownership</x:v>
      </x:c>
      <x:c r="D72" s="90" t="str">
        <x:v>Required</x:v>
      </x:c>
      <x:c r="E72" s="90" t="str">
        <x:v>Pathway assignment</x:v>
      </x:c>
      <x:c r="F72" s="90" t="str">
        <x:v>By day 14; before independent duty if earlier</x:v>
      </x:c>
      <x:c r="G72" s="90" t="str">
        <x:v>At hire; then on material revision</x:v>
      </x:c>
      <x:c r="H72" s="92" t="n">
        <x:v>0.8</x:v>
      </x:c>
      <x:c r="I72" s="90" t="str">
        <x:v>80% governance decision quiz</x:v>
      </x:c>
      <x:c r="J72" s="90" t="n">
        <x:f>COUNTIF('Policy Assignments'!$A$5:$A$868,A72)</x:f>
        <x:v>5</x:v>
      </x:c>
      <x:c r="K72" s="90" t="str">
        <x:v>Verified internal body</x:v>
      </x:c>
      <x:c r="L72" s="90" t="str">
        <x:v>Ready</x:v>
      </x:c>
      <x:c r="M72" s="90" t="str">
        <x:v>Policy owner + Compliance</x:v>
      </x:c>
      <x:c r="N72" s="90" t="str"/>
    </x:row>
  </x:sheetData>
  <x:mergeCells>
    <x:mergeCell ref="A1:N1"/>
    <x:mergeCell ref="A2:N2"/>
  </x:mergeCells>
  <x:conditionalFormatting sqref="L5:L72">
    <x:cfRule type="containsText" dxfId="2" priority="1" operator="containsText" text="Hold"/>
    <x:cfRule type="containsText" dxfId="3" priority="2" operator="containsText" text="Partial"/>
    <x:cfRule type="containsText" dxfId="4" priority="3" operator="containsText" text="Conditional"/>
    <x:cfRule type="containsText" dxfId="5" priority="4" operator="containsText" text="Ready"/>
  </x:conditionalFormatting>
  <x:pageMargins left="0.7" right="0.7" top="0.75" bottom="0.75" header="0.3" footer="0.3"/>
  <x:tableParts count="1">
    <x:tablePart xmlns:r="http://schemas.openxmlformats.org/officeDocument/2006/relationships" r:id="R539ccdf02383403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3" hidden="0" customWidth="1"/>
    <x:col min="4" max="4" width="34" hidden="0" customWidth="1"/>
    <x:col min="5" max="5" width="14" hidden="0" customWidth="1"/>
    <x:col min="6" max="6" width="14" hidden="0" customWidth="1"/>
    <x:col min="7" max="7" width="16" hidden="0" customWidth="1"/>
    <x:col min="8" max="8" width="34" hidden="0" customWidth="1"/>
    <x:col min="9" max="9" width="32" hidden="0" customWidth="1"/>
    <x:col min="10" max="10" width="25" hidden="0" customWidth="1"/>
    <x:col min="11" max="11" width="28" hidden="0" customWidth="1"/>
    <x:col min="12" max="12" width="15" hidden="0" customWidth="1"/>
    <x:col min="13" max="13" width="50" hidden="0" customWidth="1"/>
    <x:col min="14" max="14" width="42" hidden="0" customWidth="1"/>
    <x:col min="15" max="15" width="43" hidden="0" customWidth="1"/>
    <x:col min="16" max="16" width="48" hidden="0" customWidth="1"/>
  </x:cols>
  <x:sheetData>
    <x:row r="1" ht="34" customHeight="1">
      <x:c r="A1" s="3" t="str">
        <x:v>Policy Assignments</x:v>
      </x:c>
      <x:c r="B1" s="85"/>
      <x:c r="C1" s="85"/>
      <x:c r="D1" s="85"/>
      <x:c r="E1" s="85"/>
      <x:c r="F1" s="85"/>
      <x:c r="G1" s="85"/>
      <x:c r="H1" s="85"/>
      <x:c r="I1" s="85"/>
      <x:c r="J1" s="85"/>
      <x:c r="K1" s="85"/>
      <x:c r="L1" s="85"/>
      <x:c r="M1" s="85"/>
      <x:c r="N1" s="85"/>
      <x:c r="O1" s="85"/>
      <x:c r="P1" s="85"/>
    </x:row>
    <x:row r="2" ht="30" customHeight="1">
      <x:c r="A2" s="7" t="str">
        <x:v>Filter by Pathway or Course ID. Every listed policy is read and tested through the named bundled quiz; Hold rows must not be published.</x:v>
      </x:c>
      <x:c r="B2" s="85"/>
      <x:c r="C2" s="85"/>
      <x:c r="D2" s="85"/>
      <x:c r="E2" s="85"/>
      <x:c r="F2" s="85"/>
      <x:c r="G2" s="85"/>
      <x:c r="H2" s="85"/>
      <x:c r="I2" s="85"/>
      <x:c r="J2" s="85"/>
      <x:c r="K2" s="85"/>
      <x:c r="L2" s="85"/>
      <x:c r="M2" s="85"/>
      <x:c r="N2" s="85"/>
      <x:c r="O2" s="85"/>
      <x:c r="P2" s="85"/>
    </x:row>
    <x:row r="3">
      <x:c r="A3" s="85"/>
      <x:c r="B3" s="85"/>
      <x:c r="C3" s="85"/>
      <x:c r="D3" s="85"/>
      <x:c r="E3" s="85"/>
      <x:c r="F3" s="85"/>
      <x:c r="G3" s="85"/>
      <x:c r="H3" s="85"/>
      <x:c r="I3" s="85"/>
      <x:c r="J3" s="85"/>
      <x:c r="K3" s="85"/>
      <x:c r="L3" s="85"/>
      <x:c r="M3" s="85"/>
      <x:c r="N3" s="85"/>
      <x:c r="O3" s="85"/>
      <x:c r="P3" s="85"/>
    </x:row>
    <x:row r="4" ht="32" customHeight="1">
      <x:c r="A4" s="67" t="str">
        <x:v>Course ID</x:v>
      </x:c>
      <x:c r="B4" s="68" t="str">
        <x:v>Pathway</x:v>
      </x:c>
      <x:c r="C4" s="68" t="str">
        <x:v>Policy ID</x:v>
      </x:c>
      <x:c r="D4" s="68" t="str">
        <x:v>Policy title</x:v>
      </x:c>
      <x:c r="E4" s="68" t="str">
        <x:v>Assignment type</x:v>
      </x:c>
      <x:c r="F4" s="68" t="str">
        <x:v>Read full policy</x:v>
      </x:c>
      <x:c r="G4" s="68" t="str">
        <x:v>Scored quiz</x:v>
      </x:c>
      <x:c r="H4" s="68" t="str">
        <x:v>Quiz bundle</x:v>
      </x:c>
      <x:c r="I4" s="68" t="str">
        <x:v>Assessment add-on</x:v>
      </x:c>
      <x:c r="J4" s="68" t="str">
        <x:v>Initial due</x:v>
      </x:c>
      <x:c r="K4" s="68" t="str">
        <x:v>Recurrence</x:v>
      </x:c>
      <x:c r="L4" s="68" t="str">
        <x:v>Release status</x:v>
      </x:c>
      <x:c r="M4" s="68" t="str">
        <x:v>Scope rationale</x:v>
      </x:c>
      <x:c r="N4" s="68" t="str">
        <x:v>Internal source</x:v>
      </x:c>
      <x:c r="O4" s="68" t="str">
        <x:v>External authority URL</x:v>
      </x:c>
      <x:c r="P4" s="69" t="str">
        <x:v>Source notes</x:v>
      </x:c>
    </x:row>
    <x:row r="5" ht="42" customHeight="1">
      <x:c r="A5" s="90" t="str">
        <x:v>G-01</x:v>
      </x:c>
      <x:c r="B5" s="90" t="str">
        <x:v>General</x:v>
      </x:c>
      <x:c r="C5" s="90" t="str">
        <x:v>HR-TA-005</x:v>
      </x:c>
      <x:c r="D5" s="90" t="str">
        <x:v>Employee Orientation &amp; Onboarding</x:v>
      </x:c>
      <x:c r="E5" s="90" t="str">
        <x:v>Core</x:v>
      </x:c>
      <x:c r="F5" s="90" t="str">
        <x:v>Yes</x:v>
      </x:c>
      <x:c r="G5" s="90" t="str">
        <x:v>Yes — bundled</x:v>
      </x:c>
      <x:c r="H5" s="90" t="str">
        <x:v>Agency Orientation, Scope &amp; Policy Responsibilities</x:v>
      </x:c>
      <x:c r="I5" s="90" t="str">
        <x:v>80% quiz; acknowledgment evidence</x:v>
      </x:c>
      <x:c r="J5" s="90" t="str">
        <x:v>General orientation by day 5; all acknowledgments by day 14</x:v>
      </x:c>
      <x:c r="K5" s="90" t="str">
        <x:v>At hire; on material revision</x:v>
      </x:c>
      <x:c r="L5" s="90" t="str">
        <x:v>Ready</x:v>
      </x:c>
      <x:c r="M5" s="90" t="str">
        <x:v>Sets the agency, service scope, reporting structure, and employee duty to read and attest to applicable policies.</x:v>
      </x:c>
      <x:c r="N5" s="90" t="str">
        <x:v>12-allPoliciesContent.generated.ts — HR-TA-005</x:v>
      </x:c>
      <x:c r="O5" s="90" t="str"/>
      <x:c r="P5" s="90" t="str"/>
    </x:row>
    <x:row r="6" ht="42" customHeight="1">
      <x:c r="A6" s="90" t="str">
        <x:v>G-01</x:v>
      </x:c>
      <x:c r="B6" s="90" t="str">
        <x:v>General</x:v>
      </x:c>
      <x:c r="C6" s="90" t="str">
        <x:v>HR-TR-101</x:v>
      </x:c>
      <x:c r="D6" s="90" t="str">
        <x:v>Workforce Training, Competency &amp; Policy Acknowledgment</x:v>
      </x:c>
      <x:c r="E6" s="90" t="str">
        <x:v>Core</x:v>
      </x:c>
      <x:c r="F6" s="90" t="str">
        <x:v>Yes</x:v>
      </x:c>
      <x:c r="G6" s="90" t="str">
        <x:v>Yes — bundled</x:v>
      </x:c>
      <x:c r="H6" s="90" t="str">
        <x:v>Agency Orientation, Scope &amp; Policy Responsibilities</x:v>
      </x:c>
      <x:c r="I6" s="90" t="str">
        <x:v>80% quiz; acknowledgment evidence</x:v>
      </x:c>
      <x:c r="J6" s="90" t="str">
        <x:v>General orientation by day 5; all acknowledgments by day 14</x:v>
      </x:c>
      <x:c r="K6" s="90" t="str">
        <x:v>At hire; on material revision</x:v>
      </x:c>
      <x:c r="L6" s="90" t="str">
        <x:v>Ready</x:v>
      </x:c>
      <x:c r="M6" s="90" t="str">
        <x:v>Sets the agency, service scope, reporting structure, and employee duty to read and attest to applicable policies.</x:v>
      </x:c>
      <x:c r="N6" s="90" t="str">
        <x:v>12-allPoliciesContent.generated.ts — HR-TR-101</x:v>
      </x:c>
      <x:c r="O6" s="90" t="str"/>
      <x:c r="P6" s="90" t="str"/>
    </x:row>
    <x:row r="7" ht="42" customHeight="1">
      <x:c r="A7" s="90" t="str">
        <x:v>G-01</x:v>
      </x:c>
      <x:c r="B7" s="90" t="str">
        <x:v>General</x:v>
      </x:c>
      <x:c r="C7" s="90" t="str">
        <x:v>GV-OG-001</x:v>
      </x:c>
      <x:c r="D7" s="90" t="str">
        <x:v>Organizational Structure &amp; Reporting</x:v>
      </x:c>
      <x:c r="E7" s="90" t="str">
        <x:v>Core</x:v>
      </x:c>
      <x:c r="F7" s="90" t="str">
        <x:v>Yes</x:v>
      </x:c>
      <x:c r="G7" s="90" t="str">
        <x:v>Yes — bundled</x:v>
      </x:c>
      <x:c r="H7" s="90" t="str">
        <x:v>Agency Orientation, Scope &amp; Policy Responsibilities</x:v>
      </x:c>
      <x:c r="I7" s="90" t="str">
        <x:v>80% quiz; acknowledgment evidence</x:v>
      </x:c>
      <x:c r="J7" s="90" t="str">
        <x:v>General orientation by day 5; all acknowledgments by day 14</x:v>
      </x:c>
      <x:c r="K7" s="90" t="str">
        <x:v>At hire; on material revision</x:v>
      </x:c>
      <x:c r="L7" s="90" t="str">
        <x:v>Ready</x:v>
      </x:c>
      <x:c r="M7" s="90" t="str">
        <x:v>Sets the agency, service scope, reporting structure, and employee duty to read and attest to applicable policies.</x:v>
      </x:c>
      <x:c r="N7" s="90" t="str">
        <x:v>12-allPoliciesContent.generated.ts — GV-OG-001</x:v>
      </x:c>
      <x:c r="O7" s="90" t="str">
        <x:v>https://www.ecfr.gov/current/title-42/part-484/section-484.105</x:v>
      </x:c>
      <x:c r="P7" s="90" t="str"/>
    </x:row>
    <x:row r="8" ht="42" customHeight="1">
      <x:c r="A8" s="90" t="str">
        <x:v>G-01</x:v>
      </x:c>
      <x:c r="B8" s="90" t="str">
        <x:v>General</x:v>
      </x:c>
      <x:c r="C8" s="90" t="str">
        <x:v>GV-OG-003</x:v>
      </x:c>
      <x:c r="D8" s="90" t="str">
        <x:v>Scope of Services Definition</x:v>
      </x:c>
      <x:c r="E8" s="90" t="str">
        <x:v>Core</x:v>
      </x:c>
      <x:c r="F8" s="90" t="str">
        <x:v>Yes</x:v>
      </x:c>
      <x:c r="G8" s="90" t="str">
        <x:v>Yes — bundled</x:v>
      </x:c>
      <x:c r="H8" s="90" t="str">
        <x:v>Agency Orientation, Scope &amp; Policy Responsibilities</x:v>
      </x:c>
      <x:c r="I8" s="90" t="str">
        <x:v>80% quiz; acknowledgment evidence</x:v>
      </x:c>
      <x:c r="J8" s="90" t="str">
        <x:v>General orientation by day 5; all acknowledgments by day 14</x:v>
      </x:c>
      <x:c r="K8" s="90" t="str">
        <x:v>At hire; on material revision</x:v>
      </x:c>
      <x:c r="L8" s="90" t="str">
        <x:v>Ready</x:v>
      </x:c>
      <x:c r="M8" s="90" t="str">
        <x:v>Sets the agency, service scope, reporting structure, and employee duty to read and attest to applicable policies.</x:v>
      </x:c>
      <x:c r="N8" s="90" t="str">
        <x:v>12-allPoliciesContent.generated.ts — GV-OG-003</x:v>
      </x:c>
      <x:c r="O8" s="90" t="str">
        <x:v>https://www.ecfr.gov/current/title-42/part-484/section-484.105</x:v>
      </x:c>
      <x:c r="P8" s="90" t="str"/>
    </x:row>
    <x:row r="9" ht="42" customHeight="1">
      <x:c r="A9" s="90" t="str">
        <x:v>G-01</x:v>
      </x:c>
      <x:c r="B9" s="90" t="str">
        <x:v>General</x:v>
      </x:c>
      <x:c r="C9" s="90" t="str">
        <x:v>GV-PM-003</x:v>
      </x:c>
      <x:c r="D9" s="90" t="str">
        <x:v>Policy Acknowledgment &amp; Staff Attestation</x:v>
      </x:c>
      <x:c r="E9" s="90" t="str">
        <x:v>Core</x:v>
      </x:c>
      <x:c r="F9" s="90" t="str">
        <x:v>Yes</x:v>
      </x:c>
      <x:c r="G9" s="90" t="str">
        <x:v>Yes — bundled</x:v>
      </x:c>
      <x:c r="H9" s="90" t="str">
        <x:v>Agency Orientation, Scope &amp; Policy Responsibilities</x:v>
      </x:c>
      <x:c r="I9" s="90" t="str">
        <x:v>80% quiz; acknowledgment evidence</x:v>
      </x:c>
      <x:c r="J9" s="90" t="str">
        <x:v>General orientation by day 5; all acknowledgments by day 14</x:v>
      </x:c>
      <x:c r="K9" s="90" t="str">
        <x:v>At hire; on material revision</x:v>
      </x:c>
      <x:c r="L9" s="90" t="str">
        <x:v>Ready</x:v>
      </x:c>
      <x:c r="M9" s="90" t="str">
        <x:v>Sets the agency, service scope, reporting structure, and employee duty to read and attest to applicable policies.</x:v>
      </x:c>
      <x:c r="N9" s="90" t="str">
        <x:v>12-allPoliciesContent.generated.ts — GV-PM-003</x:v>
      </x:c>
      <x:c r="O9" s="90" t="str">
        <x:v>https://www.ecfr.gov/current/title-42/part-484/section-484.105</x:v>
      </x:c>
      <x:c r="P9" s="90" t="str"/>
    </x:row>
    <x:row r="10" ht="42" customHeight="1">
      <x:c r="A10" s="90" t="str">
        <x:v>G-01</x:v>
      </x:c>
      <x:c r="B10" s="90" t="str">
        <x:v>General</x:v>
      </x:c>
      <x:c r="C10" s="90" t="str">
        <x:v>GV-PM-004</x:v>
      </x:c>
      <x:c r="D10" s="90" t="str">
        <x:v>Communication &amp; Notification Standards</x:v>
      </x:c>
      <x:c r="E10" s="90" t="str">
        <x:v>Core</x:v>
      </x:c>
      <x:c r="F10" s="90" t="str">
        <x:v>Yes</x:v>
      </x:c>
      <x:c r="G10" s="90" t="str">
        <x:v>Yes — bundled</x:v>
      </x:c>
      <x:c r="H10" s="90" t="str">
        <x:v>Agency Orientation, Scope &amp; Policy Responsibilities</x:v>
      </x:c>
      <x:c r="I10" s="90" t="str">
        <x:v>80% quiz; acknowledgment evidence</x:v>
      </x:c>
      <x:c r="J10" s="90" t="str">
        <x:v>General orientation by day 5; all acknowledgments by day 14</x:v>
      </x:c>
      <x:c r="K10" s="90" t="str">
        <x:v>At hire; on material revision</x:v>
      </x:c>
      <x:c r="L10" s="90" t="str">
        <x:v>Ready</x:v>
      </x:c>
      <x:c r="M10" s="90" t="str">
        <x:v>Sets the agency, service scope, reporting structure, and employee duty to read and attest to applicable policies.</x:v>
      </x:c>
      <x:c r="N10" s="90" t="str">
        <x:v>12-allPoliciesContent.generated.ts — GV-PM-004</x:v>
      </x:c>
      <x:c r="O10" s="90" t="str">
        <x:v>https://www.ecfr.gov/current/title-42/part-484/section-484.105</x:v>
      </x:c>
      <x:c r="P10" s="90" t="str"/>
    </x:row>
    <x:row r="11" ht="42" customHeight="1">
      <x:c r="A11" s="90" t="str">
        <x:v>G-02</x:v>
      </x:c>
      <x:c r="B11" s="90" t="str">
        <x:v>General</x:v>
      </x:c>
      <x:c r="C11" s="90" t="str">
        <x:v>CO-CP-001</x:v>
      </x:c>
      <x:c r="D11" s="90" t="str">
        <x:v>Corporate Compliance Program</x:v>
      </x:c>
      <x:c r="E11" s="90" t="str">
        <x:v>Core</x:v>
      </x:c>
      <x:c r="F11" s="90" t="str">
        <x:v>Yes</x:v>
      </x:c>
      <x:c r="G11" s="90" t="str">
        <x:v>Yes — bundled</x:v>
      </x:c>
      <x:c r="H11" s="90" t="str">
        <x:v>Compliance, Ethics, FWA &amp; Speaking Up</x:v>
      </x:c>
      <x:c r="I11" s="90" t="str">
        <x:v>80% quiz with reporting scenarios</x:v>
      </x:c>
      <x:c r="J11" s="90" t="str">
        <x:v>By day 14; before independent duty if earlier</x:v>
      </x:c>
      <x:c r="K11" s="90" t="str">
        <x:v>Initial + annual agency standard</x:v>
      </x:c>
      <x:c r="L11" s="90" t="str">
        <x:v>Ready</x:v>
      </x:c>
      <x:c r="M11" s="90" t="str">
        <x:v>All employees need to recognize prohibited conduct, fraud risk, referral conflicts, and protected reporting routes.</x:v>
      </x:c>
      <x:c r="N11" s="90" t="str">
        <x:v>12-allPoliciesContent.generated.ts — CO-CP-001</x:v>
      </x:c>
      <x:c r="O11" s="90" t="str"/>
      <x:c r="P11" s="90" t="str"/>
    </x:row>
    <x:row r="12" ht="42" customHeight="1">
      <x:c r="A12" s="90" t="str">
        <x:v>G-02</x:v>
      </x:c>
      <x:c r="B12" s="90" t="str">
        <x:v>General</x:v>
      </x:c>
      <x:c r="C12" s="90" t="str">
        <x:v>CO-CP-004</x:v>
      </x:c>
      <x:c r="D12" s="90" t="str">
        <x:v>Code of Conduct &amp; Ethics</x:v>
      </x:c>
      <x:c r="E12" s="90" t="str">
        <x:v>Core</x:v>
      </x:c>
      <x:c r="F12" s="90" t="str">
        <x:v>Yes</x:v>
      </x:c>
      <x:c r="G12" s="90" t="str">
        <x:v>Yes — bundled</x:v>
      </x:c>
      <x:c r="H12" s="90" t="str">
        <x:v>Compliance, Ethics, FWA &amp; Speaking Up</x:v>
      </x:c>
      <x:c r="I12" s="90" t="str">
        <x:v>80% quiz with reporting scenarios</x:v>
      </x:c>
      <x:c r="J12" s="90" t="str">
        <x:v>By day 14; before independent duty if earlier</x:v>
      </x:c>
      <x:c r="K12" s="90" t="str">
        <x:v>Initial + annual agency standard</x:v>
      </x:c>
      <x:c r="L12" s="90" t="str">
        <x:v>Ready</x:v>
      </x:c>
      <x:c r="M12" s="90" t="str">
        <x:v>All employees need to recognize prohibited conduct, fraud risk, referral conflicts, and protected reporting routes.</x:v>
      </x:c>
      <x:c r="N12" s="90" t="str">
        <x:v>12-allPoliciesContent.generated.ts — CO-CP-004</x:v>
      </x:c>
      <x:c r="O12" s="90" t="str"/>
      <x:c r="P12" s="90" t="str"/>
    </x:row>
    <x:row r="13" ht="42" customHeight="1">
      <x:c r="A13" s="90" t="str">
        <x:v>G-02</x:v>
      </x:c>
      <x:c r="B13" s="90" t="str">
        <x:v>General</x:v>
      </x:c>
      <x:c r="C13" s="90" t="str">
        <x:v>CO-CP-005</x:v>
      </x:c>
      <x:c r="D13" s="90" t="str">
        <x:v>Whistleblower Protection &amp; Non-Retaliation</x:v>
      </x:c>
      <x:c r="E13" s="90" t="str">
        <x:v>Core</x:v>
      </x:c>
      <x:c r="F13" s="90" t="str">
        <x:v>Yes</x:v>
      </x:c>
      <x:c r="G13" s="90" t="str">
        <x:v>Yes — bundled</x:v>
      </x:c>
      <x:c r="H13" s="90" t="str">
        <x:v>Compliance, Ethics, FWA &amp; Speaking Up</x:v>
      </x:c>
      <x:c r="I13" s="90" t="str">
        <x:v>80% quiz with reporting scenarios</x:v>
      </x:c>
      <x:c r="J13" s="90" t="str">
        <x:v>By day 14; before independent duty if earlier</x:v>
      </x:c>
      <x:c r="K13" s="90" t="str">
        <x:v>Initial + annual agency standard</x:v>
      </x:c>
      <x:c r="L13" s="90" t="str">
        <x:v>Ready</x:v>
      </x:c>
      <x:c r="M13" s="90" t="str">
        <x:v>All employees need to recognize prohibited conduct, fraud risk, referral conflicts, and protected reporting routes.</x:v>
      </x:c>
      <x:c r="N13" s="90" t="str">
        <x:v>12-allPoliciesContent.generated.ts — CO-CP-005</x:v>
      </x:c>
      <x:c r="O13" s="90" t="str"/>
      <x:c r="P13" s="90" t="str"/>
    </x:row>
    <x:row r="14" ht="42" customHeight="1">
      <x:c r="A14" s="90" t="str">
        <x:v>G-02</x:v>
      </x:c>
      <x:c r="B14" s="90" t="str">
        <x:v>General</x:v>
      </x:c>
      <x:c r="C14" s="90" t="str">
        <x:v>CO-CP-006</x:v>
      </x:c>
      <x:c r="D14" s="90" t="str">
        <x:v>Compliance Hotline &amp; Reporting Mechanisms</x:v>
      </x:c>
      <x:c r="E14" s="90" t="str">
        <x:v>Core</x:v>
      </x:c>
      <x:c r="F14" s="90" t="str">
        <x:v>Yes</x:v>
      </x:c>
      <x:c r="G14" s="90" t="str">
        <x:v>Yes — bundled</x:v>
      </x:c>
      <x:c r="H14" s="90" t="str">
        <x:v>Compliance, Ethics, FWA &amp; Speaking Up</x:v>
      </x:c>
      <x:c r="I14" s="90" t="str">
        <x:v>80% quiz with reporting scenarios</x:v>
      </x:c>
      <x:c r="J14" s="90" t="str">
        <x:v>By day 14; before independent duty if earlier</x:v>
      </x:c>
      <x:c r="K14" s="90" t="str">
        <x:v>Initial + annual agency standard</x:v>
      </x:c>
      <x:c r="L14" s="90" t="str">
        <x:v>Ready</x:v>
      </x:c>
      <x:c r="M14" s="90" t="str">
        <x:v>All employees need to recognize prohibited conduct, fraud risk, referral conflicts, and protected reporting routes.</x:v>
      </x:c>
      <x:c r="N14" s="90" t="str">
        <x:v>12-allPoliciesContent.generated.ts — CO-CP-006</x:v>
      </x:c>
      <x:c r="O14" s="90" t="str"/>
      <x:c r="P14" s="90" t="str"/>
    </x:row>
    <x:row r="15" ht="42" customHeight="1">
      <x:c r="A15" s="90" t="str">
        <x:v>G-02</x:v>
      </x:c>
      <x:c r="B15" s="90" t="str">
        <x:v>General</x:v>
      </x:c>
      <x:c r="C15" s="90" t="str">
        <x:v>CO-CP-008</x:v>
      </x:c>
      <x:c r="D15" s="90" t="str">
        <x:v>Compliance Training &amp; Education</x:v>
      </x:c>
      <x:c r="E15" s="90" t="str">
        <x:v>Core</x:v>
      </x:c>
      <x:c r="F15" s="90" t="str">
        <x:v>Yes</x:v>
      </x:c>
      <x:c r="G15" s="90" t="str">
        <x:v>Yes — bundled</x:v>
      </x:c>
      <x:c r="H15" s="90" t="str">
        <x:v>Compliance, Ethics, FWA &amp; Speaking Up</x:v>
      </x:c>
      <x:c r="I15" s="90" t="str">
        <x:v>80% quiz with reporting scenarios</x:v>
      </x:c>
      <x:c r="J15" s="90" t="str">
        <x:v>By day 14; before independent duty if earlier</x:v>
      </x:c>
      <x:c r="K15" s="90" t="str">
        <x:v>Initial + annual agency standard</x:v>
      </x:c>
      <x:c r="L15" s="90" t="str">
        <x:v>Ready</x:v>
      </x:c>
      <x:c r="M15" s="90" t="str">
        <x:v>All employees need to recognize prohibited conduct, fraud risk, referral conflicts, and protected reporting routes.</x:v>
      </x:c>
      <x:c r="N15" s="90" t="str">
        <x:v>12-allPoliciesContent.generated.ts — CO-CP-008</x:v>
      </x:c>
      <x:c r="O15" s="90" t="str"/>
      <x:c r="P15" s="90" t="str"/>
    </x:row>
    <x:row r="16" ht="42" customHeight="1">
      <x:c r="A16" s="90" t="str">
        <x:v>G-02</x:v>
      </x:c>
      <x:c r="B16" s="90" t="str">
        <x:v>General</x:v>
      </x:c>
      <x:c r="C16" s="90" t="str">
        <x:v>CO-FW-101</x:v>
      </x:c>
      <x:c r="D16" s="90" t="str">
        <x:v>Fraud, Waste &amp; Abuse Prevention</x:v>
      </x:c>
      <x:c r="E16" s="90" t="str">
        <x:v>Core</x:v>
      </x:c>
      <x:c r="F16" s="90" t="str">
        <x:v>Yes</x:v>
      </x:c>
      <x:c r="G16" s="90" t="str">
        <x:v>Yes — bundled</x:v>
      </x:c>
      <x:c r="H16" s="90" t="str">
        <x:v>Compliance, Ethics, FWA &amp; Speaking Up</x:v>
      </x:c>
      <x:c r="I16" s="90" t="str">
        <x:v>80% quiz with reporting scenarios</x:v>
      </x:c>
      <x:c r="J16" s="90" t="str">
        <x:v>By day 14; before independent duty if earlier</x:v>
      </x:c>
      <x:c r="K16" s="90" t="str">
        <x:v>Initial + annual agency standard</x:v>
      </x:c>
      <x:c r="L16" s="90" t="str">
        <x:v>Ready</x:v>
      </x:c>
      <x:c r="M16" s="90" t="str">
        <x:v>All employees need to recognize prohibited conduct, fraud risk, referral conflicts, and protected reporting routes.</x:v>
      </x:c>
      <x:c r="N16" s="90" t="str">
        <x:v>12-allPoliciesContent.generated.ts — CO-FW-101</x:v>
      </x:c>
      <x:c r="O16" s="90" t="str"/>
      <x:c r="P16" s="90" t="str"/>
    </x:row>
    <x:row r="17" ht="42" customHeight="1">
      <x:c r="A17" s="90" t="str">
        <x:v>G-02</x:v>
      </x:c>
      <x:c r="B17" s="90" t="str">
        <x:v>General</x:v>
      </x:c>
      <x:c r="C17" s="90" t="str">
        <x:v>CO-FA-001</x:v>
      </x:c>
      <x:c r="D17" s="90" t="str">
        <x:v>Anti-Kickback &amp; Stark Law Compliance</x:v>
      </x:c>
      <x:c r="E17" s="90" t="str">
        <x:v>Core</x:v>
      </x:c>
      <x:c r="F17" s="90" t="str">
        <x:v>Yes</x:v>
      </x:c>
      <x:c r="G17" s="90" t="str">
        <x:v>Yes — bundled</x:v>
      </x:c>
      <x:c r="H17" s="90" t="str">
        <x:v>Compliance, Ethics, FWA &amp; Speaking Up</x:v>
      </x:c>
      <x:c r="I17" s="90" t="str">
        <x:v>80% quiz with reporting scenarios</x:v>
      </x:c>
      <x:c r="J17" s="90" t="str">
        <x:v>By day 14; before independent duty if earlier</x:v>
      </x:c>
      <x:c r="K17" s="90" t="str">
        <x:v>Initial + annual agency standard</x:v>
      </x:c>
      <x:c r="L17" s="90" t="str">
        <x:v>Ready</x:v>
      </x:c>
      <x:c r="M17" s="90" t="str">
        <x:v>All employees need to recognize prohibited conduct, fraud risk, referral conflicts, and protected reporting routes.</x:v>
      </x:c>
      <x:c r="N17" s="90" t="str">
        <x:v>12-allPoliciesContent.generated.ts — CO-FA-001</x:v>
      </x:c>
      <x:c r="O17" s="90" t="str"/>
      <x:c r="P17" s="90" t="str"/>
    </x:row>
    <x:row r="18" ht="42" customHeight="1">
      <x:c r="A18" s="90" t="str">
        <x:v>G-02</x:v>
      </x:c>
      <x:c r="B18" s="90" t="str">
        <x:v>General</x:v>
      </x:c>
      <x:c r="C18" s="90" t="str">
        <x:v>CO-FA-002</x:v>
      </x:c>
      <x:c r="D18" s="90" t="str">
        <x:v>False Claims Act Awareness &amp; Prevention</x:v>
      </x:c>
      <x:c r="E18" s="90" t="str">
        <x:v>Core</x:v>
      </x:c>
      <x:c r="F18" s="90" t="str">
        <x:v>Yes</x:v>
      </x:c>
      <x:c r="G18" s="90" t="str">
        <x:v>Yes — bundled</x:v>
      </x:c>
      <x:c r="H18" s="90" t="str">
        <x:v>Compliance, Ethics, FWA &amp; Speaking Up</x:v>
      </x:c>
      <x:c r="I18" s="90" t="str">
        <x:v>80% quiz with reporting scenarios</x:v>
      </x:c>
      <x:c r="J18" s="90" t="str">
        <x:v>By day 14; before independent duty if earlier</x:v>
      </x:c>
      <x:c r="K18" s="90" t="str">
        <x:v>Initial + annual agency standard</x:v>
      </x:c>
      <x:c r="L18" s="90" t="str">
        <x:v>Ready</x:v>
      </x:c>
      <x:c r="M18" s="90" t="str">
        <x:v>All employees need to recognize prohibited conduct, fraud risk, referral conflicts, and protected reporting routes.</x:v>
      </x:c>
      <x:c r="N18" s="90" t="str">
        <x:v>12-allPoliciesContent.generated.ts — CO-FA-002</x:v>
      </x:c>
      <x:c r="O18" s="90" t="str"/>
      <x:c r="P18" s="90" t="str"/>
    </x:row>
    <x:row r="19" ht="42" customHeight="1">
      <x:c r="A19" s="90" t="str">
        <x:v>G-03</x:v>
      </x:c>
      <x:c r="B19" s="90" t="str">
        <x:v>General</x:v>
      </x:c>
      <x:c r="C19" s="90" t="str">
        <x:v>CO-HP-101</x:v>
      </x:c>
      <x:c r="D19" s="90" t="str">
        <x:v>HIPAA, CMIA &amp; Sensitive Data Privacy Management</x:v>
      </x:c>
      <x:c r="E19" s="90" t="str">
        <x:v>Core</x:v>
      </x:c>
      <x:c r="F19" s="90" t="str">
        <x:v>Yes</x:v>
      </x:c>
      <x:c r="G19" s="90" t="str">
        <x:v>Yes — bundled</x:v>
      </x:c>
      <x:c r="H19" s="90" t="str">
        <x:v>Privacy, Confidentiality &amp; Information Security</x:v>
      </x:c>
      <x:c r="I19" s="90" t="str">
        <x:v>80% quiz; phishing simulation; triggered AI/BYOD/EHR checks</x:v>
      </x:c>
      <x:c r="J19" s="90" t="str">
        <x:v>By day 14; before independent duty if earlier</x:v>
      </x:c>
      <x:c r="K19" s="90" t="str">
        <x:v>Initial + annual agency standard; on material change</x:v>
      </x:c>
      <x:c r="L19" s="90" t="str">
        <x:v>Conditional</x:v>
      </x:c>
      <x:c r="M19" s="90" t="str">
        <x:v>Workforce-wide privacy and cyber hygiene, with tool-specific policies assigned before use.</x:v>
      </x:c>
      <x:c r="N19" s="90" t="str">
        <x:v>12-allPoliciesContent.generated.ts — CO-HP-101</x:v>
      </x:c>
      <x:c r="O19" s="90" t="str">
        <x:v>https://www.ecfr.gov/current/title-45/part-164/section-164.530</x:v>
      </x:c>
      <x:c r="P19" s="90" t="str"/>
    </x:row>
    <x:row r="20" ht="42" customHeight="1">
      <x:c r="A20" s="90" t="str">
        <x:v>G-03</x:v>
      </x:c>
      <x:c r="B20" s="90" t="str">
        <x:v>General</x:v>
      </x:c>
      <x:c r="C20" s="90" t="str">
        <x:v>CO-IR-101</x:v>
      </x:c>
      <x:c r="D20" s="90" t="str">
        <x:v>Security Incident Response &amp; Breach Notification</x:v>
      </x:c>
      <x:c r="E20" s="90" t="str">
        <x:v>Core</x:v>
      </x:c>
      <x:c r="F20" s="90" t="str">
        <x:v>Yes</x:v>
      </x:c>
      <x:c r="G20" s="90" t="str">
        <x:v>Yes — bundled</x:v>
      </x:c>
      <x:c r="H20" s="90" t="str">
        <x:v>Privacy, Confidentiality &amp; Information Security</x:v>
      </x:c>
      <x:c r="I20" s="90" t="str">
        <x:v>80% quiz; phishing simulation; triggered AI/BYOD/EHR checks</x:v>
      </x:c>
      <x:c r="J20" s="90" t="str">
        <x:v>By day 14; before independent duty if earlier</x:v>
      </x:c>
      <x:c r="K20" s="90" t="str">
        <x:v>Initial + annual agency standard; on material change</x:v>
      </x:c>
      <x:c r="L20" s="90" t="str">
        <x:v>Conditional</x:v>
      </x:c>
      <x:c r="M20" s="90" t="str">
        <x:v>Workforce-wide privacy and cyber hygiene, with tool-specific policies assigned before use.</x:v>
      </x:c>
      <x:c r="N20" s="90" t="str">
        <x:v>12-allPoliciesContent.generated.ts — CO-IR-101</x:v>
      </x:c>
      <x:c r="O20" s="90" t="str">
        <x:v>https://www.ecfr.gov/current/title-45/part-164/section-164.530</x:v>
      </x:c>
      <x:c r="P20" s="90" t="str"/>
    </x:row>
    <x:row r="21" ht="42" customHeight="1">
      <x:c r="A21" s="90" t="str">
        <x:v>G-03</x:v>
      </x:c>
      <x:c r="B21" s="90" t="str">
        <x:v>General</x:v>
      </x:c>
      <x:c r="C21" s="90" t="str">
        <x:v>CO-DG-101</x:v>
      </x:c>
      <x:c r="D21" s="90" t="str">
        <x:v>Data Governance &amp; Minimum Necessary Enforcement</x:v>
      </x:c>
      <x:c r="E21" s="90" t="str">
        <x:v>Core</x:v>
      </x:c>
      <x:c r="F21" s="90" t="str">
        <x:v>Yes</x:v>
      </x:c>
      <x:c r="G21" s="90" t="str">
        <x:v>Yes — bundled</x:v>
      </x:c>
      <x:c r="H21" s="90" t="str">
        <x:v>Privacy, Confidentiality &amp; Information Security</x:v>
      </x:c>
      <x:c r="I21" s="90" t="str">
        <x:v>80% quiz; phishing simulation; triggered AI/BYOD/EHR checks</x:v>
      </x:c>
      <x:c r="J21" s="90" t="str">
        <x:v>By day 14; before independent duty if earlier</x:v>
      </x:c>
      <x:c r="K21" s="90" t="str">
        <x:v>Initial + annual agency standard; on material change</x:v>
      </x:c>
      <x:c r="L21" s="90" t="str">
        <x:v>Conditional</x:v>
      </x:c>
      <x:c r="M21" s="90" t="str">
        <x:v>Workforce-wide privacy and cyber hygiene, with tool-specific policies assigned before use.</x:v>
      </x:c>
      <x:c r="N21" s="90" t="str">
        <x:v>12-allPoliciesContent.generated.ts — CO-DG-101</x:v>
      </x:c>
      <x:c r="O21" s="90" t="str">
        <x:v>https://www.ecfr.gov/current/title-45/part-164/section-164.530</x:v>
      </x:c>
      <x:c r="P21" s="90" t="str"/>
    </x:row>
    <x:row r="22" ht="42" customHeight="1">
      <x:c r="A22" s="90" t="str">
        <x:v>G-03</x:v>
      </x:c>
      <x:c r="B22" s="90" t="str">
        <x:v>General</x:v>
      </x:c>
      <x:c r="C22" s="90" t="str">
        <x:v>IT-SC-001</x:v>
      </x:c>
      <x:c r="D22" s="90" t="str">
        <x:v>Information Security Program</x:v>
      </x:c>
      <x:c r="E22" s="90" t="str">
        <x:v>Core</x:v>
      </x:c>
      <x:c r="F22" s="90" t="str">
        <x:v>Yes</x:v>
      </x:c>
      <x:c r="G22" s="90" t="str">
        <x:v>Yes — bundled</x:v>
      </x:c>
      <x:c r="H22" s="90" t="str">
        <x:v>Privacy, Confidentiality &amp; Information Security</x:v>
      </x:c>
      <x:c r="I22" s="90" t="str">
        <x:v>80% quiz; phishing simulation; triggered AI/BYOD/EHR checks</x:v>
      </x:c>
      <x:c r="J22" s="90" t="str">
        <x:v>By day 14; before independent duty if earlier</x:v>
      </x:c>
      <x:c r="K22" s="90" t="str">
        <x:v>Initial + annual agency standard; on material change</x:v>
      </x:c>
      <x:c r="L22" s="90" t="str">
        <x:v>Conditional</x:v>
      </x:c>
      <x:c r="M22" s="90" t="str">
        <x:v>Workforce-wide privacy and cyber hygiene, with tool-specific policies assigned before use.</x:v>
      </x:c>
      <x:c r="N22" s="90" t="str">
        <x:v>12-allPoliciesContent.generated.ts — IT-SC-001</x:v>
      </x:c>
      <x:c r="O22" s="90" t="str"/>
      <x:c r="P22" s="90" t="str"/>
    </x:row>
    <x:row r="23" ht="42" customHeight="1">
      <x:c r="A23" s="90" t="str">
        <x:v>G-03</x:v>
      </x:c>
      <x:c r="B23" s="90" t="str">
        <x:v>General</x:v>
      </x:c>
      <x:c r="C23" s="90" t="str">
        <x:v>IT-SC-002</x:v>
      </x:c>
      <x:c r="D23" s="90" t="str">
        <x:v>Access Control &amp; User Authentication</x:v>
      </x:c>
      <x:c r="E23" s="90" t="str">
        <x:v>Core</x:v>
      </x:c>
      <x:c r="F23" s="90" t="str">
        <x:v>Yes</x:v>
      </x:c>
      <x:c r="G23" s="90" t="str">
        <x:v>Yes — bundled</x:v>
      </x:c>
      <x:c r="H23" s="90" t="str">
        <x:v>Privacy, Confidentiality &amp; Information Security</x:v>
      </x:c>
      <x:c r="I23" s="90" t="str">
        <x:v>80% quiz; phishing simulation; triggered AI/BYOD/EHR checks</x:v>
      </x:c>
      <x:c r="J23" s="90" t="str">
        <x:v>By day 14; before independent duty if earlier</x:v>
      </x:c>
      <x:c r="K23" s="90" t="str">
        <x:v>Initial + annual agency standard; on material change</x:v>
      </x:c>
      <x:c r="L23" s="90" t="str">
        <x:v>Conditional</x:v>
      </x:c>
      <x:c r="M23" s="90" t="str">
        <x:v>Workforce-wide privacy and cyber hygiene, with tool-specific policies assigned before use.</x:v>
      </x:c>
      <x:c r="N23" s="90" t="str">
        <x:v>12-allPoliciesContent.generated.ts — IT-SC-002</x:v>
      </x:c>
      <x:c r="O23" s="90" t="str"/>
      <x:c r="P23" s="90" t="str"/>
    </x:row>
    <x:row r="24" ht="42" customHeight="1">
      <x:c r="A24" s="90" t="str">
        <x:v>G-03</x:v>
      </x:c>
      <x:c r="B24" s="90" t="str">
        <x:v>General</x:v>
      </x:c>
      <x:c r="C24" s="90" t="str">
        <x:v>IT-UP-002</x:v>
      </x:c>
      <x:c r="D24" s="90" t="str">
        <x:v>Internet &amp; Email Acceptable Use__</x:v>
      </x:c>
      <x:c r="E24" s="90" t="str">
        <x:v>Core</x:v>
      </x:c>
      <x:c r="F24" s="90" t="str">
        <x:v>Yes</x:v>
      </x:c>
      <x:c r="G24" s="90" t="str">
        <x:v>Yes — bundled</x:v>
      </x:c>
      <x:c r="H24" s="90" t="str">
        <x:v>Privacy, Confidentiality &amp; Information Security</x:v>
      </x:c>
      <x:c r="I24" s="90" t="str">
        <x:v>80% quiz; phishing simulation; triggered AI/BYOD/EHR checks</x:v>
      </x:c>
      <x:c r="J24" s="90" t="str">
        <x:v>By day 14; before independent duty if earlier</x:v>
      </x:c>
      <x:c r="K24" s="90" t="str">
        <x:v>Initial + annual agency standard; on material change</x:v>
      </x:c>
      <x:c r="L24" s="90" t="str">
        <x:v>Conditional</x:v>
      </x:c>
      <x:c r="M24" s="90" t="str">
        <x:v>Workforce-wide privacy and cyber hygiene, with tool-specific policies assigned before use.</x:v>
      </x:c>
      <x:c r="N24" s="90" t="str">
        <x:v>12-allPoliciesContent.generated.ts — IT-UP-002</x:v>
      </x:c>
      <x:c r="O24" s="90" t="str"/>
      <x:c r="P24" s="90" t="str"/>
    </x:row>
    <x:row r="25" ht="42" customHeight="1">
      <x:c r="A25" s="90" t="str">
        <x:v>G-03</x:v>
      </x:c>
      <x:c r="B25" s="90" t="str">
        <x:v>General</x:v>
      </x:c>
      <x:c r="C25" s="90" t="str">
        <x:v>IT-UP-003</x:v>
      </x:c>
      <x:c r="D25" s="90" t="str">
        <x:v>Social Media &amp; Public Communications</x:v>
      </x:c>
      <x:c r="E25" s="90" t="str">
        <x:v>Core</x:v>
      </x:c>
      <x:c r="F25" s="90" t="str">
        <x:v>Yes</x:v>
      </x:c>
      <x:c r="G25" s="90" t="str">
        <x:v>Yes — bundled</x:v>
      </x:c>
      <x:c r="H25" s="90" t="str">
        <x:v>Privacy, Confidentiality &amp; Information Security</x:v>
      </x:c>
      <x:c r="I25" s="90" t="str">
        <x:v>80% quiz; phishing simulation; triggered AI/BYOD/EHR checks</x:v>
      </x:c>
      <x:c r="J25" s="90" t="str">
        <x:v>By day 14; before independent duty if earlier</x:v>
      </x:c>
      <x:c r="K25" s="90" t="str">
        <x:v>Initial + annual agency standard; on material change</x:v>
      </x:c>
      <x:c r="L25" s="90" t="str">
        <x:v>Conditional</x:v>
      </x:c>
      <x:c r="M25" s="90" t="str">
        <x:v>Workforce-wide privacy and cyber hygiene, with tool-specific policies assigned before use.</x:v>
      </x:c>
      <x:c r="N25" s="90" t="str">
        <x:v>12-allPoliciesContent.generated.ts — IT-UP-003</x:v>
      </x:c>
      <x:c r="O25" s="90" t="str"/>
      <x:c r="P25" s="90" t="str"/>
    </x:row>
    <x:row r="26" ht="42" customHeight="1">
      <x:c r="A26" s="90" t="str">
        <x:v>G-03</x:v>
      </x:c>
      <x:c r="B26" s="90" t="str">
        <x:v>General</x:v>
      </x:c>
      <x:c r="C26" s="90" t="str">
        <x:v>IT-UP-004</x:v>
      </x:c>
      <x:c r="D26" s="90" t="str">
        <x:v>Security Awareness Training</x:v>
      </x:c>
      <x:c r="E26" s="90" t="str">
        <x:v>Core</x:v>
      </x:c>
      <x:c r="F26" s="90" t="str">
        <x:v>Yes</x:v>
      </x:c>
      <x:c r="G26" s="90" t="str">
        <x:v>Yes — bundled</x:v>
      </x:c>
      <x:c r="H26" s="90" t="str">
        <x:v>Privacy, Confidentiality &amp; Information Security</x:v>
      </x:c>
      <x:c r="I26" s="90" t="str">
        <x:v>80% quiz; phishing simulation; triggered AI/BYOD/EHR checks</x:v>
      </x:c>
      <x:c r="J26" s="90" t="str">
        <x:v>By day 14; before independent duty if earlier</x:v>
      </x:c>
      <x:c r="K26" s="90" t="str">
        <x:v>Initial + annual agency standard; on material change</x:v>
      </x:c>
      <x:c r="L26" s="90" t="str">
        <x:v>Conditional</x:v>
      </x:c>
      <x:c r="M26" s="90" t="str">
        <x:v>Workforce-wide privacy and cyber hygiene, with tool-specific policies assigned before use.</x:v>
      </x:c>
      <x:c r="N26" s="90" t="str">
        <x:v>12-allPoliciesContent.generated.ts — IT-UP-004</x:v>
      </x:c>
      <x:c r="O26" s="90" t="str"/>
      <x:c r="P26" s="90" t="str"/>
    </x:row>
    <x:row r="27" ht="42" customHeight="1">
      <x:c r="A27" s="90" t="str">
        <x:v>G-03</x:v>
      </x:c>
      <x:c r="B27" s="90" t="str">
        <x:v>General</x:v>
      </x:c>
      <x:c r="C27" s="90" t="str">
        <x:v>CO-AI-101</x:v>
      </x:c>
      <x:c r="D27" s="90" t="str">
        <x:v>AI &amp; Automated Systems Governance</x:v>
      </x:c>
      <x:c r="E27" s="90" t="str">
        <x:v>Conditional</x:v>
      </x:c>
      <x:c r="F27" s="90" t="str">
        <x:v>Yes</x:v>
      </x:c>
      <x:c r="G27" s="90" t="str">
        <x:v>Yes — bundled</x:v>
      </x:c>
      <x:c r="H27" s="90" t="str">
        <x:v>Privacy, Confidentiality &amp; Information Security</x:v>
      </x:c>
      <x:c r="I27" s="90" t="str">
        <x:v>80% quiz; phishing simulation; triggered AI/BYOD/EHR checks</x:v>
      </x:c>
      <x:c r="J27" s="90" t="str">
        <x:v>By day 14; before independent duty if earlier</x:v>
      </x:c>
      <x:c r="K27" s="90" t="str">
        <x:v>Initial + annual agency standard; on material change</x:v>
      </x:c>
      <x:c r="L27" s="90" t="str">
        <x:v>Conditional</x:v>
      </x:c>
      <x:c r="M27" s="90" t="str">
        <x:v>Workforce-wide privacy and cyber hygiene, with tool-specific policies assigned before use.</x:v>
      </x:c>
      <x:c r="N27" s="90" t="str">
        <x:v>12-allPoliciesContent.generated.ts — CO-AI-101</x:v>
      </x:c>
      <x:c r="O27" s="90" t="str"/>
      <x:c r="P27" s="90" t="str"/>
    </x:row>
    <x:row r="28" ht="42" customHeight="1">
      <x:c r="A28" s="90" t="str">
        <x:v>G-03</x:v>
      </x:c>
      <x:c r="B28" s="90" t="str">
        <x:v>General</x:v>
      </x:c>
      <x:c r="C28" s="90" t="str">
        <x:v>IT-UP-001</x:v>
      </x:c>
      <x:c r="D28" s="90" t="str">
        <x:v>Mobile Device &amp; BYOD Security</x:v>
      </x:c>
      <x:c r="E28" s="90" t="str">
        <x:v>Conditional</x:v>
      </x:c>
      <x:c r="F28" s="90" t="str">
        <x:v>Yes</x:v>
      </x:c>
      <x:c r="G28" s="90" t="str">
        <x:v>Yes — bundled</x:v>
      </x:c>
      <x:c r="H28" s="90" t="str">
        <x:v>Privacy, Confidentiality &amp; Information Security</x:v>
      </x:c>
      <x:c r="I28" s="90" t="str">
        <x:v>80% quiz; phishing simulation; triggered AI/BYOD/EHR checks</x:v>
      </x:c>
      <x:c r="J28" s="90" t="str">
        <x:v>By day 14; before independent duty if earlier</x:v>
      </x:c>
      <x:c r="K28" s="90" t="str">
        <x:v>Initial + annual agency standard; on material change</x:v>
      </x:c>
      <x:c r="L28" s="90" t="str">
        <x:v>Conditional</x:v>
      </x:c>
      <x:c r="M28" s="90" t="str">
        <x:v>Workforce-wide privacy and cyber hygiene, with tool-specific policies assigned before use.</x:v>
      </x:c>
      <x:c r="N28" s="90" t="str">
        <x:v>12-allPoliciesContent.generated.ts — IT-UP-001</x:v>
      </x:c>
      <x:c r="O28" s="90" t="str"/>
      <x:c r="P28" s="90" t="str"/>
    </x:row>
    <x:row r="29" ht="42" customHeight="1">
      <x:c r="A29" s="90" t="str">
        <x:v>G-03</x:v>
      </x:c>
      <x:c r="B29" s="90" t="str">
        <x:v>General</x:v>
      </x:c>
      <x:c r="C29" s="90" t="str">
        <x:v>IT-SA-001</x:v>
      </x:c>
      <x:c r="D29" s="90" t="str">
        <x:v>Electronic Health Record System Management</x:v>
      </x:c>
      <x:c r="E29" s="90" t="str">
        <x:v>Conditional</x:v>
      </x:c>
      <x:c r="F29" s="90" t="str">
        <x:v>Yes</x:v>
      </x:c>
      <x:c r="G29" s="90" t="str">
        <x:v>Yes — bundled</x:v>
      </x:c>
      <x:c r="H29" s="90" t="str">
        <x:v>Privacy, Confidentiality &amp; Information Security</x:v>
      </x:c>
      <x:c r="I29" s="90" t="str">
        <x:v>80% quiz; phishing simulation; triggered AI/BYOD/EHR checks</x:v>
      </x:c>
      <x:c r="J29" s="90" t="str">
        <x:v>By day 14; before independent duty if earlier</x:v>
      </x:c>
      <x:c r="K29" s="90" t="str">
        <x:v>Initial + annual agency standard; on material change</x:v>
      </x:c>
      <x:c r="L29" s="90" t="str">
        <x:v>Conditional</x:v>
      </x:c>
      <x:c r="M29" s="90" t="str">
        <x:v>Workforce-wide privacy and cyber hygiene, with tool-specific policies assigned before use.</x:v>
      </x:c>
      <x:c r="N29" s="90" t="str">
        <x:v>12-allPoliciesContent.generated.ts — IT-SA-001</x:v>
      </x:c>
      <x:c r="O29" s="90" t="str"/>
      <x:c r="P29" s="90" t="str"/>
    </x:row>
    <x:row r="30" ht="42" customHeight="1">
      <x:c r="A30" s="90" t="str">
        <x:v>G-04</x:v>
      </x:c>
      <x:c r="B30" s="90" t="str">
        <x:v>General</x:v>
      </x:c>
      <x:c r="C30" s="90" t="str">
        <x:v>CL-PR-001</x:v>
      </x:c>
      <x:c r="D30" s="90" t="str">
        <x:v>Patient Rights &amp; Responsibilities</x:v>
      </x:c>
      <x:c r="E30" s="90" t="str">
        <x:v>Core</x:v>
      </x:c>
      <x:c r="F30" s="90" t="str">
        <x:v>Yes</x:v>
      </x:c>
      <x:c r="G30" s="90" t="str">
        <x:v>Yes — bundled</x:v>
      </x:c>
      <x:c r="H30" s="90" t="str">
        <x:v>Patient Rights, Abuse Reporting &amp; Grievances</x:v>
      </x:c>
      <x:c r="I30" s="90" t="str">
        <x:v>80% quiz with mandatory-reporting scenarios</x:v>
      </x:c>
      <x:c r="J30" s="90" t="str">
        <x:v>By day 14; before independent duty if earlier</x:v>
      </x:c>
      <x:c r="K30" s="90" t="str">
        <x:v>Initial + annual agency standard</x:v>
      </x:c>
      <x:c r="L30" s="90" t="str">
        <x:v>Ready</x:v>
      </x:c>
      <x:c r="M30" s="90" t="str">
        <x:v>Every employee must protect patient rights and know immediate abuse and grievance reporting duties.</x:v>
      </x:c>
      <x:c r="N30" s="90" t="str">
        <x:v>12-allPoliciesContent.generated.ts — CL-PR-001</x:v>
      </x:c>
      <x:c r="O30" s="90" t="str">
        <x:v>https://www.ecfr.gov/current/title-42/part-484/section-484.50</x:v>
      </x:c>
      <x:c r="P30" s="90" t="str"/>
    </x:row>
    <x:row r="31" ht="42" customHeight="1">
      <x:c r="A31" s="90" t="str">
        <x:v>G-04</x:v>
      </x:c>
      <x:c r="B31" s="90" t="str">
        <x:v>General</x:v>
      </x:c>
      <x:c r="C31" s="90" t="str">
        <x:v>CL-PR-006</x:v>
      </x:c>
      <x:c r="D31" s="90" t="str">
        <x:v>Abuse, Neglect &amp; Exploitation Reporting</x:v>
      </x:c>
      <x:c r="E31" s="90" t="str">
        <x:v>Core</x:v>
      </x:c>
      <x:c r="F31" s="90" t="str">
        <x:v>Yes</x:v>
      </x:c>
      <x:c r="G31" s="90" t="str">
        <x:v>Yes — bundled</x:v>
      </x:c>
      <x:c r="H31" s="90" t="str">
        <x:v>Patient Rights, Abuse Reporting &amp; Grievances</x:v>
      </x:c>
      <x:c r="I31" s="90" t="str">
        <x:v>80% quiz with mandatory-reporting scenarios</x:v>
      </x:c>
      <x:c r="J31" s="90" t="str">
        <x:v>By day 14; before independent duty if earlier</x:v>
      </x:c>
      <x:c r="K31" s="90" t="str">
        <x:v>Initial + annual agency standard</x:v>
      </x:c>
      <x:c r="L31" s="90" t="str">
        <x:v>Ready</x:v>
      </x:c>
      <x:c r="M31" s="90" t="str">
        <x:v>Every employee must protect patient rights and know immediate abuse and grievance reporting duties.</x:v>
      </x:c>
      <x:c r="N31" s="90" t="str">
        <x:v>12-allPoliciesContent.generated.ts — CL-PR-006</x:v>
      </x:c>
      <x:c r="O31" s="90" t="str">
        <x:v>https://www.ecfr.gov/current/title-42/part-484/section-484.50</x:v>
      </x:c>
      <x:c r="P31" s="90" t="str"/>
    </x:row>
    <x:row r="32" ht="42" customHeight="1">
      <x:c r="A32" s="90" t="str">
        <x:v>G-04</x:v>
      </x:c>
      <x:c r="B32" s="90" t="str">
        <x:v>General</x:v>
      </x:c>
      <x:c r="C32" s="90" t="str">
        <x:v>HR-ER-009</x:v>
      </x:c>
      <x:c r="D32" s="90" t="str">
        <x:v>Mandatory Abuse Reporting by Staff</x:v>
      </x:c>
      <x:c r="E32" s="90" t="str">
        <x:v>Core</x:v>
      </x:c>
      <x:c r="F32" s="90" t="str">
        <x:v>Yes</x:v>
      </x:c>
      <x:c r="G32" s="90" t="str">
        <x:v>Yes — bundled</x:v>
      </x:c>
      <x:c r="H32" s="90" t="str">
        <x:v>Patient Rights, Abuse Reporting &amp; Grievances</x:v>
      </x:c>
      <x:c r="I32" s="90" t="str">
        <x:v>80% quiz with mandatory-reporting scenarios</x:v>
      </x:c>
      <x:c r="J32" s="90" t="str">
        <x:v>By day 14; before independent duty if earlier</x:v>
      </x:c>
      <x:c r="K32" s="90" t="str">
        <x:v>Initial + annual agency standard</x:v>
      </x:c>
      <x:c r="L32" s="90" t="str">
        <x:v>Ready</x:v>
      </x:c>
      <x:c r="M32" s="90" t="str">
        <x:v>Every employee must protect patient rights and know immediate abuse and grievance reporting duties.</x:v>
      </x:c>
      <x:c r="N32" s="90" t="str">
        <x:v>12-allPoliciesContent.generated.ts — HR-ER-009</x:v>
      </x:c>
      <x:c r="O32" s="90" t="str"/>
      <x:c r="P32" s="90" t="str"/>
    </x:row>
    <x:row r="33" ht="42" customHeight="1">
      <x:c r="A33" s="90" t="str">
        <x:v>G-04</x:v>
      </x:c>
      <x:c r="B33" s="90" t="str">
        <x:v>General</x:v>
      </x:c>
      <x:c r="C33" s="90" t="str">
        <x:v>OP-PA-001</x:v>
      </x:c>
      <x:c r="D33" s="90" t="str">
        <x:v>Patient Complaint &amp; Grievance Resolution</x:v>
      </x:c>
      <x:c r="E33" s="90" t="str">
        <x:v>Core</x:v>
      </x:c>
      <x:c r="F33" s="90" t="str">
        <x:v>Yes</x:v>
      </x:c>
      <x:c r="G33" s="90" t="str">
        <x:v>Yes — bundled</x:v>
      </x:c>
      <x:c r="H33" s="90" t="str">
        <x:v>Patient Rights, Abuse Reporting &amp; Grievances</x:v>
      </x:c>
      <x:c r="I33" s="90" t="str">
        <x:v>80% quiz with mandatory-reporting scenarios</x:v>
      </x:c>
      <x:c r="J33" s="90" t="str">
        <x:v>By day 14; before independent duty if earlier</x:v>
      </x:c>
      <x:c r="K33" s="90" t="str">
        <x:v>Initial + annual agency standard</x:v>
      </x:c>
      <x:c r="L33" s="90" t="str">
        <x:v>Ready</x:v>
      </x:c>
      <x:c r="M33" s="90" t="str">
        <x:v>Every employee must protect patient rights and know immediate abuse and grievance reporting duties.</x:v>
      </x:c>
      <x:c r="N33" s="90" t="str">
        <x:v>12-allPoliciesContent.generated.ts — OP-PA-001</x:v>
      </x:c>
      <x:c r="O33" s="90" t="str"/>
      <x:c r="P33" s="90" t="str"/>
    </x:row>
    <x:row r="34" ht="42" customHeight="1">
      <x:c r="A34" s="90" t="str">
        <x:v>G-04</x:v>
      </x:c>
      <x:c r="B34" s="90" t="str">
        <x:v>General</x:v>
      </x:c>
      <x:c r="C34" s="90" t="str">
        <x:v>GV-PM-005</x:v>
      </x:c>
      <x:c r="D34" s="90" t="str">
        <x:v>Stakeholder Grievance &amp; Feedback Management</x:v>
      </x:c>
      <x:c r="E34" s="90" t="str">
        <x:v>Core</x:v>
      </x:c>
      <x:c r="F34" s="90" t="str">
        <x:v>Yes</x:v>
      </x:c>
      <x:c r="G34" s="90" t="str">
        <x:v>Yes — bundled</x:v>
      </x:c>
      <x:c r="H34" s="90" t="str">
        <x:v>Patient Rights, Abuse Reporting &amp; Grievances</x:v>
      </x:c>
      <x:c r="I34" s="90" t="str">
        <x:v>80% quiz with mandatory-reporting scenarios</x:v>
      </x:c>
      <x:c r="J34" s="90" t="str">
        <x:v>By day 14; before independent duty if earlier</x:v>
      </x:c>
      <x:c r="K34" s="90" t="str">
        <x:v>Initial + annual agency standard</x:v>
      </x:c>
      <x:c r="L34" s="90" t="str">
        <x:v>Ready</x:v>
      </x:c>
      <x:c r="M34" s="90" t="str">
        <x:v>Every employee must protect patient rights and know immediate abuse and grievance reporting duties.</x:v>
      </x:c>
      <x:c r="N34" s="90" t="str">
        <x:v>12-allPoliciesContent.generated.ts — GV-PM-005</x:v>
      </x:c>
      <x:c r="O34" s="90" t="str">
        <x:v>https://www.ecfr.gov/current/title-42/part-484/section-484.105</x:v>
      </x:c>
      <x:c r="P34" s="90" t="str"/>
    </x:row>
    <x:row r="35" ht="42" customHeight="1">
      <x:c r="A35" s="90" t="str">
        <x:v>G-05</x:v>
      </x:c>
      <x:c r="B35" s="90" t="str">
        <x:v>General</x:v>
      </x:c>
      <x:c r="C35" s="90" t="str">
        <x:v>RM-OS-001</x:v>
      </x:c>
      <x:c r="D35" s="90" t="str">
        <x:v>Cal/OSHA Injury &amp; Illness Prevention Program (IIPP)</x:v>
      </x:c>
      <x:c r="E35" s="90" t="str">
        <x:v>Core</x:v>
      </x:c>
      <x:c r="F35" s="90" t="str">
        <x:v>Yes</x:v>
      </x:c>
      <x:c r="G35" s="90" t="str">
        <x:v>Yes — bundled</x:v>
      </x:c>
      <x:c r="H35" s="90" t="str">
        <x:v>IIPP, Workplace Violence, Safety &amp; Incident Reporting</x:v>
      </x:c>
      <x:c r="I35" s="90" t="str">
        <x:v>80% quiz; interactive workplace-violence Q&amp;A</x:v>
      </x:c>
      <x:c r="J35" s="90" t="str">
        <x:v>By day 14; before independent duty if earlier</x:v>
      </x:c>
      <x:c r="K35" s="90" t="str">
        <x:v>Initial + annual; additional training when hazards/plan change</x:v>
      </x:c>
      <x:c r="L35" s="90" t="str">
        <x:v>Ready</x:v>
      </x:c>
      <x:c r="M35" s="90" t="str">
        <x:v>All employees need agency-specific hazard, violence, injury, adverse-event, and escalation procedures.</x:v>
      </x:c>
      <x:c r="N35" s="90" t="str">
        <x:v>12-allPoliciesContent.generated.ts — RM-OS-001</x:v>
      </x:c>
      <x:c r="O35" s="90" t="str"/>
      <x:c r="P35" s="90" t="str">
        <x:v>Use RM-OS-001 as the controlled IIPP course source; retire or reconcile RM-OS-101 references.</x:v>
      </x:c>
    </x:row>
    <x:row r="36" ht="42" customHeight="1">
      <x:c r="A36" s="90" t="str">
        <x:v>G-05</x:v>
      </x:c>
      <x:c r="B36" s="90" t="str">
        <x:v>General</x:v>
      </x:c>
      <x:c r="C36" s="90" t="str">
        <x:v>HR-WM-004</x:v>
      </x:c>
      <x:c r="D36" s="90" t="str">
        <x:v>Workplace Safety &amp; Injury Prevention</x:v>
      </x:c>
      <x:c r="E36" s="90" t="str">
        <x:v>Core</x:v>
      </x:c>
      <x:c r="F36" s="90" t="str">
        <x:v>Yes</x:v>
      </x:c>
      <x:c r="G36" s="90" t="str">
        <x:v>Yes — bundled</x:v>
      </x:c>
      <x:c r="H36" s="90" t="str">
        <x:v>IIPP, Workplace Violence, Safety &amp; Incident Reporting</x:v>
      </x:c>
      <x:c r="I36" s="90" t="str">
        <x:v>80% quiz; interactive workplace-violence Q&amp;A</x:v>
      </x:c>
      <x:c r="J36" s="90" t="str">
        <x:v>By day 14; before independent duty if earlier</x:v>
      </x:c>
      <x:c r="K36" s="90" t="str">
        <x:v>Initial + annual; additional training when hazards/plan change</x:v>
      </x:c>
      <x:c r="L36" s="90" t="str">
        <x:v>Ready</x:v>
      </x:c>
      <x:c r="M36" s="90" t="str">
        <x:v>All employees need agency-specific hazard, violence, injury, adverse-event, and escalation procedures.</x:v>
      </x:c>
      <x:c r="N36" s="90" t="str">
        <x:v>12-allPoliciesContent.generated.ts — HR-WM-004</x:v>
      </x:c>
      <x:c r="O36" s="90" t="str"/>
      <x:c r="P36" s="90" t="str">
        <x:v>Use RM-OS-001 as the controlled IIPP course source; retire or reconcile RM-OS-101 references.</x:v>
      </x:c>
    </x:row>
    <x:row r="37" ht="42" customHeight="1">
      <x:c r="A37" s="90" t="str">
        <x:v>G-05</x:v>
      </x:c>
      <x:c r="B37" s="90" t="str">
        <x:v>General</x:v>
      </x:c>
      <x:c r="C37" s="90" t="str">
        <x:v>RM-SS-002</x:v>
      </x:c>
      <x:c r="D37" s="90" t="str">
        <x:v>Workplace Violence Prevention</x:v>
      </x:c>
      <x:c r="E37" s="90" t="str">
        <x:v>Core</x:v>
      </x:c>
      <x:c r="F37" s="90" t="str">
        <x:v>Yes</x:v>
      </x:c>
      <x:c r="G37" s="90" t="str">
        <x:v>Yes — bundled</x:v>
      </x:c>
      <x:c r="H37" s="90" t="str">
        <x:v>IIPP, Workplace Violence, Safety &amp; Incident Reporting</x:v>
      </x:c>
      <x:c r="I37" s="90" t="str">
        <x:v>80% quiz; interactive workplace-violence Q&amp;A</x:v>
      </x:c>
      <x:c r="J37" s="90" t="str">
        <x:v>By day 14; before independent duty if earlier</x:v>
      </x:c>
      <x:c r="K37" s="90" t="str">
        <x:v>Initial + annual; additional training when hazards/plan change</x:v>
      </x:c>
      <x:c r="L37" s="90" t="str">
        <x:v>Ready</x:v>
      </x:c>
      <x:c r="M37" s="90" t="str">
        <x:v>All employees need agency-specific hazard, violence, injury, adverse-event, and escalation procedures.</x:v>
      </x:c>
      <x:c r="N37" s="90" t="str">
        <x:v>12-allPoliciesContent.generated.ts — RM-SS-002</x:v>
      </x:c>
      <x:c r="O37" s="90" t="str">
        <x:v>https://leginfo.legislature.ca.gov/faces/codes_displaySection.xhtml?lawCode=LAB&amp;sectionNum=6401.9.</x:v>
      </x:c>
      <x:c r="P37" s="90" t="str">
        <x:v>Use RM-OS-001 as the controlled IIPP course source; retire or reconcile RM-OS-101 references.</x:v>
      </x:c>
    </x:row>
    <x:row r="38" ht="42" customHeight="1">
      <x:c r="A38" s="90" t="str">
        <x:v>G-05</x:v>
      </x:c>
      <x:c r="B38" s="90" t="str">
        <x:v>General</x:v>
      </x:c>
      <x:c r="C38" s="90" t="str">
        <x:v>RM-ER-002</x:v>
      </x:c>
      <x:c r="D38" s="90" t="str">
        <x:v>Incident Reporting &amp; Investigation</x:v>
      </x:c>
      <x:c r="E38" s="90" t="str">
        <x:v>Core</x:v>
      </x:c>
      <x:c r="F38" s="90" t="str">
        <x:v>Yes</x:v>
      </x:c>
      <x:c r="G38" s="90" t="str">
        <x:v>Yes — bundled</x:v>
      </x:c>
      <x:c r="H38" s="90" t="str">
        <x:v>IIPP, Workplace Violence, Safety &amp; Incident Reporting</x:v>
      </x:c>
      <x:c r="I38" s="90" t="str">
        <x:v>80% quiz; interactive workplace-violence Q&amp;A</x:v>
      </x:c>
      <x:c r="J38" s="90" t="str">
        <x:v>By day 14; before independent duty if earlier</x:v>
      </x:c>
      <x:c r="K38" s="90" t="str">
        <x:v>Initial + annual; additional training when hazards/plan change</x:v>
      </x:c>
      <x:c r="L38" s="90" t="str">
        <x:v>Ready</x:v>
      </x:c>
      <x:c r="M38" s="90" t="str">
        <x:v>All employees need agency-specific hazard, violence, injury, adverse-event, and escalation procedures.</x:v>
      </x:c>
      <x:c r="N38" s="90" t="str">
        <x:v>12-allPoliciesContent.generated.ts — RM-ER-002</x:v>
      </x:c>
      <x:c r="O38" s="90" t="str"/>
      <x:c r="P38" s="90" t="str">
        <x:v>Use RM-OS-001 as the controlled IIPP course source; retire or reconcile RM-OS-101 references.</x:v>
      </x:c>
    </x:row>
    <x:row r="39" ht="42" customHeight="1">
      <x:c r="A39" s="90" t="str">
        <x:v>G-05</x:v>
      </x:c>
      <x:c r="B39" s="90" t="str">
        <x:v>General</x:v>
      </x:c>
      <x:c r="C39" s="90" t="str">
        <x:v>QA-AE-001</x:v>
      </x:c>
      <x:c r="D39" s="90" t="str">
        <x:v>Adverse Event Identification &amp; Reporting</x:v>
      </x:c>
      <x:c r="E39" s="90" t="str">
        <x:v>Core</x:v>
      </x:c>
      <x:c r="F39" s="90" t="str">
        <x:v>Yes</x:v>
      </x:c>
      <x:c r="G39" s="90" t="str">
        <x:v>Yes — bundled</x:v>
      </x:c>
      <x:c r="H39" s="90" t="str">
        <x:v>IIPP, Workplace Violence, Safety &amp; Incident Reporting</x:v>
      </x:c>
      <x:c r="I39" s="90" t="str">
        <x:v>80% quiz; interactive workplace-violence Q&amp;A</x:v>
      </x:c>
      <x:c r="J39" s="90" t="str">
        <x:v>By day 14; before independent duty if earlier</x:v>
      </x:c>
      <x:c r="K39" s="90" t="str">
        <x:v>Initial + annual; additional training when hazards/plan change</x:v>
      </x:c>
      <x:c r="L39" s="90" t="str">
        <x:v>Ready</x:v>
      </x:c>
      <x:c r="M39" s="90" t="str">
        <x:v>All employees need agency-specific hazard, violence, injury, adverse-event, and escalation procedures.</x:v>
      </x:c>
      <x:c r="N39" s="90" t="str">
        <x:v>12-allPoliciesContent.generated.ts — QA-AE-001</x:v>
      </x:c>
      <x:c r="O39" s="90" t="str">
        <x:v>https://www.ecfr.gov/current/title-42/part-484/section-484.65</x:v>
      </x:c>
      <x:c r="P39" s="90" t="str">
        <x:v>Use RM-OS-001 as the controlled IIPP course source; retire or reconcile RM-OS-101 references.</x:v>
      </x:c>
    </x:row>
    <x:row r="40" ht="42" customHeight="1">
      <x:c r="A40" s="90" t="str">
        <x:v>G-06</x:v>
      </x:c>
      <x:c r="B40" s="90" t="str">
        <x:v>General</x:v>
      </x:c>
      <x:c r="C40" s="90" t="str">
        <x:v>OP-FM-005</x:v>
      </x:c>
      <x:c r="D40" s="90" t="str">
        <x:v>Emergency Operations &amp; Business Continuity</x:v>
      </x:c>
      <x:c r="E40" s="90" t="str">
        <x:v>Core</x:v>
      </x:c>
      <x:c r="F40" s="90" t="str">
        <x:v>Yes</x:v>
      </x:c>
      <x:c r="G40" s="90" t="str">
        <x:v>Yes — bundled</x:v>
      </x:c>
      <x:c r="H40" s="90" t="str">
        <x:v>Emergency Preparedness &amp; Service Continuity</x:v>
      </x:c>
      <x:c r="I40" s="90" t="str">
        <x:v>80% quiz plus assigned drill/exercise</x:v>
      </x:c>
      <x:c r="J40" s="90" t="str">
        <x:v>By day 14; before independent duty if earlier</x:v>
      </x:c>
      <x:c r="K40" s="90" t="str">
        <x:v>Initial + annual agency standard; drill/exercise annually</x:v>
      </x:c>
      <x:c r="L40" s="90" t="str">
        <x:v>Ready</x:v>
      </x:c>
      <x:c r="M40" s="90" t="str">
        <x:v>Staff must know their emergency role, communication route, and continuity expectations.</x:v>
      </x:c>
      <x:c r="N40" s="90" t="str">
        <x:v>12-allPoliciesContent.generated.ts — OP-FM-005</x:v>
      </x:c>
      <x:c r="O40" s="90" t="str">
        <x:v>https://www.ecfr.gov/current/title-42/part-484/section-484.102</x:v>
      </x:c>
      <x:c r="P40" s="90" t="str">
        <x:v>Federal HHA training minimum is at least every 2 years; the supplied policies intentionally use a stricter annual standard.</x:v>
      </x:c>
    </x:row>
    <x:row r="41" ht="42" customHeight="1">
      <x:c r="A41" s="90" t="str">
        <x:v>G-06</x:v>
      </x:c>
      <x:c r="B41" s="90" t="str">
        <x:v>General</x:v>
      </x:c>
      <x:c r="C41" s="90" t="str">
        <x:v>RM-EP-001</x:v>
      </x:c>
      <x:c r="D41" s="90" t="str">
        <x:v>Emergency Preparedness Program</x:v>
      </x:c>
      <x:c r="E41" s="90" t="str">
        <x:v>Core</x:v>
      </x:c>
      <x:c r="F41" s="90" t="str">
        <x:v>Yes</x:v>
      </x:c>
      <x:c r="G41" s="90" t="str">
        <x:v>Yes — bundled</x:v>
      </x:c>
      <x:c r="H41" s="90" t="str">
        <x:v>Emergency Preparedness &amp; Service Continuity</x:v>
      </x:c>
      <x:c r="I41" s="90" t="str">
        <x:v>80% quiz plus assigned drill/exercise</x:v>
      </x:c>
      <x:c r="J41" s="90" t="str">
        <x:v>By day 14; before independent duty if earlier</x:v>
      </x:c>
      <x:c r="K41" s="90" t="str">
        <x:v>Initial + annual agency standard; drill/exercise annually</x:v>
      </x:c>
      <x:c r="L41" s="90" t="str">
        <x:v>Ready</x:v>
      </x:c>
      <x:c r="M41" s="90" t="str">
        <x:v>Staff must know their emergency role, communication route, and continuity expectations.</x:v>
      </x:c>
      <x:c r="N41" s="90" t="str">
        <x:v>12-allPoliciesContent.generated.ts — RM-EP-001</x:v>
      </x:c>
      <x:c r="O41" s="90" t="str">
        <x:v>https://www.ecfr.gov/current/title-42/part-484/section-484.102</x:v>
      </x:c>
      <x:c r="P41" s="90" t="str">
        <x:v>Federal HHA training minimum is at least every 2 years; the supplied policies intentionally use a stricter annual standard.</x:v>
      </x:c>
    </x:row>
    <x:row r="42" ht="42" customHeight="1">
      <x:c r="A42" s="90" t="str">
        <x:v>G-06</x:v>
      </x:c>
      <x:c r="B42" s="90" t="str">
        <x:v>General</x:v>
      </x:c>
      <x:c r="C42" s="90" t="str">
        <x:v>RM-EP-002</x:v>
      </x:c>
      <x:c r="D42" s="90" t="str">
        <x:v>Emergency Preparedness Training &amp; Testing Program</x:v>
      </x:c>
      <x:c r="E42" s="90" t="str">
        <x:v>Core</x:v>
      </x:c>
      <x:c r="F42" s="90" t="str">
        <x:v>Yes</x:v>
      </x:c>
      <x:c r="G42" s="90" t="str">
        <x:v>Yes — bundled</x:v>
      </x:c>
      <x:c r="H42" s="90" t="str">
        <x:v>Emergency Preparedness &amp; Service Continuity</x:v>
      </x:c>
      <x:c r="I42" s="90" t="str">
        <x:v>80% quiz plus assigned drill/exercise</x:v>
      </x:c>
      <x:c r="J42" s="90" t="str">
        <x:v>By day 14; before independent duty if earlier</x:v>
      </x:c>
      <x:c r="K42" s="90" t="str">
        <x:v>Initial + annual agency standard; drill/exercise annually</x:v>
      </x:c>
      <x:c r="L42" s="90" t="str">
        <x:v>Ready</x:v>
      </x:c>
      <x:c r="M42" s="90" t="str">
        <x:v>Staff must know their emergency role, communication route, and continuity expectations.</x:v>
      </x:c>
      <x:c r="N42" s="90" t="str">
        <x:v>12-allPoliciesContent.generated.ts — RM-EP-002</x:v>
      </x:c>
      <x:c r="O42" s="90" t="str">
        <x:v>https://www.ecfr.gov/current/title-42/part-484/section-484.102</x:v>
      </x:c>
      <x:c r="P42" s="90" t="str">
        <x:v>Federal HHA training minimum is at least every 2 years; the supplied policies intentionally use a stricter annual standard.</x:v>
      </x:c>
    </x:row>
    <x:row r="43" ht="42" customHeight="1">
      <x:c r="A43" s="90" t="str">
        <x:v>G-06</x:v>
      </x:c>
      <x:c r="B43" s="90" t="str">
        <x:v>General</x:v>
      </x:c>
      <x:c r="C43" s="90" t="str">
        <x:v>OP-SL-006</x:v>
      </x:c>
      <x:c r="D43" s="90" t="str">
        <x:v>Service Delivery During Public Health Emergencies</x:v>
      </x:c>
      <x:c r="E43" s="90" t="str">
        <x:v>Core</x:v>
      </x:c>
      <x:c r="F43" s="90" t="str">
        <x:v>Yes</x:v>
      </x:c>
      <x:c r="G43" s="90" t="str">
        <x:v>Yes — bundled</x:v>
      </x:c>
      <x:c r="H43" s="90" t="str">
        <x:v>Emergency Preparedness &amp; Service Continuity</x:v>
      </x:c>
      <x:c r="I43" s="90" t="str">
        <x:v>80% quiz plus assigned drill/exercise</x:v>
      </x:c>
      <x:c r="J43" s="90" t="str">
        <x:v>By day 14; before independent duty if earlier</x:v>
      </x:c>
      <x:c r="K43" s="90" t="str">
        <x:v>Initial + annual agency standard; drill/exercise annually</x:v>
      </x:c>
      <x:c r="L43" s="90" t="str">
        <x:v>Ready</x:v>
      </x:c>
      <x:c r="M43" s="90" t="str">
        <x:v>Staff must know their emergency role, communication route, and continuity expectations.</x:v>
      </x:c>
      <x:c r="N43" s="90" t="str">
        <x:v>12-allPoliciesContent.generated.ts — OP-SL-006</x:v>
      </x:c>
      <x:c r="O43" s="90" t="str"/>
      <x:c r="P43" s="90" t="str">
        <x:v>Federal HHA training minimum is at least every 2 years; the supplied policies intentionally use a stricter annual standard.</x:v>
      </x:c>
    </x:row>
    <x:row r="44" ht="42" customHeight="1">
      <x:c r="A44" s="90" t="str">
        <x:v>G-07</x:v>
      </x:c>
      <x:c r="B44" s="90" t="str">
        <x:v>General</x:v>
      </x:c>
      <x:c r="C44" s="90" t="str">
        <x:v>HR-ER-002</x:v>
      </x:c>
      <x:c r="D44" s="90" t="str">
        <x:v>Disciplinary Action &amp; Progressive Discipline</x:v>
      </x:c>
      <x:c r="E44" s="90" t="str">
        <x:v>Core</x:v>
      </x:c>
      <x:c r="F44" s="90" t="str">
        <x:v>Yes</x:v>
      </x:c>
      <x:c r="G44" s="90" t="str">
        <x:v>Yes — bundled</x:v>
      </x:c>
      <x:c r="H44" s="90" t="str">
        <x:v>Respectful Workplace &amp; Employment Conduct</x:v>
      </x:c>
      <x:c r="I44" s="90" t="str">
        <x:v>80% quiz; harassment module must be interactive</x:v>
      </x:c>
      <x:c r="J44" s="90" t="str">
        <x:v>By day 14; before independent duty if earlier</x:v>
      </x:c>
      <x:c r="K44" s="90" t="str">
        <x:v>Agency annual if retained; CA harassment minimum every 2 years</x:v>
      </x:c>
      <x:c r="L44" s="90" t="str">
        <x:v>Partial hold</x:v>
      </x:c>
      <x:c r="M44" s="90" t="str">
        <x:v>Employees need conduct, grievance, non-discrimination, discipline, and drug-free workplace rules.</x:v>
      </x:c>
      <x:c r="N44" s="90" t="str">
        <x:v>12-allPoliciesContent.generated.ts — HR-ER-002</x:v>
      </x:c>
      <x:c r="O44" s="90" t="str"/>
      <x:c r="P44" s="90" t="str">
        <x:v>Correct HR-ER-004: CA requires 1 hour nonsupervisory and 2 hours supervisory, within 6 months and every 2 years. Annual may remain only as a clearly labeled stricter agency standard.</x:v>
      </x:c>
    </x:row>
    <x:row r="45" ht="42" customHeight="1">
      <x:c r="A45" s="90" t="str">
        <x:v>G-07</x:v>
      </x:c>
      <x:c r="B45" s="90" t="str">
        <x:v>General</x:v>
      </x:c>
      <x:c r="C45" s="90" t="str">
        <x:v>HR-ER-003</x:v>
      </x:c>
      <x:c r="D45" s="90" t="str">
        <x:v>Employee Grievance &amp; Complaint Process</x:v>
      </x:c>
      <x:c r="E45" s="90" t="str">
        <x:v>Core</x:v>
      </x:c>
      <x:c r="F45" s="90" t="str">
        <x:v>Yes</x:v>
      </x:c>
      <x:c r="G45" s="90" t="str">
        <x:v>Yes — bundled</x:v>
      </x:c>
      <x:c r="H45" s="90" t="str">
        <x:v>Respectful Workplace &amp; Employment Conduct</x:v>
      </x:c>
      <x:c r="I45" s="90" t="str">
        <x:v>80% quiz; harassment module must be interactive</x:v>
      </x:c>
      <x:c r="J45" s="90" t="str">
        <x:v>By day 14; before independent duty if earlier</x:v>
      </x:c>
      <x:c r="K45" s="90" t="str">
        <x:v>Agency annual if retained; CA harassment minimum every 2 years</x:v>
      </x:c>
      <x:c r="L45" s="90" t="str">
        <x:v>Partial hold</x:v>
      </x:c>
      <x:c r="M45" s="90" t="str">
        <x:v>Employees need conduct, grievance, non-discrimination, discipline, and drug-free workplace rules.</x:v>
      </x:c>
      <x:c r="N45" s="90" t="str">
        <x:v>12-allPoliciesContent.generated.ts — HR-ER-003</x:v>
      </x:c>
      <x:c r="O45" s="90" t="str"/>
      <x:c r="P45" s="90" t="str">
        <x:v>Correct HR-ER-004: CA requires 1 hour nonsupervisory and 2 hours supervisory, within 6 months and every 2 years. Annual may remain only as a clearly labeled stricter agency standard.</x:v>
      </x:c>
    </x:row>
    <x:row r="46" ht="42" customHeight="1">
      <x:c r="A46" s="90" t="str">
        <x:v>G-07</x:v>
      </x:c>
      <x:c r="B46" s="90" t="str">
        <x:v>General</x:v>
      </x:c>
      <x:c r="C46" s="90" t="str">
        <x:v>HR-ER-004</x:v>
      </x:c>
      <x:c r="D46" s="90" t="str">
        <x:v>Anti-Harassment &amp; Non-Discrimination</x:v>
      </x:c>
      <x:c r="E46" s="90" t="str">
        <x:v>Hold</x:v>
      </x:c>
      <x:c r="F46" s="90" t="str">
        <x:v>Yes</x:v>
      </x:c>
      <x:c r="G46" s="90" t="str">
        <x:v>Yes — bundled</x:v>
      </x:c>
      <x:c r="H46" s="90" t="str">
        <x:v>Respectful Workplace &amp; Employment Conduct</x:v>
      </x:c>
      <x:c r="I46" s="90" t="str">
        <x:v>80% quiz; harassment module must be interactive</x:v>
      </x:c>
      <x:c r="J46" s="90" t="str">
        <x:v>By day 14; before independent duty if earlier</x:v>
      </x:c>
      <x:c r="K46" s="90" t="str">
        <x:v>Agency annual if retained; CA harassment minimum every 2 years</x:v>
      </x:c>
      <x:c r="L46" s="90" t="str">
        <x:v>Hold</x:v>
      </x:c>
      <x:c r="M46" s="90" t="str">
        <x:v>Employees need conduct, grievance, non-discrimination, discipline, and drug-free workplace rules.</x:v>
      </x:c>
      <x:c r="N46" s="90" t="str">
        <x:v>12-allPoliciesContent.generated.ts — HR-ER-004</x:v>
      </x:c>
      <x:c r="O46" s="90" t="str">
        <x:v>https://calcivilrights.ca.gov/Employment/</x:v>
      </x:c>
      <x:c r="P46" s="90" t="str">
        <x:v>Correct HR-ER-004: CA requires 1 hour nonsupervisory and 2 hours supervisory, within 6 months and every 2 years. Annual may remain only as a clearly labeled stricter agency standard.</x:v>
      </x:c>
    </x:row>
    <x:row r="47" ht="42" customHeight="1">
      <x:c r="A47" s="90" t="str">
        <x:v>G-07</x:v>
      </x:c>
      <x:c r="B47" s="90" t="str">
        <x:v>General</x:v>
      </x:c>
      <x:c r="C47" s="90" t="str">
        <x:v>HR-ER-005</x:v>
      </x:c>
      <x:c r="D47" s="90" t="str">
        <x:v>Substance Abuse &amp; Drug-Free Workplace</x:v>
      </x:c>
      <x:c r="E47" s="90" t="str">
        <x:v>Core</x:v>
      </x:c>
      <x:c r="F47" s="90" t="str">
        <x:v>Yes</x:v>
      </x:c>
      <x:c r="G47" s="90" t="str">
        <x:v>Yes — bundled</x:v>
      </x:c>
      <x:c r="H47" s="90" t="str">
        <x:v>Respectful Workplace &amp; Employment Conduct</x:v>
      </x:c>
      <x:c r="I47" s="90" t="str">
        <x:v>80% quiz; harassment module must be interactive</x:v>
      </x:c>
      <x:c r="J47" s="90" t="str">
        <x:v>By day 14; before independent duty if earlier</x:v>
      </x:c>
      <x:c r="K47" s="90" t="str">
        <x:v>Agency annual if retained; CA harassment minimum every 2 years</x:v>
      </x:c>
      <x:c r="L47" s="90" t="str">
        <x:v>Partial hold</x:v>
      </x:c>
      <x:c r="M47" s="90" t="str">
        <x:v>Employees need conduct, grievance, non-discrimination, discipline, and drug-free workplace rules.</x:v>
      </x:c>
      <x:c r="N47" s="90" t="str">
        <x:v>12-allPoliciesContent.generated.ts — HR-ER-005</x:v>
      </x:c>
      <x:c r="O47" s="90" t="str"/>
      <x:c r="P47" s="90" t="str">
        <x:v>Correct HR-ER-004: CA requires 1 hour nonsupervisory and 2 hours supervisory, within 6 months and every 2 years. Annual may remain only as a clearly labeled stricter agency standard.</x:v>
      </x:c>
    </x:row>
    <x:row r="48" ht="42" customHeight="1">
      <x:c r="A48" s="90" t="str">
        <x:v>G-08</x:v>
      </x:c>
      <x:c r="B48" s="90" t="str">
        <x:v>General</x:v>
      </x:c>
      <x:c r="C48" s="90" t="str">
        <x:v>QA-PG-001</x:v>
      </x:c>
      <x:c r="D48" s="90" t="str">
        <x:v>QAPI Program Establishment &amp; Governance</x:v>
      </x:c>
      <x:c r="E48" s="90" t="str">
        <x:v>Core</x:v>
      </x:c>
      <x:c r="F48" s="90" t="str">
        <x:v>Yes</x:v>
      </x:c>
      <x:c r="G48" s="90" t="str">
        <x:v>Yes — bundled</x:v>
      </x:c>
      <x:c r="H48" s="90" t="str">
        <x:v>QAPI &amp; Patient Safety Awareness</x:v>
      </x:c>
      <x:c r="I48" s="90" t="str">
        <x:v>80% quiz using safety-escalation examples</x:v>
      </x:c>
      <x:c r="J48" s="90" t="str">
        <x:v>By day 14; before independent duty if earlier</x:v>
      </x:c>
      <x:c r="K48" s="90" t="str">
        <x:v>Initial + annual agency standard</x:v>
      </x:c>
      <x:c r="L48" s="90" t="str">
        <x:v>Ready</x:v>
      </x:c>
      <x:c r="M48" s="90" t="str">
        <x:v>All staff need QAPI awareness, patient-safety reporting, and a basic understanding of how data drives improvement.</x:v>
      </x:c>
      <x:c r="N48" s="90" t="str">
        <x:v>12-allPoliciesContent.generated.ts — QA-PG-001</x:v>
      </x:c>
      <x:c r="O48" s="90" t="str">
        <x:v>https://www.ecfr.gov/current/title-42/part-484/section-484.65</x:v>
      </x:c>
      <x:c r="P48" s="90" t="str"/>
    </x:row>
    <x:row r="49" ht="42" customHeight="1">
      <x:c r="A49" s="90" t="str">
        <x:v>G-08</x:v>
      </x:c>
      <x:c r="B49" s="90" t="str">
        <x:v>General</x:v>
      </x:c>
      <x:c r="C49" s="90" t="str">
        <x:v>QA-AE-004</x:v>
      </x:c>
      <x:c r="D49" s="90" t="str">
        <x:v>Patient Safety Program</x:v>
      </x:c>
      <x:c r="E49" s="90" t="str">
        <x:v>Core</x:v>
      </x:c>
      <x:c r="F49" s="90" t="str">
        <x:v>Yes</x:v>
      </x:c>
      <x:c r="G49" s="90" t="str">
        <x:v>Yes — bundled</x:v>
      </x:c>
      <x:c r="H49" s="90" t="str">
        <x:v>QAPI &amp; Patient Safety Awareness</x:v>
      </x:c>
      <x:c r="I49" s="90" t="str">
        <x:v>80% quiz using safety-escalation examples</x:v>
      </x:c>
      <x:c r="J49" s="90" t="str">
        <x:v>By day 14; before independent duty if earlier</x:v>
      </x:c>
      <x:c r="K49" s="90" t="str">
        <x:v>Initial + annual agency standard</x:v>
      </x:c>
      <x:c r="L49" s="90" t="str">
        <x:v>Ready</x:v>
      </x:c>
      <x:c r="M49" s="90" t="str">
        <x:v>All staff need QAPI awareness, patient-safety reporting, and a basic understanding of how data drives improvement.</x:v>
      </x:c>
      <x:c r="N49" s="90" t="str">
        <x:v>12-allPoliciesContent.generated.ts — QA-AE-004</x:v>
      </x:c>
      <x:c r="O49" s="90" t="str">
        <x:v>https://www.ecfr.gov/current/title-42/part-484/section-484.65</x:v>
      </x:c>
      <x:c r="P49" s="90" t="str"/>
    </x:row>
    <x:row r="50" ht="42" customHeight="1">
      <x:c r="A50" s="90" t="str">
        <x:v>G-08</x:v>
      </x:c>
      <x:c r="B50" s="90" t="str">
        <x:v>General</x:v>
      </x:c>
      <x:c r="C50" s="90" t="str">
        <x:v>QA-PI-004</x:v>
      </x:c>
      <x:c r="D50" s="90" t="str">
        <x:v>Data-Driven Decision Making</x:v>
      </x:c>
      <x:c r="E50" s="90" t="str">
        <x:v>Core</x:v>
      </x:c>
      <x:c r="F50" s="90" t="str">
        <x:v>Yes</x:v>
      </x:c>
      <x:c r="G50" s="90" t="str">
        <x:v>Yes — bundled</x:v>
      </x:c>
      <x:c r="H50" s="90" t="str">
        <x:v>QAPI &amp; Patient Safety Awareness</x:v>
      </x:c>
      <x:c r="I50" s="90" t="str">
        <x:v>80% quiz using safety-escalation examples</x:v>
      </x:c>
      <x:c r="J50" s="90" t="str">
        <x:v>By day 14; before independent duty if earlier</x:v>
      </x:c>
      <x:c r="K50" s="90" t="str">
        <x:v>Initial + annual agency standard</x:v>
      </x:c>
      <x:c r="L50" s="90" t="str">
        <x:v>Ready</x:v>
      </x:c>
      <x:c r="M50" s="90" t="str">
        <x:v>All staff need QAPI awareness, patient-safety reporting, and a basic understanding of how data drives improvement.</x:v>
      </x:c>
      <x:c r="N50" s="90" t="str">
        <x:v>12-allPoliciesContent.generated.ts — QA-PI-004</x:v>
      </x:c>
      <x:c r="O50" s="90" t="str">
        <x:v>https://www.ecfr.gov/current/title-42/part-484/section-484.65</x:v>
      </x:c>
      <x:c r="P50" s="90" t="str"/>
    </x:row>
    <x:row r="51" ht="42" customHeight="1">
      <x:c r="A51" s="90" t="str">
        <x:v>G-08</x:v>
      </x:c>
      <x:c r="B51" s="90" t="str">
        <x:v>General</x:v>
      </x:c>
      <x:c r="C51" s="90" t="str">
        <x:v>QA-SM-003</x:v>
      </x:c>
      <x:c r="D51" s="90" t="str">
        <x:v>Patient Satisfaction Survey &amp; Analysis</x:v>
      </x:c>
      <x:c r="E51" s="90" t="str">
        <x:v>Core</x:v>
      </x:c>
      <x:c r="F51" s="90" t="str">
        <x:v>Yes</x:v>
      </x:c>
      <x:c r="G51" s="90" t="str">
        <x:v>Yes — bundled</x:v>
      </x:c>
      <x:c r="H51" s="90" t="str">
        <x:v>QAPI &amp; Patient Safety Awareness</x:v>
      </x:c>
      <x:c r="I51" s="90" t="str">
        <x:v>80% quiz using safety-escalation examples</x:v>
      </x:c>
      <x:c r="J51" s="90" t="str">
        <x:v>By day 14; before independent duty if earlier</x:v>
      </x:c>
      <x:c r="K51" s="90" t="str">
        <x:v>Initial + annual agency standard</x:v>
      </x:c>
      <x:c r="L51" s="90" t="str">
        <x:v>Ready</x:v>
      </x:c>
      <x:c r="M51" s="90" t="str">
        <x:v>All staff need QAPI awareness, patient-safety reporting, and a basic understanding of how data drives improvement.</x:v>
      </x:c>
      <x:c r="N51" s="90" t="str">
        <x:v>12-allPoliciesContent.generated.ts — QA-SM-003</x:v>
      </x:c>
      <x:c r="O51" s="90" t="str">
        <x:v>https://www.ecfr.gov/current/title-42/part-484/section-484.65</x:v>
      </x:c>
      <x:c r="P51" s="90" t="str"/>
    </x:row>
    <x:row r="52" ht="42" customHeight="1">
      <x:c r="A52" s="90" t="str">
        <x:v>LVN-01</x:v>
      </x:c>
      <x:c r="B52" s="90" t="str">
        <x:v>LVN</x:v>
      </x:c>
      <x:c r="C52" s="90" t="str">
        <x:v>HR-JD-006</x:v>
      </x:c>
      <x:c r="D52" s="90" t="str">
        <x:v>Licensed Vocational Nurse — Job Description (full policy body missing)</x:v>
      </x:c>
      <x:c r="E52" s="90" t="str">
        <x:v>Hold</x:v>
      </x:c>
      <x:c r="F52" s="90" t="str">
        <x:v>Yes</x:v>
      </x:c>
      <x:c r="G52" s="90" t="str">
        <x:v>Yes — bundled</x:v>
      </x:c>
      <x:c r="H52" s="90" t="str">
        <x:v>LVN Role, Scope, Competency &amp; Supervision</x:v>
      </x:c>
      <x:c r="I52" s="90" t="str">
        <x:v>80% quiz plus competency validation before independent duty</x:v>
      </x:c>
      <x:c r="J52" s="90" t="str">
        <x:v>By day 14; before independent duty if earlier</x:v>
      </x:c>
      <x:c r="K52" s="90" t="str">
        <x:v>At hire; then on material revision</x:v>
      </x:c>
      <x:c r="L52" s="90" t="str">
        <x:v>Hold</x:v>
      </x:c>
      <x:c r="M52" s="90" t="str">
        <x:v>Defines LVN scope, delegation limits, supervision, and the competency gate.</x:v>
      </x:c>
      <x:c r="N52" s="90" t="str">
        <x:v>Source gap: referenced in taxonomy/crosswalk, but full generated policy body is absent</x:v>
      </x:c>
      <x:c r="O52" s="90" t="str">
        <x:v>https://www.ecfr.gov/current/title-42/part-484/section-484.105</x:v>
      </x:c>
      <x:c r="P52" s="90" t="str"/>
    </x:row>
    <x:row r="53" ht="42" customHeight="1">
      <x:c r="A53" s="90" t="str">
        <x:v>LVN-01</x:v>
      </x:c>
      <x:c r="B53" s="90" t="str">
        <x:v>LVN</x:v>
      </x:c>
      <x:c r="C53" s="90" t="str">
        <x:v>HR-JD-000</x:v>
      </x:c>
      <x:c r="D53" s="90" t="str">
        <x:v>Job Description Framework &amp; Organizational Chart</x:v>
      </x:c>
      <x:c r="E53" s="90" t="str">
        <x:v>Core</x:v>
      </x:c>
      <x:c r="F53" s="90" t="str">
        <x:v>Yes</x:v>
      </x:c>
      <x:c r="G53" s="90" t="str">
        <x:v>Yes — bundled</x:v>
      </x:c>
      <x:c r="H53" s="90" t="str">
        <x:v>LVN Role, Scope, Competency &amp; Supervision</x:v>
      </x:c>
      <x:c r="I53" s="90" t="str">
        <x:v>80% quiz plus competency validation before independent duty</x:v>
      </x:c>
      <x:c r="J53" s="90" t="str">
        <x:v>By day 14; before independent duty if earlier</x:v>
      </x:c>
      <x:c r="K53" s="90" t="str">
        <x:v>At hire; then on material revision</x:v>
      </x:c>
      <x:c r="L53" s="90" t="str">
        <x:v>Partial hold</x:v>
      </x:c>
      <x:c r="M53" s="90" t="str">
        <x:v>Defines LVN scope, delegation limits, supervision, and the competency gate.</x:v>
      </x:c>
      <x:c r="N53" s="90" t="str">
        <x:v>12-allPoliciesContent.generated.ts — HR-JD-000</x:v>
      </x:c>
      <x:c r="O53" s="90" t="str">
        <x:v>https://www.ecfr.gov/current/title-42/part-484/section-484.105</x:v>
      </x:c>
      <x:c r="P53" s="90" t="str"/>
    </x:row>
    <x:row r="54" ht="42" customHeight="1">
      <x:c r="A54" s="90" t="str">
        <x:v>LVN-01</x:v>
      </x:c>
      <x:c r="B54" s="90" t="str">
        <x:v>LVN</x:v>
      </x:c>
      <x:c r="C54" s="90" t="str">
        <x:v>CL-SD-001</x:v>
      </x:c>
      <x:c r="D54" s="90" t="str">
        <x:v>Skilled Nursing Assessment &amp; Services</x:v>
      </x:c>
      <x:c r="E54" s="90" t="str">
        <x:v>Core</x:v>
      </x:c>
      <x:c r="F54" s="90" t="str">
        <x:v>Yes</x:v>
      </x:c>
      <x:c r="G54" s="90" t="str">
        <x:v>Yes — bundled</x:v>
      </x:c>
      <x:c r="H54" s="90" t="str">
        <x:v>LVN Role, Scope, Competency &amp; Supervision</x:v>
      </x:c>
      <x:c r="I54" s="90" t="str">
        <x:v>80% quiz plus competency validation before independent duty</x:v>
      </x:c>
      <x:c r="J54" s="90" t="str">
        <x:v>By day 14; before independent duty if earlier</x:v>
      </x:c>
      <x:c r="K54" s="90" t="str">
        <x:v>At hire; then on material revision</x:v>
      </x:c>
      <x:c r="L54" s="90" t="str">
        <x:v>Partial hold</x:v>
      </x:c>
      <x:c r="M54" s="90" t="str">
        <x:v>Defines LVN scope, delegation limits, supervision, and the competency gate.</x:v>
      </x:c>
      <x:c r="N54" s="90" t="str">
        <x:v>12-allPoliciesContent.generated.ts — CL-SD-001</x:v>
      </x:c>
      <x:c r="O54" s="90" t="str">
        <x:v>https://www.ecfr.gov/current/title-42/part-484/section-484.75</x:v>
      </x:c>
      <x:c r="P54" s="90" t="str"/>
    </x:row>
    <x:row r="55" ht="42" customHeight="1">
      <x:c r="A55" s="90" t="str">
        <x:v>LVN-01</x:v>
      </x:c>
      <x:c r="B55" s="90" t="str">
        <x:v>LVN</x:v>
      </x:c>
      <x:c r="C55" s="90" t="str">
        <x:v>CL-SD-008</x:v>
      </x:c>
      <x:c r="D55" s="90" t="str">
        <x:v>Clinical Supervision &amp; Oversight</x:v>
      </x:c>
      <x:c r="E55" s="90" t="str">
        <x:v>Core</x:v>
      </x:c>
      <x:c r="F55" s="90" t="str">
        <x:v>Yes</x:v>
      </x:c>
      <x:c r="G55" s="90" t="str">
        <x:v>Yes — bundled</x:v>
      </x:c>
      <x:c r="H55" s="90" t="str">
        <x:v>LVN Role, Scope, Competency &amp; Supervision</x:v>
      </x:c>
      <x:c r="I55" s="90" t="str">
        <x:v>80% quiz plus competency validation before independent duty</x:v>
      </x:c>
      <x:c r="J55" s="90" t="str">
        <x:v>By day 14; before independent duty if earlier</x:v>
      </x:c>
      <x:c r="K55" s="90" t="str">
        <x:v>At hire; then on material revision</x:v>
      </x:c>
      <x:c r="L55" s="90" t="str">
        <x:v>Partial hold</x:v>
      </x:c>
      <x:c r="M55" s="90" t="str">
        <x:v>Defines LVN scope, delegation limits, supervision, and the competency gate.</x:v>
      </x:c>
      <x:c r="N55" s="90" t="str">
        <x:v>12-allPoliciesContent.generated.ts — CL-SD-008</x:v>
      </x:c>
      <x:c r="O55" s="90" t="str">
        <x:v>https://www.ecfr.gov/current/title-42/part-484/section-484.75</x:v>
      </x:c>
      <x:c r="P55" s="90" t="str"/>
    </x:row>
    <x:row r="56" ht="42" customHeight="1">
      <x:c r="A56" s="90" t="str">
        <x:v>LVN-01</x:v>
      </x:c>
      <x:c r="B56" s="90" t="str">
        <x:v>LVN</x:v>
      </x:c>
      <x:c r="C56" s="90" t="str">
        <x:v>HR-TA-006</x:v>
      </x:c>
      <x:c r="D56" s="90" t="str">
        <x:v>Job Description &amp; Role Definition</x:v>
      </x:c>
      <x:c r="E56" s="90" t="str">
        <x:v>Core</x:v>
      </x:c>
      <x:c r="F56" s="90" t="str">
        <x:v>Yes</x:v>
      </x:c>
      <x:c r="G56" s="90" t="str">
        <x:v>Yes — bundled</x:v>
      </x:c>
      <x:c r="H56" s="90" t="str">
        <x:v>LVN Role, Scope, Competency &amp; Supervision</x:v>
      </x:c>
      <x:c r="I56" s="90" t="str">
        <x:v>80% quiz plus competency validation before independent duty</x:v>
      </x:c>
      <x:c r="J56" s="90" t="str">
        <x:v>By day 14; before independent duty if earlier</x:v>
      </x:c>
      <x:c r="K56" s="90" t="str">
        <x:v>At hire; then on material revision</x:v>
      </x:c>
      <x:c r="L56" s="90" t="str">
        <x:v>Partial hold</x:v>
      </x:c>
      <x:c r="M56" s="90" t="str">
        <x:v>Defines LVN scope, delegation limits, supervision, and the competency gate.</x:v>
      </x:c>
      <x:c r="N56" s="90" t="str">
        <x:v>12-allPoliciesContent.generated.ts — HR-TA-006</x:v>
      </x:c>
      <x:c r="O56" s="90" t="str"/>
      <x:c r="P56" s="90" t="str"/>
    </x:row>
    <x:row r="57" ht="42" customHeight="1">
      <x:c r="A57" s="90" t="str">
        <x:v>LVN-01</x:v>
      </x:c>
      <x:c r="B57" s="90" t="str">
        <x:v>LVN</x:v>
      </x:c>
      <x:c r="C57" s="90" t="str">
        <x:v>HR-TD-003</x:v>
      </x:c>
      <x:c r="D57" s="90" t="str">
        <x:v>Clinical Staff Competency Evaluation</x:v>
      </x:c>
      <x:c r="E57" s="90" t="str">
        <x:v>Core</x:v>
      </x:c>
      <x:c r="F57" s="90" t="str">
        <x:v>Yes</x:v>
      </x:c>
      <x:c r="G57" s="90" t="str">
        <x:v>Yes — bundled</x:v>
      </x:c>
      <x:c r="H57" s="90" t="str">
        <x:v>LVN Role, Scope, Competency &amp; Supervision</x:v>
      </x:c>
      <x:c r="I57" s="90" t="str">
        <x:v>80% quiz plus competency validation before independent duty</x:v>
      </x:c>
      <x:c r="J57" s="90" t="str">
        <x:v>By day 14; before independent duty if earlier</x:v>
      </x:c>
      <x:c r="K57" s="90" t="str">
        <x:v>At hire; then on material revision</x:v>
      </x:c>
      <x:c r="L57" s="90" t="str">
        <x:v>Partial hold</x:v>
      </x:c>
      <x:c r="M57" s="90" t="str">
        <x:v>Defines LVN scope, delegation limits, supervision, and the competency gate.</x:v>
      </x:c>
      <x:c r="N57" s="90" t="str">
        <x:v>12-allPoliciesContent.generated.ts — HR-TD-003</x:v>
      </x:c>
      <x:c r="O57" s="90" t="str"/>
      <x:c r="P57" s="90" t="str"/>
    </x:row>
    <x:row r="58" ht="42" customHeight="1">
      <x:c r="A58" s="90" t="str">
        <x:v>LVN-02</x:v>
      </x:c>
      <x:c r="B58" s="90" t="str">
        <x:v>LVN</x:v>
      </x:c>
      <x:c r="C58" s="90" t="str">
        <x:v>CL-CD-001</x:v>
      </x:c>
      <x:c r="D58" s="90" t="str">
        <x:v>Clinical Documentation Standards</x:v>
      </x:c>
      <x:c r="E58" s="90" t="str">
        <x:v>Core</x:v>
      </x:c>
      <x:c r="F58" s="90" t="str">
        <x:v>Yes</x:v>
      </x:c>
      <x:c r="G58" s="90" t="str">
        <x:v>Yes — bundled</x:v>
      </x:c>
      <x:c r="H58" s="90" t="str">
        <x:v>Clinical Documentation, Plans &amp; Orders</x:v>
      </x:c>
      <x:c r="I58" s="90" t="str">
        <x:v>80% quiz plus documentation/order simulation</x:v>
      </x:c>
      <x:c r="J58" s="90" t="str">
        <x:v>By day 14; before independent duty if earlier</x:v>
      </x:c>
      <x:c r="K58" s="90" t="str">
        <x:v>At hire; then on material revision</x:v>
      </x:c>
      <x:c r="L58" s="90" t="str">
        <x:v>Ready</x:v>
      </x:c>
      <x:c r="M58" s="90" t="str">
        <x:v>LVNs document care, communicate plan changes, and receive/implement orders within scope.</x:v>
      </x:c>
      <x:c r="N58" s="90" t="str">
        <x:v>12-allPoliciesContent.generated.ts — CL-CD-001</x:v>
      </x:c>
      <x:c r="O58" s="90" t="str">
        <x:v>https://www.ecfr.gov/current/title-42/part-484/section-484.110</x:v>
      </x:c>
      <x:c r="P58" s="90" t="str"/>
    </x:row>
    <x:row r="59" ht="42" customHeight="1">
      <x:c r="A59" s="90" t="str">
        <x:v>LVN-02</x:v>
      </x:c>
      <x:c r="B59" s="90" t="str">
        <x:v>LVN</x:v>
      </x:c>
      <x:c r="C59" s="90" t="str">
        <x:v>CL-CD-002</x:v>
      </x:c>
      <x:c r="D59" s="90" t="str">
        <x:v>Clinical Record Content &amp; Organization</x:v>
      </x:c>
      <x:c r="E59" s="90" t="str">
        <x:v>Core</x:v>
      </x:c>
      <x:c r="F59" s="90" t="str">
        <x:v>Yes</x:v>
      </x:c>
      <x:c r="G59" s="90" t="str">
        <x:v>Yes — bundled</x:v>
      </x:c>
      <x:c r="H59" s="90" t="str">
        <x:v>Clinical Documentation, Plans &amp; Orders</x:v>
      </x:c>
      <x:c r="I59" s="90" t="str">
        <x:v>80% quiz plus documentation/order simulation</x:v>
      </x:c>
      <x:c r="J59" s="90" t="str">
        <x:v>By day 14; before independent duty if earlier</x:v>
      </x:c>
      <x:c r="K59" s="90" t="str">
        <x:v>At hire; then on material revision</x:v>
      </x:c>
      <x:c r="L59" s="90" t="str">
        <x:v>Ready</x:v>
      </x:c>
      <x:c r="M59" s="90" t="str">
        <x:v>LVNs document care, communicate plan changes, and receive/implement orders within scope.</x:v>
      </x:c>
      <x:c r="N59" s="90" t="str">
        <x:v>12-allPoliciesContent.generated.ts — CL-CD-002</x:v>
      </x:c>
      <x:c r="O59" s="90" t="str">
        <x:v>https://www.ecfr.gov/current/title-42/part-484/section-484.110</x:v>
      </x:c>
      <x:c r="P59" s="90" t="str"/>
    </x:row>
    <x:row r="60" ht="42" customHeight="1">
      <x:c r="A60" s="90" t="str">
        <x:v>LVN-02</x:v>
      </x:c>
      <x:c r="B60" s="90" t="str">
        <x:v>LVN</x:v>
      </x:c>
      <x:c r="C60" s="90" t="str">
        <x:v>CL-CD-003</x:v>
      </x:c>
      <x:c r="D60" s="90" t="str">
        <x:v>Clinical Record Authentication &amp; Signature Requirements</x:v>
      </x:c>
      <x:c r="E60" s="90" t="str">
        <x:v>Core</x:v>
      </x:c>
      <x:c r="F60" s="90" t="str">
        <x:v>Yes</x:v>
      </x:c>
      <x:c r="G60" s="90" t="str">
        <x:v>Yes — bundled</x:v>
      </x:c>
      <x:c r="H60" s="90" t="str">
        <x:v>Clinical Documentation, Plans &amp; Orders</x:v>
      </x:c>
      <x:c r="I60" s="90" t="str">
        <x:v>80% quiz plus documentation/order simulation</x:v>
      </x:c>
      <x:c r="J60" s="90" t="str">
        <x:v>By day 14; before independent duty if earlier</x:v>
      </x:c>
      <x:c r="K60" s="90" t="str">
        <x:v>At hire; then on material revision</x:v>
      </x:c>
      <x:c r="L60" s="90" t="str">
        <x:v>Ready</x:v>
      </x:c>
      <x:c r="M60" s="90" t="str">
        <x:v>LVNs document care, communicate plan changes, and receive/implement orders within scope.</x:v>
      </x:c>
      <x:c r="N60" s="90" t="str">
        <x:v>12-allPoliciesContent.generated.ts — CL-CD-003</x:v>
      </x:c>
      <x:c r="O60" s="90" t="str">
        <x:v>https://www.ecfr.gov/current/title-42/part-484/section-484.110</x:v>
      </x:c>
      <x:c r="P60" s="90" t="str"/>
    </x:row>
    <x:row r="61" ht="42" customHeight="1">
      <x:c r="A61" s="90" t="str">
        <x:v>LVN-02</x:v>
      </x:c>
      <x:c r="B61" s="90" t="str">
        <x:v>LVN</x:v>
      </x:c>
      <x:c r="C61" s="90" t="str">
        <x:v>CL-CD-004</x:v>
      </x:c>
      <x:c r="D61" s="90" t="str">
        <x:v>Timely Documentation Completion &amp; Lock Requirements</x:v>
      </x:c>
      <x:c r="E61" s="90" t="str">
        <x:v>Core</x:v>
      </x:c>
      <x:c r="F61" s="90" t="str">
        <x:v>Yes</x:v>
      </x:c>
      <x:c r="G61" s="90" t="str">
        <x:v>Yes — bundled</x:v>
      </x:c>
      <x:c r="H61" s="90" t="str">
        <x:v>Clinical Documentation, Plans &amp; Orders</x:v>
      </x:c>
      <x:c r="I61" s="90" t="str">
        <x:v>80% quiz plus documentation/order simulation</x:v>
      </x:c>
      <x:c r="J61" s="90" t="str">
        <x:v>By day 14; before independent duty if earlier</x:v>
      </x:c>
      <x:c r="K61" s="90" t="str">
        <x:v>At hire; then on material revision</x:v>
      </x:c>
      <x:c r="L61" s="90" t="str">
        <x:v>Ready</x:v>
      </x:c>
      <x:c r="M61" s="90" t="str">
        <x:v>LVNs document care, communicate plan changes, and receive/implement orders within scope.</x:v>
      </x:c>
      <x:c r="N61" s="90" t="str">
        <x:v>12-allPoliciesContent.generated.ts — CL-CD-004</x:v>
      </x:c>
      <x:c r="O61" s="90" t="str">
        <x:v>https://www.ecfr.gov/current/title-42/part-484/section-484.110</x:v>
      </x:c>
      <x:c r="P61" s="90" t="str"/>
    </x:row>
    <x:row r="62" ht="42" customHeight="1">
      <x:c r="A62" s="90" t="str">
        <x:v>LVN-02</x:v>
      </x:c>
      <x:c r="B62" s="90" t="str">
        <x:v>LVN</x:v>
      </x:c>
      <x:c r="C62" s="90" t="str">
        <x:v>CO-DC-003</x:v>
      </x:c>
      <x:c r="D62" s="90" t="str">
        <x:v>Late Entry, Correction &amp; Amendment Standards</x:v>
      </x:c>
      <x:c r="E62" s="90" t="str">
        <x:v>Core</x:v>
      </x:c>
      <x:c r="F62" s="90" t="str">
        <x:v>Yes</x:v>
      </x:c>
      <x:c r="G62" s="90" t="str">
        <x:v>Yes — bundled</x:v>
      </x:c>
      <x:c r="H62" s="90" t="str">
        <x:v>Clinical Documentation, Plans &amp; Orders</x:v>
      </x:c>
      <x:c r="I62" s="90" t="str">
        <x:v>80% quiz plus documentation/order simulation</x:v>
      </x:c>
      <x:c r="J62" s="90" t="str">
        <x:v>By day 14; before independent duty if earlier</x:v>
      </x:c>
      <x:c r="K62" s="90" t="str">
        <x:v>At hire; then on material revision</x:v>
      </x:c>
      <x:c r="L62" s="90" t="str">
        <x:v>Ready</x:v>
      </x:c>
      <x:c r="M62" s="90" t="str">
        <x:v>LVNs document care, communicate plan changes, and receive/implement orders within scope.</x:v>
      </x:c>
      <x:c r="N62" s="90" t="str">
        <x:v>12-allPoliciesContent.generated.ts — CO-DC-003</x:v>
      </x:c>
      <x:c r="O62" s="90" t="str">
        <x:v>https://www.ecfr.gov/current/title-42/part-484/section-484.110</x:v>
      </x:c>
      <x:c r="P62" s="90" t="str"/>
    </x:row>
    <x:row r="63" ht="42" customHeight="1">
      <x:c r="A63" s="90" t="str">
        <x:v>LVN-02</x:v>
      </x:c>
      <x:c r="B63" s="90" t="str">
        <x:v>LVN</x:v>
      </x:c>
      <x:c r="C63" s="90" t="str">
        <x:v>CL-CP-001</x:v>
      </x:c>
      <x:c r="D63" s="90" t="str">
        <x:v>Plan of Care Development &amp; Approval</x:v>
      </x:c>
      <x:c r="E63" s="90" t="str">
        <x:v>Core</x:v>
      </x:c>
      <x:c r="F63" s="90" t="str">
        <x:v>Yes</x:v>
      </x:c>
      <x:c r="G63" s="90" t="str">
        <x:v>Yes — bundled</x:v>
      </x:c>
      <x:c r="H63" s="90" t="str">
        <x:v>Clinical Documentation, Plans &amp; Orders</x:v>
      </x:c>
      <x:c r="I63" s="90" t="str">
        <x:v>80% quiz plus documentation/order simulation</x:v>
      </x:c>
      <x:c r="J63" s="90" t="str">
        <x:v>By day 14; before independent duty if earlier</x:v>
      </x:c>
      <x:c r="K63" s="90" t="str">
        <x:v>At hire; then on material revision</x:v>
      </x:c>
      <x:c r="L63" s="90" t="str">
        <x:v>Ready</x:v>
      </x:c>
      <x:c r="M63" s="90" t="str">
        <x:v>LVNs document care, communicate plan changes, and receive/implement orders within scope.</x:v>
      </x:c>
      <x:c r="N63" s="90" t="str">
        <x:v>12-allPoliciesContent.generated.ts — CL-CP-001</x:v>
      </x:c>
      <x:c r="O63" s="90" t="str">
        <x:v>https://www.ecfr.gov/current/title-42/part-484/section-484.60</x:v>
      </x:c>
      <x:c r="P63" s="90" t="str"/>
    </x:row>
    <x:row r="64" ht="42" customHeight="1">
      <x:c r="A64" s="90" t="str">
        <x:v>LVN-02</x:v>
      </x:c>
      <x:c r="B64" s="90" t="str">
        <x:v>LVN</x:v>
      </x:c>
      <x:c r="C64" s="90" t="str">
        <x:v>CL-CP-002</x:v>
      </x:c>
      <x:c r="D64" s="90" t="str">
        <x:v>Plan of Care Review &amp; Update</x:v>
      </x:c>
      <x:c r="E64" s="90" t="str">
        <x:v>Core</x:v>
      </x:c>
      <x:c r="F64" s="90" t="str">
        <x:v>Yes</x:v>
      </x:c>
      <x:c r="G64" s="90" t="str">
        <x:v>Yes — bundled</x:v>
      </x:c>
      <x:c r="H64" s="90" t="str">
        <x:v>Clinical Documentation, Plans &amp; Orders</x:v>
      </x:c>
      <x:c r="I64" s="90" t="str">
        <x:v>80% quiz plus documentation/order simulation</x:v>
      </x:c>
      <x:c r="J64" s="90" t="str">
        <x:v>By day 14; before independent duty if earlier</x:v>
      </x:c>
      <x:c r="K64" s="90" t="str">
        <x:v>At hire; then on material revision</x:v>
      </x:c>
      <x:c r="L64" s="90" t="str">
        <x:v>Ready</x:v>
      </x:c>
      <x:c r="M64" s="90" t="str">
        <x:v>LVNs document care, communicate plan changes, and receive/implement orders within scope.</x:v>
      </x:c>
      <x:c r="N64" s="90" t="str">
        <x:v>12-allPoliciesContent.generated.ts — CL-CP-002</x:v>
      </x:c>
      <x:c r="O64" s="90" t="str">
        <x:v>https://www.ecfr.gov/current/title-42/part-484/section-484.60</x:v>
      </x:c>
      <x:c r="P64" s="90" t="str"/>
    </x:row>
    <x:row r="65" ht="42" customHeight="1">
      <x:c r="A65" s="90" t="str">
        <x:v>LVN-02</x:v>
      </x:c>
      <x:c r="B65" s="90" t="str">
        <x:v>LVN</x:v>
      </x:c>
      <x:c r="C65" s="90" t="str">
        <x:v>CL-CP-003</x:v>
      </x:c>
      <x:c r="D65" s="90" t="str">
        <x:v>Physician Orders &amp; Order Management</x:v>
      </x:c>
      <x:c r="E65" s="90" t="str">
        <x:v>Core</x:v>
      </x:c>
      <x:c r="F65" s="90" t="str">
        <x:v>Yes</x:v>
      </x:c>
      <x:c r="G65" s="90" t="str">
        <x:v>Yes — bundled</x:v>
      </x:c>
      <x:c r="H65" s="90" t="str">
        <x:v>Clinical Documentation, Plans &amp; Orders</x:v>
      </x:c>
      <x:c r="I65" s="90" t="str">
        <x:v>80% quiz plus documentation/order simulation</x:v>
      </x:c>
      <x:c r="J65" s="90" t="str">
        <x:v>By day 14; before independent duty if earlier</x:v>
      </x:c>
      <x:c r="K65" s="90" t="str">
        <x:v>At hire; then on material revision</x:v>
      </x:c>
      <x:c r="L65" s="90" t="str">
        <x:v>Ready</x:v>
      </x:c>
      <x:c r="M65" s="90" t="str">
        <x:v>LVNs document care, communicate plan changes, and receive/implement orders within scope.</x:v>
      </x:c>
      <x:c r="N65" s="90" t="str">
        <x:v>12-allPoliciesContent.generated.ts — CL-CP-003</x:v>
      </x:c>
      <x:c r="O65" s="90" t="str">
        <x:v>https://www.ecfr.gov/current/title-42/part-484/section-484.60</x:v>
      </x:c>
      <x:c r="P65" s="90" t="str"/>
    </x:row>
    <x:row r="66" ht="42" customHeight="1">
      <x:c r="A66" s="90" t="str">
        <x:v>LVN-02</x:v>
      </x:c>
      <x:c r="B66" s="90" t="str">
        <x:v>LVN</x:v>
      </x:c>
      <x:c r="C66" s="90" t="str">
        <x:v>CL-CP-004</x:v>
      </x:c>
      <x:c r="D66" s="90" t="str">
        <x:v>Verbal Order Receipt &amp; Authentication</x:v>
      </x:c>
      <x:c r="E66" s="90" t="str">
        <x:v>Core</x:v>
      </x:c>
      <x:c r="F66" s="90" t="str">
        <x:v>Yes</x:v>
      </x:c>
      <x:c r="G66" s="90" t="str">
        <x:v>Yes — bundled</x:v>
      </x:c>
      <x:c r="H66" s="90" t="str">
        <x:v>Clinical Documentation, Plans &amp; Orders</x:v>
      </x:c>
      <x:c r="I66" s="90" t="str">
        <x:v>80% quiz plus documentation/order simulation</x:v>
      </x:c>
      <x:c r="J66" s="90" t="str">
        <x:v>By day 14; before independent duty if earlier</x:v>
      </x:c>
      <x:c r="K66" s="90" t="str">
        <x:v>At hire; then on material revision</x:v>
      </x:c>
      <x:c r="L66" s="90" t="str">
        <x:v>Ready</x:v>
      </x:c>
      <x:c r="M66" s="90" t="str">
        <x:v>LVNs document care, communicate plan changes, and receive/implement orders within scope.</x:v>
      </x:c>
      <x:c r="N66" s="90" t="str">
        <x:v>12-allPoliciesContent.generated.ts — CL-CP-004</x:v>
      </x:c>
      <x:c r="O66" s="90" t="str">
        <x:v>https://www.ecfr.gov/current/title-42/part-484/section-484.60</x:v>
      </x:c>
      <x:c r="P66" s="90" t="str"/>
    </x:row>
    <x:row r="67" ht="42" customHeight="1">
      <x:c r="A67" s="90" t="str">
        <x:v>LVN-02</x:v>
      </x:c>
      <x:c r="B67" s="90" t="str">
        <x:v>LVN</x:v>
      </x:c>
      <x:c r="C67" s="90" t="str">
        <x:v>CL-CP-005</x:v>
      </x:c>
      <x:c r="D67" s="90" t="str">
        <x:v>Coordination of Care</x:v>
      </x:c>
      <x:c r="E67" s="90" t="str">
        <x:v>Core</x:v>
      </x:c>
      <x:c r="F67" s="90" t="str">
        <x:v>Yes</x:v>
      </x:c>
      <x:c r="G67" s="90" t="str">
        <x:v>Yes — bundled</x:v>
      </x:c>
      <x:c r="H67" s="90" t="str">
        <x:v>Clinical Documentation, Plans &amp; Orders</x:v>
      </x:c>
      <x:c r="I67" s="90" t="str">
        <x:v>80% quiz plus documentation/order simulation</x:v>
      </x:c>
      <x:c r="J67" s="90" t="str">
        <x:v>By day 14; before independent duty if earlier</x:v>
      </x:c>
      <x:c r="K67" s="90" t="str">
        <x:v>At hire; then on material revision</x:v>
      </x:c>
      <x:c r="L67" s="90" t="str">
        <x:v>Ready</x:v>
      </x:c>
      <x:c r="M67" s="90" t="str">
        <x:v>LVNs document care, communicate plan changes, and receive/implement orders within scope.</x:v>
      </x:c>
      <x:c r="N67" s="90" t="str">
        <x:v>12-allPoliciesContent.generated.ts — CL-CP-005</x:v>
      </x:c>
      <x:c r="O67" s="90" t="str">
        <x:v>https://www.ecfr.gov/current/title-42/part-484/section-484.60</x:v>
      </x:c>
      <x:c r="P67" s="90" t="str"/>
    </x:row>
    <x:row r="68" ht="42" customHeight="1">
      <x:c r="A68" s="90" t="str">
        <x:v>LVN-03</x:v>
      </x:c>
      <x:c r="B68" s="90" t="str">
        <x:v>LVN</x:v>
      </x:c>
      <x:c r="C68" s="90" t="str">
        <x:v>CL-PR-002</x:v>
      </x:c>
      <x:c r="D68" s="90" t="str">
        <x:v>Advance Directive Compliance</x:v>
      </x:c>
      <x:c r="E68" s="90" t="str">
        <x:v>Core</x:v>
      </x:c>
      <x:c r="F68" s="90" t="str">
        <x:v>Yes</x:v>
      </x:c>
      <x:c r="G68" s="90" t="str">
        <x:v>Yes — bundled</x:v>
      </x:c>
      <x:c r="H68" s="90" t="str">
        <x:v>Patient-Facing Care, Coordination &amp; Field Practice</x:v>
      </x:c>
      <x:c r="I68" s="90" t="str">
        <x:v>80% quiz with patient-identification and escalation cases</x:v>
      </x:c>
      <x:c r="J68" s="90" t="str">
        <x:v>By day 14; before independent duty if earlier</x:v>
      </x:c>
      <x:c r="K68" s="90" t="str">
        <x:v>At hire; then on material revision</x:v>
      </x:c>
      <x:c r="L68" s="90" t="str">
        <x:v>Ready</x:v>
      </x:c>
      <x:c r="M68" s="90" t="str">
        <x:v>Patient-facing rules that govern consent, emergency response, access, identification, property, and coordination.</x:v>
      </x:c>
      <x:c r="N68" s="90" t="str">
        <x:v>12-allPoliciesContent.generated.ts — CL-PR-002</x:v>
      </x:c>
      <x:c r="O68" s="90" t="str">
        <x:v>https://www.ecfr.gov/current/title-42/part-484/section-484.50</x:v>
      </x:c>
      <x:c r="P68" s="90" t="str"/>
    </x:row>
    <x:row r="69" ht="42" customHeight="1">
      <x:c r="A69" s="90" t="str">
        <x:v>LVN-03</x:v>
      </x:c>
      <x:c r="B69" s="90" t="str">
        <x:v>LVN</x:v>
      </x:c>
      <x:c r="C69" s="90" t="str">
        <x:v>CL-PR-003</x:v>
      </x:c>
      <x:c r="D69" s="90" t="str">
        <x:v>Informed Consent</x:v>
      </x:c>
      <x:c r="E69" s="90" t="str">
        <x:v>Core</x:v>
      </x:c>
      <x:c r="F69" s="90" t="str">
        <x:v>Yes</x:v>
      </x:c>
      <x:c r="G69" s="90" t="str">
        <x:v>Yes — bundled</x:v>
      </x:c>
      <x:c r="H69" s="90" t="str">
        <x:v>Patient-Facing Care, Coordination &amp; Field Practice</x:v>
      </x:c>
      <x:c r="I69" s="90" t="str">
        <x:v>80% quiz with patient-identification and escalation cases</x:v>
      </x:c>
      <x:c r="J69" s="90" t="str">
        <x:v>By day 14; before independent duty if earlier</x:v>
      </x:c>
      <x:c r="K69" s="90" t="str">
        <x:v>At hire; then on material revision</x:v>
      </x:c>
      <x:c r="L69" s="90" t="str">
        <x:v>Ready</x:v>
      </x:c>
      <x:c r="M69" s="90" t="str">
        <x:v>Patient-facing rules that govern consent, emergency response, access, identification, property, and coordination.</x:v>
      </x:c>
      <x:c r="N69" s="90" t="str">
        <x:v>12-allPoliciesContent.generated.ts — CL-PR-003</x:v>
      </x:c>
      <x:c r="O69" s="90" t="str">
        <x:v>https://www.ecfr.gov/current/title-42/part-484/section-484.50</x:v>
      </x:c>
      <x:c r="P69" s="90" t="str"/>
    </x:row>
    <x:row r="70" ht="42" customHeight="1">
      <x:c r="A70" s="90" t="str">
        <x:v>LVN-03</x:v>
      </x:c>
      <x:c r="B70" s="90" t="str">
        <x:v>LVN</x:v>
      </x:c>
      <x:c r="C70" s="90" t="str">
        <x:v>CL-PR-004</x:v>
      </x:c>
      <x:c r="D70" s="90" t="str">
        <x:v>Restraint &amp; Seclusion Prohibition</x:v>
      </x:c>
      <x:c r="E70" s="90" t="str">
        <x:v>Core</x:v>
      </x:c>
      <x:c r="F70" s="90" t="str">
        <x:v>Yes</x:v>
      </x:c>
      <x:c r="G70" s="90" t="str">
        <x:v>Yes — bundled</x:v>
      </x:c>
      <x:c r="H70" s="90" t="str">
        <x:v>Patient-Facing Care, Coordination &amp; Field Practice</x:v>
      </x:c>
      <x:c r="I70" s="90" t="str">
        <x:v>80% quiz with patient-identification and escalation cases</x:v>
      </x:c>
      <x:c r="J70" s="90" t="str">
        <x:v>By day 14; before independent duty if earlier</x:v>
      </x:c>
      <x:c r="K70" s="90" t="str">
        <x:v>At hire; then on material revision</x:v>
      </x:c>
      <x:c r="L70" s="90" t="str">
        <x:v>Ready</x:v>
      </x:c>
      <x:c r="M70" s="90" t="str">
        <x:v>Patient-facing rules that govern consent, emergency response, access, identification, property, and coordination.</x:v>
      </x:c>
      <x:c r="N70" s="90" t="str">
        <x:v>12-allPoliciesContent.generated.ts — CL-PR-004</x:v>
      </x:c>
      <x:c r="O70" s="90" t="str">
        <x:v>https://www.ecfr.gov/current/title-42/part-484/section-484.50</x:v>
      </x:c>
      <x:c r="P70" s="90" t="str"/>
    </x:row>
    <x:row r="71" ht="42" customHeight="1">
      <x:c r="A71" s="90" t="str">
        <x:v>LVN-03</x:v>
      </x:c>
      <x:c r="B71" s="90" t="str">
        <x:v>LVN</x:v>
      </x:c>
      <x:c r="C71" s="90" t="str">
        <x:v>CL-PR-005</x:v>
      </x:c>
      <x:c r="D71" s="90" t="str">
        <x:v>Emergency Preparedness — Clinical</x:v>
      </x:c>
      <x:c r="E71" s="90" t="str">
        <x:v>Core</x:v>
      </x:c>
      <x:c r="F71" s="90" t="str">
        <x:v>Yes</x:v>
      </x:c>
      <x:c r="G71" s="90" t="str">
        <x:v>Yes — bundled</x:v>
      </x:c>
      <x:c r="H71" s="90" t="str">
        <x:v>Patient-Facing Care, Coordination &amp; Field Practice</x:v>
      </x:c>
      <x:c r="I71" s="90" t="str">
        <x:v>80% quiz with patient-identification and escalation cases</x:v>
      </x:c>
      <x:c r="J71" s="90" t="str">
        <x:v>By day 14; before independent duty if earlier</x:v>
      </x:c>
      <x:c r="K71" s="90" t="str">
        <x:v>At hire; then on material revision</x:v>
      </x:c>
      <x:c r="L71" s="90" t="str">
        <x:v>Ready</x:v>
      </x:c>
      <x:c r="M71" s="90" t="str">
        <x:v>Patient-facing rules that govern consent, emergency response, access, identification, property, and coordination.</x:v>
      </x:c>
      <x:c r="N71" s="90" t="str">
        <x:v>12-allPoliciesContent.generated.ts — CL-PR-005</x:v>
      </x:c>
      <x:c r="O71" s="90" t="str">
        <x:v>https://www.ecfr.gov/current/title-42/part-484/section-484.50</x:v>
      </x:c>
      <x:c r="P71" s="90" t="str"/>
    </x:row>
    <x:row r="72" ht="42" customHeight="1">
      <x:c r="A72" s="90" t="str">
        <x:v>LVN-03</x:v>
      </x:c>
      <x:c r="B72" s="90" t="str">
        <x:v>LVN</x:v>
      </x:c>
      <x:c r="C72" s="90" t="str">
        <x:v>OP-PA-002</x:v>
      </x:c>
      <x:c r="D72" s="90" t="str">
        <x:v>Patient Identification &amp; Verification</x:v>
      </x:c>
      <x:c r="E72" s="90" t="str">
        <x:v>Core</x:v>
      </x:c>
      <x:c r="F72" s="90" t="str">
        <x:v>Yes</x:v>
      </x:c>
      <x:c r="G72" s="90" t="str">
        <x:v>Yes — bundled</x:v>
      </x:c>
      <x:c r="H72" s="90" t="str">
        <x:v>Patient-Facing Care, Coordination &amp; Field Practice</x:v>
      </x:c>
      <x:c r="I72" s="90" t="str">
        <x:v>80% quiz with patient-identification and escalation cases</x:v>
      </x:c>
      <x:c r="J72" s="90" t="str">
        <x:v>By day 14; before independent duty if earlier</x:v>
      </x:c>
      <x:c r="K72" s="90" t="str">
        <x:v>At hire; then on material revision</x:v>
      </x:c>
      <x:c r="L72" s="90" t="str">
        <x:v>Ready</x:v>
      </x:c>
      <x:c r="M72" s="90" t="str">
        <x:v>Patient-facing rules that govern consent, emergency response, access, identification, property, and coordination.</x:v>
      </x:c>
      <x:c r="N72" s="90" t="str">
        <x:v>12-allPoliciesContent.generated.ts — OP-PA-002</x:v>
      </x:c>
      <x:c r="O72" s="90" t="str"/>
      <x:c r="P72" s="90" t="str"/>
    </x:row>
    <x:row r="73" ht="42" customHeight="1">
      <x:c r="A73" s="90" t="str">
        <x:v>LVN-03</x:v>
      </x:c>
      <x:c r="B73" s="90" t="str">
        <x:v>LVN</x:v>
      </x:c>
      <x:c r="C73" s="90" t="str">
        <x:v>OP-PA-003</x:v>
      </x:c>
      <x:c r="D73" s="90" t="str">
        <x:v>Interpreter &amp; Language Access Services</x:v>
      </x:c>
      <x:c r="E73" s="90" t="str">
        <x:v>Core</x:v>
      </x:c>
      <x:c r="F73" s="90" t="str">
        <x:v>Yes</x:v>
      </x:c>
      <x:c r="G73" s="90" t="str">
        <x:v>Yes — bundled</x:v>
      </x:c>
      <x:c r="H73" s="90" t="str">
        <x:v>Patient-Facing Care, Coordination &amp; Field Practice</x:v>
      </x:c>
      <x:c r="I73" s="90" t="str">
        <x:v>80% quiz with patient-identification and escalation cases</x:v>
      </x:c>
      <x:c r="J73" s="90" t="str">
        <x:v>By day 14; before independent duty if earlier</x:v>
      </x:c>
      <x:c r="K73" s="90" t="str">
        <x:v>At hire; then on material revision</x:v>
      </x:c>
      <x:c r="L73" s="90" t="str">
        <x:v>Ready</x:v>
      </x:c>
      <x:c r="M73" s="90" t="str">
        <x:v>Patient-facing rules that govern consent, emergency response, access, identification, property, and coordination.</x:v>
      </x:c>
      <x:c r="N73" s="90" t="str">
        <x:v>12-allPoliciesContent.generated.ts — OP-PA-003</x:v>
      </x:c>
      <x:c r="O73" s="90" t="str"/>
      <x:c r="P73" s="90" t="str"/>
    </x:row>
    <x:row r="74" ht="42" customHeight="1">
      <x:c r="A74" s="90" t="str">
        <x:v>LVN-03</x:v>
      </x:c>
      <x:c r="B74" s="90" t="str">
        <x:v>LVN</x:v>
      </x:c>
      <x:c r="C74" s="90" t="str">
        <x:v>OP-PA-004</x:v>
      </x:c>
      <x:c r="D74" s="90" t="str">
        <x:v>Cultural Competency in Service Delivery</x:v>
      </x:c>
      <x:c r="E74" s="90" t="str">
        <x:v>Core</x:v>
      </x:c>
      <x:c r="F74" s="90" t="str">
        <x:v>Yes</x:v>
      </x:c>
      <x:c r="G74" s="90" t="str">
        <x:v>Yes — bundled</x:v>
      </x:c>
      <x:c r="H74" s="90" t="str">
        <x:v>Patient-Facing Care, Coordination &amp; Field Practice</x:v>
      </x:c>
      <x:c r="I74" s="90" t="str">
        <x:v>80% quiz with patient-identification and escalation cases</x:v>
      </x:c>
      <x:c r="J74" s="90" t="str">
        <x:v>By day 14; before independent duty if earlier</x:v>
      </x:c>
      <x:c r="K74" s="90" t="str">
        <x:v>At hire; then on material revision</x:v>
      </x:c>
      <x:c r="L74" s="90" t="str">
        <x:v>Ready</x:v>
      </x:c>
      <x:c r="M74" s="90" t="str">
        <x:v>Patient-facing rules that govern consent, emergency response, access, identification, property, and coordination.</x:v>
      </x:c>
      <x:c r="N74" s="90" t="str">
        <x:v>12-allPoliciesContent.generated.ts — OP-PA-004</x:v>
      </x:c>
      <x:c r="O74" s="90" t="str"/>
      <x:c r="P74" s="90" t="str"/>
    </x:row>
    <x:row r="75" ht="42" customHeight="1">
      <x:c r="A75" s="90" t="str">
        <x:v>LVN-03</x:v>
      </x:c>
      <x:c r="B75" s="90" t="str">
        <x:v>LVN</x:v>
      </x:c>
      <x:c r="C75" s="90" t="str">
        <x:v>OP-PA-005</x:v>
      </x:c>
      <x:c r="D75" s="90" t="str">
        <x:v>Patient Property &amp; Belongings</x:v>
      </x:c>
      <x:c r="E75" s="90" t="str">
        <x:v>Core</x:v>
      </x:c>
      <x:c r="F75" s="90" t="str">
        <x:v>Yes</x:v>
      </x:c>
      <x:c r="G75" s="90" t="str">
        <x:v>Yes — bundled</x:v>
      </x:c>
      <x:c r="H75" s="90" t="str">
        <x:v>Patient-Facing Care, Coordination &amp; Field Practice</x:v>
      </x:c>
      <x:c r="I75" s="90" t="str">
        <x:v>80% quiz with patient-identification and escalation cases</x:v>
      </x:c>
      <x:c r="J75" s="90" t="str">
        <x:v>By day 14; before independent duty if earlier</x:v>
      </x:c>
      <x:c r="K75" s="90" t="str">
        <x:v>At hire; then on material revision</x:v>
      </x:c>
      <x:c r="L75" s="90" t="str">
        <x:v>Ready</x:v>
      </x:c>
      <x:c r="M75" s="90" t="str">
        <x:v>Patient-facing rules that govern consent, emergency response, access, identification, property, and coordination.</x:v>
      </x:c>
      <x:c r="N75" s="90" t="str">
        <x:v>12-allPoliciesContent.generated.ts — OP-PA-005</x:v>
      </x:c>
      <x:c r="O75" s="90" t="str"/>
      <x:c r="P75" s="90" t="str"/>
    </x:row>
    <x:row r="76" ht="42" customHeight="1">
      <x:c r="A76" s="90" t="str">
        <x:v>LVN-03</x:v>
      </x:c>
      <x:c r="B76" s="90" t="str">
        <x:v>LVN</x:v>
      </x:c>
      <x:c r="C76" s="90" t="str">
        <x:v>OP-SL-001</x:v>
      </x:c>
      <x:c r="D76" s="90" t="str">
        <x:v>Scheduling &amp; Visit Management</x:v>
      </x:c>
      <x:c r="E76" s="90" t="str">
        <x:v>Core</x:v>
      </x:c>
      <x:c r="F76" s="90" t="str">
        <x:v>Yes</x:v>
      </x:c>
      <x:c r="G76" s="90" t="str">
        <x:v>Yes — bundled</x:v>
      </x:c>
      <x:c r="H76" s="90" t="str">
        <x:v>Patient-Facing Care, Coordination &amp; Field Practice</x:v>
      </x:c>
      <x:c r="I76" s="90" t="str">
        <x:v>80% quiz with patient-identification and escalation cases</x:v>
      </x:c>
      <x:c r="J76" s="90" t="str">
        <x:v>By day 14; before independent duty if earlier</x:v>
      </x:c>
      <x:c r="K76" s="90" t="str">
        <x:v>At hire; then on material revision</x:v>
      </x:c>
      <x:c r="L76" s="90" t="str">
        <x:v>Ready</x:v>
      </x:c>
      <x:c r="M76" s="90" t="str">
        <x:v>Patient-facing rules that govern consent, emergency response, access, identification, property, and coordination.</x:v>
      </x:c>
      <x:c r="N76" s="90" t="str">
        <x:v>12-allPoliciesContent.generated.ts — OP-SL-001</x:v>
      </x:c>
      <x:c r="O76" s="90" t="str"/>
      <x:c r="P76" s="90" t="str"/>
    </x:row>
    <x:row r="77" ht="42" customHeight="1">
      <x:c r="A77" s="90" t="str">
        <x:v>LVN-03</x:v>
      </x:c>
      <x:c r="B77" s="90" t="str">
        <x:v>LVN</x:v>
      </x:c>
      <x:c r="C77" s="90" t="str">
        <x:v>OP-SL-004</x:v>
      </x:c>
      <x:c r="D77" s="90" t="str">
        <x:v>Equipment &amp; Supply Management</x:v>
      </x:c>
      <x:c r="E77" s="90" t="str">
        <x:v>Core</x:v>
      </x:c>
      <x:c r="F77" s="90" t="str">
        <x:v>Yes</x:v>
      </x:c>
      <x:c r="G77" s="90" t="str">
        <x:v>Yes — bundled</x:v>
      </x:c>
      <x:c r="H77" s="90" t="str">
        <x:v>Patient-Facing Care, Coordination &amp; Field Practice</x:v>
      </x:c>
      <x:c r="I77" s="90" t="str">
        <x:v>80% quiz with patient-identification and escalation cases</x:v>
      </x:c>
      <x:c r="J77" s="90" t="str">
        <x:v>By day 14; before independent duty if earlier</x:v>
      </x:c>
      <x:c r="K77" s="90" t="str">
        <x:v>At hire; then on material revision</x:v>
      </x:c>
      <x:c r="L77" s="90" t="str">
        <x:v>Ready</x:v>
      </x:c>
      <x:c r="M77" s="90" t="str">
        <x:v>Patient-facing rules that govern consent, emergency response, access, identification, property, and coordination.</x:v>
      </x:c>
      <x:c r="N77" s="90" t="str">
        <x:v>12-allPoliciesContent.generated.ts — OP-SL-004</x:v>
      </x:c>
      <x:c r="O77" s="90" t="str"/>
      <x:c r="P77" s="90" t="str"/>
    </x:row>
    <x:row r="78" ht="42" customHeight="1">
      <x:c r="A78" s="90" t="str">
        <x:v>LVN-03</x:v>
      </x:c>
      <x:c r="B78" s="90" t="str">
        <x:v>LVN</x:v>
      </x:c>
      <x:c r="C78" s="90" t="str">
        <x:v>OP-SL-007</x:v>
      </x:c>
      <x:c r="D78" s="90" t="str">
        <x:v>Inclement Weather &amp; Hazardous Conditions</x:v>
      </x:c>
      <x:c r="E78" s="90" t="str">
        <x:v>Core</x:v>
      </x:c>
      <x:c r="F78" s="90" t="str">
        <x:v>Yes</x:v>
      </x:c>
      <x:c r="G78" s="90" t="str">
        <x:v>Yes — bundled</x:v>
      </x:c>
      <x:c r="H78" s="90" t="str">
        <x:v>Patient-Facing Care, Coordination &amp; Field Practice</x:v>
      </x:c>
      <x:c r="I78" s="90" t="str">
        <x:v>80% quiz with patient-identification and escalation cases</x:v>
      </x:c>
      <x:c r="J78" s="90" t="str">
        <x:v>By day 14; before independent duty if earlier</x:v>
      </x:c>
      <x:c r="K78" s="90" t="str">
        <x:v>At hire; then on material revision</x:v>
      </x:c>
      <x:c r="L78" s="90" t="str">
        <x:v>Ready</x:v>
      </x:c>
      <x:c r="M78" s="90" t="str">
        <x:v>Patient-facing rules that govern consent, emergency response, access, identification, property, and coordination.</x:v>
      </x:c>
      <x:c r="N78" s="90" t="str">
        <x:v>12-allPoliciesContent.generated.ts — OP-SL-007</x:v>
      </x:c>
      <x:c r="O78" s="90" t="str"/>
      <x:c r="P78" s="90" t="str"/>
    </x:row>
    <x:row r="79" ht="42" customHeight="1">
      <x:c r="A79" s="90" t="str">
        <x:v>LVN-03</x:v>
      </x:c>
      <x:c r="B79" s="90" t="str">
        <x:v>LVN</x:v>
      </x:c>
      <x:c r="C79" s="90" t="str">
        <x:v>CL-CC-101</x:v>
      </x:c>
      <x:c r="D79" s="90" t="str">
        <x:v>Care Coordination &amp; SDOH Management</x:v>
      </x:c>
      <x:c r="E79" s="90" t="str">
        <x:v>Core</x:v>
      </x:c>
      <x:c r="F79" s="90" t="str">
        <x:v>Yes</x:v>
      </x:c>
      <x:c r="G79" s="90" t="str">
        <x:v>Yes — bundled</x:v>
      </x:c>
      <x:c r="H79" s="90" t="str">
        <x:v>Patient-Facing Care, Coordination &amp; Field Practice</x:v>
      </x:c>
      <x:c r="I79" s="90" t="str">
        <x:v>80% quiz with patient-identification and escalation cases</x:v>
      </x:c>
      <x:c r="J79" s="90" t="str">
        <x:v>By day 14; before independent duty if earlier</x:v>
      </x:c>
      <x:c r="K79" s="90" t="str">
        <x:v>At hire; then on material revision</x:v>
      </x:c>
      <x:c r="L79" s="90" t="str">
        <x:v>Ready</x:v>
      </x:c>
      <x:c r="M79" s="90" t="str">
        <x:v>Patient-facing rules that govern consent, emergency response, access, identification, property, and coordination.</x:v>
      </x:c>
      <x:c r="N79" s="90" t="str">
        <x:v>12-allPoliciesContent.generated.ts — CL-CC-101</x:v>
      </x:c>
      <x:c r="O79" s="90" t="str">
        <x:v>https://www.ecfr.gov/current/title-42/part-484/section-484.60</x:v>
      </x:c>
      <x:c r="P79" s="90" t="str"/>
    </x:row>
    <x:row r="80" ht="42" customHeight="1">
      <x:c r="A80" s="90" t="str">
        <x:v>LVN-04</x:v>
      </x:c>
      <x:c r="B80" s="90" t="str">
        <x:v>LVN</x:v>
      </x:c>
      <x:c r="C80" s="90" t="str">
        <x:v>CL-SD-012</x:v>
      </x:c>
      <x:c r="D80" s="90" t="str">
        <x:v>Medication Management &amp; Administration</x:v>
      </x:c>
      <x:c r="E80" s="90" t="str">
        <x:v>Core</x:v>
      </x:c>
      <x:c r="F80" s="90" t="str">
        <x:v>Yes</x:v>
      </x:c>
      <x:c r="G80" s="90" t="str">
        <x:v>Yes — bundled</x:v>
      </x:c>
      <x:c r="H80" s="90" t="str">
        <x:v>Medication, Infection &amp; High-Risk Clinical Care</x:v>
      </x:c>
      <x:c r="I80" s="90" t="str">
        <x:v>80% quiz plus medication/IPC skills as applicable</x:v>
      </x:c>
      <x:c r="J80" s="90" t="str">
        <x:v>By day 14; before independent duty if earlier</x:v>
      </x:c>
      <x:c r="K80" s="90" t="str">
        <x:v>Initial + annual; condition-specific refreshers as assigned</x:v>
      </x:c>
      <x:c r="L80" s="90" t="str">
        <x:v>Ready</x:v>
      </x:c>
      <x:c r="M80" s="90" t="str">
        <x:v>Covers common nursing safety risks and condition-specific competencies within the LVN assignment.</x:v>
      </x:c>
      <x:c r="N80" s="90" t="str">
        <x:v>12-allPoliciesContent.generated.ts — CL-SD-012</x:v>
      </x:c>
      <x:c r="O80" s="90" t="str">
        <x:v>https://www.ecfr.gov/current/title-42/part-484/section-484.75</x:v>
      </x:c>
      <x:c r="P80" s="90" t="str"/>
    </x:row>
    <x:row r="81" ht="42" customHeight="1">
      <x:c r="A81" s="90" t="str">
        <x:v>LVN-04</x:v>
      </x:c>
      <x:c r="B81" s="90" t="str">
        <x:v>LVN</x:v>
      </x:c>
      <x:c r="C81" s="90" t="str">
        <x:v>CL-SD-014</x:v>
      </x:c>
      <x:c r="D81" s="90" t="str">
        <x:v>Pain Assessment &amp; Management</x:v>
      </x:c>
      <x:c r="E81" s="90" t="str">
        <x:v>Core</x:v>
      </x:c>
      <x:c r="F81" s="90" t="str">
        <x:v>Yes</x:v>
      </x:c>
      <x:c r="G81" s="90" t="str">
        <x:v>Yes — bundled</x:v>
      </x:c>
      <x:c r="H81" s="90" t="str">
        <x:v>Medication, Infection &amp; High-Risk Clinical Care</x:v>
      </x:c>
      <x:c r="I81" s="90" t="str">
        <x:v>80% quiz plus medication/IPC skills as applicable</x:v>
      </x:c>
      <x:c r="J81" s="90" t="str">
        <x:v>By day 14; before independent duty if earlier</x:v>
      </x:c>
      <x:c r="K81" s="90" t="str">
        <x:v>Initial + annual; condition-specific refreshers as assigned</x:v>
      </x:c>
      <x:c r="L81" s="90" t="str">
        <x:v>Ready</x:v>
      </x:c>
      <x:c r="M81" s="90" t="str">
        <x:v>Covers common nursing safety risks and condition-specific competencies within the LVN assignment.</x:v>
      </x:c>
      <x:c r="N81" s="90" t="str">
        <x:v>12-allPoliciesContent.generated.ts — CL-SD-014</x:v>
      </x:c>
      <x:c r="O81" s="90" t="str">
        <x:v>https://www.ecfr.gov/current/title-42/part-484/section-484.75</x:v>
      </x:c>
      <x:c r="P81" s="90" t="str"/>
    </x:row>
    <x:row r="82" ht="42" customHeight="1">
      <x:c r="A82" s="90" t="str">
        <x:v>LVN-04</x:v>
      </x:c>
      <x:c r="B82" s="90" t="str">
        <x:v>LVN</x:v>
      </x:c>
      <x:c r="C82" s="90" t="str">
        <x:v>CL-SD-015</x:v>
      </x:c>
      <x:c r="D82" s="90" t="str">
        <x:v>Fall Risk Assessment &amp; Prevention</x:v>
      </x:c>
      <x:c r="E82" s="90" t="str">
        <x:v>Core</x:v>
      </x:c>
      <x:c r="F82" s="90" t="str">
        <x:v>Yes</x:v>
      </x:c>
      <x:c r="G82" s="90" t="str">
        <x:v>Yes — bundled</x:v>
      </x:c>
      <x:c r="H82" s="90" t="str">
        <x:v>Medication, Infection &amp; High-Risk Clinical Care</x:v>
      </x:c>
      <x:c r="I82" s="90" t="str">
        <x:v>80% quiz plus medication/IPC skills as applicable</x:v>
      </x:c>
      <x:c r="J82" s="90" t="str">
        <x:v>By day 14; before independent duty if earlier</x:v>
      </x:c>
      <x:c r="K82" s="90" t="str">
        <x:v>Initial + annual; condition-specific refreshers as assigned</x:v>
      </x:c>
      <x:c r="L82" s="90" t="str">
        <x:v>Ready</x:v>
      </x:c>
      <x:c r="M82" s="90" t="str">
        <x:v>Covers common nursing safety risks and condition-specific competencies within the LVN assignment.</x:v>
      </x:c>
      <x:c r="N82" s="90" t="str">
        <x:v>12-allPoliciesContent.generated.ts — CL-SD-015</x:v>
      </x:c>
      <x:c r="O82" s="90" t="str">
        <x:v>https://www.ecfr.gov/current/title-42/part-484/section-484.75</x:v>
      </x:c>
      <x:c r="P82" s="90" t="str"/>
    </x:row>
    <x:row r="83" ht="42" customHeight="1">
      <x:c r="A83" s="90" t="str">
        <x:v>LVN-04</x:v>
      </x:c>
      <x:c r="B83" s="90" t="str">
        <x:v>LVN</x:v>
      </x:c>
      <x:c r="C83" s="90" t="str">
        <x:v>CL-SD-016</x:v>
      </x:c>
      <x:c r="D83" s="90" t="str">
        <x:v>Infection Prevention &amp; Control</x:v>
      </x:c>
      <x:c r="E83" s="90" t="str">
        <x:v>Core</x:v>
      </x:c>
      <x:c r="F83" s="90" t="str">
        <x:v>Yes</x:v>
      </x:c>
      <x:c r="G83" s="90" t="str">
        <x:v>Yes — bundled</x:v>
      </x:c>
      <x:c r="H83" s="90" t="str">
        <x:v>Medication, Infection &amp; High-Risk Clinical Care</x:v>
      </x:c>
      <x:c r="I83" s="90" t="str">
        <x:v>80% quiz plus medication/IPC skills as applicable</x:v>
      </x:c>
      <x:c r="J83" s="90" t="str">
        <x:v>By day 14; before independent duty if earlier</x:v>
      </x:c>
      <x:c r="K83" s="90" t="str">
        <x:v>Initial + annual; condition-specific refreshers as assigned</x:v>
      </x:c>
      <x:c r="L83" s="90" t="str">
        <x:v>Ready</x:v>
      </x:c>
      <x:c r="M83" s="90" t="str">
        <x:v>Covers common nursing safety risks and condition-specific competencies within the LVN assignment.</x:v>
      </x:c>
      <x:c r="N83" s="90" t="str">
        <x:v>12-allPoliciesContent.generated.ts — CL-SD-016</x:v>
      </x:c>
      <x:c r="O83" s="90" t="str">
        <x:v>https://www.ecfr.gov/current/title-42/part-484/section-484.75</x:v>
      </x:c>
      <x:c r="P83" s="90" t="str"/>
    </x:row>
    <x:row r="84" ht="42" customHeight="1">
      <x:c r="A84" s="90" t="str">
        <x:v>LVN-04</x:v>
      </x:c>
      <x:c r="B84" s="90" t="str">
        <x:v>LVN</x:v>
      </x:c>
      <x:c r="C84" s="90" t="str">
        <x:v>CL-SD-017</x:v>
      </x:c>
      <x:c r="D84" s="90" t="str">
        <x:v>Patient Education &amp; Self-Management</x:v>
      </x:c>
      <x:c r="E84" s="90" t="str">
        <x:v>Core</x:v>
      </x:c>
      <x:c r="F84" s="90" t="str">
        <x:v>Yes</x:v>
      </x:c>
      <x:c r="G84" s="90" t="str">
        <x:v>Yes — bundled</x:v>
      </x:c>
      <x:c r="H84" s="90" t="str">
        <x:v>Medication, Infection &amp; High-Risk Clinical Care</x:v>
      </x:c>
      <x:c r="I84" s="90" t="str">
        <x:v>80% quiz plus medication/IPC skills as applicable</x:v>
      </x:c>
      <x:c r="J84" s="90" t="str">
        <x:v>By day 14; before independent duty if earlier</x:v>
      </x:c>
      <x:c r="K84" s="90" t="str">
        <x:v>Initial + annual; condition-specific refreshers as assigned</x:v>
      </x:c>
      <x:c r="L84" s="90" t="str">
        <x:v>Ready</x:v>
      </x:c>
      <x:c r="M84" s="90" t="str">
        <x:v>Covers common nursing safety risks and condition-specific competencies within the LVN assignment.</x:v>
      </x:c>
      <x:c r="N84" s="90" t="str">
        <x:v>12-allPoliciesContent.generated.ts — CL-SD-017</x:v>
      </x:c>
      <x:c r="O84" s="90" t="str">
        <x:v>https://www.ecfr.gov/current/title-42/part-484/section-484.75</x:v>
      </x:c>
      <x:c r="P84" s="90" t="str"/>
    </x:row>
    <x:row r="85" ht="42" customHeight="1">
      <x:c r="A85" s="90" t="str">
        <x:v>LVN-04</x:v>
      </x:c>
      <x:c r="B85" s="90" t="str">
        <x:v>LVN</x:v>
      </x:c>
      <x:c r="C85" s="90" t="str">
        <x:v>CL-SD-018</x:v>
      </x:c>
      <x:c r="D85" s="90" t="str">
        <x:v>Diabetic Management &amp; Monitoring</x:v>
      </x:c>
      <x:c r="E85" s="90" t="str">
        <x:v>Conditional</x:v>
      </x:c>
      <x:c r="F85" s="90" t="str">
        <x:v>Yes</x:v>
      </x:c>
      <x:c r="G85" s="90" t="str">
        <x:v>Yes — bundled</x:v>
      </x:c>
      <x:c r="H85" s="90" t="str">
        <x:v>Medication, Infection &amp; High-Risk Clinical Care</x:v>
      </x:c>
      <x:c r="I85" s="90" t="str">
        <x:v>80% quiz plus medication/IPC skills as applicable</x:v>
      </x:c>
      <x:c r="J85" s="90" t="str">
        <x:v>By day 14; before independent duty if earlier</x:v>
      </x:c>
      <x:c r="K85" s="90" t="str">
        <x:v>Initial + annual; condition-specific refreshers as assigned</x:v>
      </x:c>
      <x:c r="L85" s="90" t="str">
        <x:v>Ready</x:v>
      </x:c>
      <x:c r="M85" s="90" t="str">
        <x:v>Covers common nursing safety risks and condition-specific competencies within the LVN assignment.</x:v>
      </x:c>
      <x:c r="N85" s="90" t="str">
        <x:v>12-allPoliciesContent.generated.ts — CL-SD-018</x:v>
      </x:c>
      <x:c r="O85" s="90" t="str">
        <x:v>https://www.ecfr.gov/current/title-42/part-484/section-484.75</x:v>
      </x:c>
      <x:c r="P85" s="90" t="str"/>
    </x:row>
    <x:row r="86" ht="42" customHeight="1">
      <x:c r="A86" s="90" t="str">
        <x:v>LVN-04</x:v>
      </x:c>
      <x:c r="B86" s="90" t="str">
        <x:v>LVN</x:v>
      </x:c>
      <x:c r="C86" s="90" t="str">
        <x:v>CL-SD-019</x:v>
      </x:c>
      <x:c r="D86" s="90" t="str">
        <x:v>Cardiac Care &amp; Monitoring</x:v>
      </x:c>
      <x:c r="E86" s="90" t="str">
        <x:v>Conditional</x:v>
      </x:c>
      <x:c r="F86" s="90" t="str">
        <x:v>Yes</x:v>
      </x:c>
      <x:c r="G86" s="90" t="str">
        <x:v>Yes — bundled</x:v>
      </x:c>
      <x:c r="H86" s="90" t="str">
        <x:v>Medication, Infection &amp; High-Risk Clinical Care</x:v>
      </x:c>
      <x:c r="I86" s="90" t="str">
        <x:v>80% quiz plus medication/IPC skills as applicable</x:v>
      </x:c>
      <x:c r="J86" s="90" t="str">
        <x:v>By day 14; before independent duty if earlier</x:v>
      </x:c>
      <x:c r="K86" s="90" t="str">
        <x:v>Initial + annual; condition-specific refreshers as assigned</x:v>
      </x:c>
      <x:c r="L86" s="90" t="str">
        <x:v>Ready</x:v>
      </x:c>
      <x:c r="M86" s="90" t="str">
        <x:v>Covers common nursing safety risks and condition-specific competencies within the LVN assignment.</x:v>
      </x:c>
      <x:c r="N86" s="90" t="str">
        <x:v>12-allPoliciesContent.generated.ts — CL-SD-019</x:v>
      </x:c>
      <x:c r="O86" s="90" t="str">
        <x:v>https://www.ecfr.gov/current/title-42/part-484/section-484.75</x:v>
      </x:c>
      <x:c r="P86" s="90" t="str"/>
    </x:row>
    <x:row r="87" ht="42" customHeight="1">
      <x:c r="A87" s="90" t="str">
        <x:v>LVN-04</x:v>
      </x:c>
      <x:c r="B87" s="90" t="str">
        <x:v>LVN</x:v>
      </x:c>
      <x:c r="C87" s="90" t="str">
        <x:v>CL-SD-020</x:v>
      </x:c>
      <x:c r="D87" s="90" t="str">
        <x:v>Respiratory Care &amp; Management</x:v>
      </x:c>
      <x:c r="E87" s="90" t="str">
        <x:v>Conditional</x:v>
      </x:c>
      <x:c r="F87" s="90" t="str">
        <x:v>Yes</x:v>
      </x:c>
      <x:c r="G87" s="90" t="str">
        <x:v>Yes — bundled</x:v>
      </x:c>
      <x:c r="H87" s="90" t="str">
        <x:v>Medication, Infection &amp; High-Risk Clinical Care</x:v>
      </x:c>
      <x:c r="I87" s="90" t="str">
        <x:v>80% quiz plus medication/IPC skills as applicable</x:v>
      </x:c>
      <x:c r="J87" s="90" t="str">
        <x:v>By day 14; before independent duty if earlier</x:v>
      </x:c>
      <x:c r="K87" s="90" t="str">
        <x:v>Initial + annual; condition-specific refreshers as assigned</x:v>
      </x:c>
      <x:c r="L87" s="90" t="str">
        <x:v>Ready</x:v>
      </x:c>
      <x:c r="M87" s="90" t="str">
        <x:v>Covers common nursing safety risks and condition-specific competencies within the LVN assignment.</x:v>
      </x:c>
      <x:c r="N87" s="90" t="str">
        <x:v>12-allPoliciesContent.generated.ts — CL-SD-020</x:v>
      </x:c>
      <x:c r="O87" s="90" t="str">
        <x:v>https://www.ecfr.gov/current/title-42/part-484/section-484.75</x:v>
      </x:c>
      <x:c r="P87" s="90" t="str"/>
    </x:row>
    <x:row r="88" ht="42" customHeight="1">
      <x:c r="A88" s="90" t="str">
        <x:v>LVN-04</x:v>
      </x:c>
      <x:c r="B88" s="90" t="str">
        <x:v>LVN</x:v>
      </x:c>
      <x:c r="C88" s="90" t="str">
        <x:v>RM-PS-005</x:v>
      </x:c>
      <x:c r="D88" s="90" t="str">
        <x:v>High-Risk Medication Safety</x:v>
      </x:c>
      <x:c r="E88" s="90" t="str">
        <x:v>Conditional</x:v>
      </x:c>
      <x:c r="F88" s="90" t="str">
        <x:v>Yes</x:v>
      </x:c>
      <x:c r="G88" s="90" t="str">
        <x:v>Yes — bundled</x:v>
      </x:c>
      <x:c r="H88" s="90" t="str">
        <x:v>Medication, Infection &amp; High-Risk Clinical Care</x:v>
      </x:c>
      <x:c r="I88" s="90" t="str">
        <x:v>80% quiz plus medication/IPC skills as applicable</x:v>
      </x:c>
      <x:c r="J88" s="90" t="str">
        <x:v>By day 14; before independent duty if earlier</x:v>
      </x:c>
      <x:c r="K88" s="90" t="str">
        <x:v>Initial + annual; condition-specific refreshers as assigned</x:v>
      </x:c>
      <x:c r="L88" s="90" t="str">
        <x:v>Ready</x:v>
      </x:c>
      <x:c r="M88" s="90" t="str">
        <x:v>Covers common nursing safety risks and condition-specific competencies within the LVN assignment.</x:v>
      </x:c>
      <x:c r="N88" s="90" t="str">
        <x:v>12-allPoliciesContent.generated.ts — RM-PS-005</x:v>
      </x:c>
      <x:c r="O88" s="90" t="str"/>
      <x:c r="P88" s="90" t="str"/>
    </x:row>
    <x:row r="89" ht="42" customHeight="1">
      <x:c r="A89" s="90" t="str">
        <x:v>LVN-04</x:v>
      </x:c>
      <x:c r="B89" s="90" t="str">
        <x:v>LVN</x:v>
      </x:c>
      <x:c r="C89" s="90" t="str">
        <x:v>RM-OS-002</x:v>
      </x:c>
      <x:c r="D89" s="90" t="str">
        <x:v>Aerosol Transmissible Disease (ATD) Exposure Control Plan</x:v>
      </x:c>
      <x:c r="E89" s="90" t="str">
        <x:v>Core</x:v>
      </x:c>
      <x:c r="F89" s="90" t="str">
        <x:v>Yes</x:v>
      </x:c>
      <x:c r="G89" s="90" t="str">
        <x:v>Yes — bundled</x:v>
      </x:c>
      <x:c r="H89" s="90" t="str">
        <x:v>Medication, Infection &amp; High-Risk Clinical Care</x:v>
      </x:c>
      <x:c r="I89" s="90" t="str">
        <x:v>80% quiz plus medication/IPC skills as applicable</x:v>
      </x:c>
      <x:c r="J89" s="90" t="str">
        <x:v>By day 14; before independent duty if earlier</x:v>
      </x:c>
      <x:c r="K89" s="90" t="str">
        <x:v>Initial + annual; condition-specific refreshers as assigned</x:v>
      </x:c>
      <x:c r="L89" s="90" t="str">
        <x:v>Ready</x:v>
      </x:c>
      <x:c r="M89" s="90" t="str">
        <x:v>Covers common nursing safety risks and condition-specific competencies within the LVN assignment.</x:v>
      </x:c>
      <x:c r="N89" s="90" t="str">
        <x:v>12-allPoliciesContent.generated.ts — RM-OS-002</x:v>
      </x:c>
      <x:c r="O89" s="90" t="str">
        <x:v>https://www.dir.ca.gov/title8/5199.html</x:v>
      </x:c>
      <x:c r="P89" s="90" t="str"/>
    </x:row>
    <x:row r="90" ht="42" customHeight="1">
      <x:c r="A90" s="90" t="str">
        <x:v>LVN-04</x:v>
      </x:c>
      <x:c r="B90" s="90" t="str">
        <x:v>LVN</x:v>
      </x:c>
      <x:c r="C90" s="90" t="str">
        <x:v>RM-OS-003</x:v>
      </x:c>
      <x:c r="D90" s="90" t="str">
        <x:v>Bloodborne Pathogen (BBP) Exposure Control Plan</x:v>
      </x:c>
      <x:c r="E90" s="90" t="str">
        <x:v>Core</x:v>
      </x:c>
      <x:c r="F90" s="90" t="str">
        <x:v>Yes</x:v>
      </x:c>
      <x:c r="G90" s="90" t="str">
        <x:v>Yes — bundled</x:v>
      </x:c>
      <x:c r="H90" s="90" t="str">
        <x:v>Medication, Infection &amp; High-Risk Clinical Care</x:v>
      </x:c>
      <x:c r="I90" s="90" t="str">
        <x:v>80% quiz plus medication/IPC skills as applicable</x:v>
      </x:c>
      <x:c r="J90" s="90" t="str">
        <x:v>By day 14; before independent duty if earlier</x:v>
      </x:c>
      <x:c r="K90" s="90" t="str">
        <x:v>Initial + annual; condition-specific refreshers as assigned</x:v>
      </x:c>
      <x:c r="L90" s="90" t="str">
        <x:v>Ready</x:v>
      </x:c>
      <x:c r="M90" s="90" t="str">
        <x:v>Covers common nursing safety risks and condition-specific competencies within the LVN assignment.</x:v>
      </x:c>
      <x:c r="N90" s="90" t="str">
        <x:v>12-allPoliciesContent.generated.ts — RM-OS-003</x:v>
      </x:c>
      <x:c r="O90" s="90" t="str">
        <x:v>https://www.dir.ca.gov/title8/5193.html</x:v>
      </x:c>
      <x:c r="P90" s="90" t="str"/>
    </x:row>
    <x:row r="91" ht="42" customHeight="1">
      <x:c r="A91" s="90" t="str">
        <x:v>LVN-05</x:v>
      </x:c>
      <x:c r="B91" s="90" t="str">
        <x:v>LVN</x:v>
      </x:c>
      <x:c r="C91" s="90" t="str">
        <x:v>CL-CP-006</x:v>
      </x:c>
      <x:c r="D91" s="90" t="str">
        <x:v>Discharge Planning &amp; Criteria</x:v>
      </x:c>
      <x:c r="E91" s="90" t="str">
        <x:v>Core</x:v>
      </x:c>
      <x:c r="F91" s="90" t="str">
        <x:v>Yes</x:v>
      </x:c>
      <x:c r="G91" s="90" t="str">
        <x:v>Yes — bundled</x:v>
      </x:c>
      <x:c r="H91" s="90" t="str">
        <x:v>Transitions, Specialty Services &amp; Field Safety</x:v>
      </x:c>
      <x:c r="I91" s="90" t="str">
        <x:v>80% quiz plus skill check before specialty assignment</x:v>
      </x:c>
      <x:c r="J91" s="90" t="str">
        <x:v>By day 14; before independent duty if earlier</x:v>
      </x:c>
      <x:c r="K91" s="90" t="str">
        <x:v>At hire; then on material revision</x:v>
      </x:c>
      <x:c r="L91" s="90" t="str">
        <x:v>Conditional</x:v>
      </x:c>
      <x:c r="M91" s="90" t="str">
        <x:v>Combines universal transition duties with task-, population-, and field-triggered procedures.</x:v>
      </x:c>
      <x:c r="N91" s="90" t="str">
        <x:v>12-allPoliciesContent.generated.ts — CL-CP-006</x:v>
      </x:c>
      <x:c r="O91" s="90" t="str">
        <x:v>https://www.ecfr.gov/current/title-42/part-484/section-484.60</x:v>
      </x:c>
      <x:c r="P91" s="90" t="str"/>
    </x:row>
    <x:row r="92" ht="42" customHeight="1">
      <x:c r="A92" s="90" t="str">
        <x:v>LVN-05</x:v>
      </x:c>
      <x:c r="B92" s="90" t="str">
        <x:v>LVN</x:v>
      </x:c>
      <x:c r="C92" s="90" t="str">
        <x:v>CL-CP-007</x:v>
      </x:c>
      <x:c r="D92" s="90" t="str">
        <x:v>Transfer &amp; Referral Procedures</x:v>
      </x:c>
      <x:c r="E92" s="90" t="str">
        <x:v>Core</x:v>
      </x:c>
      <x:c r="F92" s="90" t="str">
        <x:v>Yes</x:v>
      </x:c>
      <x:c r="G92" s="90" t="str">
        <x:v>Yes — bundled</x:v>
      </x:c>
      <x:c r="H92" s="90" t="str">
        <x:v>Transitions, Specialty Services &amp; Field Safety</x:v>
      </x:c>
      <x:c r="I92" s="90" t="str">
        <x:v>80% quiz plus skill check before specialty assignment</x:v>
      </x:c>
      <x:c r="J92" s="90" t="str">
        <x:v>By day 14; before independent duty if earlier</x:v>
      </x:c>
      <x:c r="K92" s="90" t="str">
        <x:v>At hire; then on material revision</x:v>
      </x:c>
      <x:c r="L92" s="90" t="str">
        <x:v>Conditional</x:v>
      </x:c>
      <x:c r="M92" s="90" t="str">
        <x:v>Combines universal transition duties with task-, population-, and field-triggered procedures.</x:v>
      </x:c>
      <x:c r="N92" s="90" t="str">
        <x:v>12-allPoliciesContent.generated.ts — CL-CP-007</x:v>
      </x:c>
      <x:c r="O92" s="90" t="str">
        <x:v>https://www.ecfr.gov/current/title-42/part-484/section-484.60</x:v>
      </x:c>
      <x:c r="P92" s="90" t="str"/>
    </x:row>
    <x:row r="93" ht="42" customHeight="1">
      <x:c r="A93" s="90" t="str">
        <x:v>LVN-05</x:v>
      </x:c>
      <x:c r="B93" s="90" t="str">
        <x:v>LVN</x:v>
      </x:c>
      <x:c r="C93" s="90" t="str">
        <x:v>CL-SD-009</x:v>
      </x:c>
      <x:c r="D93" s="90" t="str">
        <x:v>Telehealth &amp; Remote Monitoring Services</x:v>
      </x:c>
      <x:c r="E93" s="90" t="str">
        <x:v>Conditional</x:v>
      </x:c>
      <x:c r="F93" s="90" t="str">
        <x:v>Yes</x:v>
      </x:c>
      <x:c r="G93" s="90" t="str">
        <x:v>Yes — bundled</x:v>
      </x:c>
      <x:c r="H93" s="90" t="str">
        <x:v>Transitions, Specialty Services &amp; Field Safety</x:v>
      </x:c>
      <x:c r="I93" s="90" t="str">
        <x:v>80% quiz plus skill check before specialty assignment</x:v>
      </x:c>
      <x:c r="J93" s="90" t="str">
        <x:v>By day 14; before independent duty if earlier</x:v>
      </x:c>
      <x:c r="K93" s="90" t="str">
        <x:v>At hire; then on material revision</x:v>
      </x:c>
      <x:c r="L93" s="90" t="str">
        <x:v>Conditional</x:v>
      </x:c>
      <x:c r="M93" s="90" t="str">
        <x:v>Combines universal transition duties with task-, population-, and field-triggered procedures.</x:v>
      </x:c>
      <x:c r="N93" s="90" t="str">
        <x:v>12-allPoliciesContent.generated.ts — CL-SD-009</x:v>
      </x:c>
      <x:c r="O93" s="90" t="str">
        <x:v>https://www.ecfr.gov/current/title-42/part-484/section-484.75</x:v>
      </x:c>
      <x:c r="P93" s="90" t="str"/>
    </x:row>
    <x:row r="94" ht="42" customHeight="1">
      <x:c r="A94" s="90" t="str">
        <x:v>LVN-05</x:v>
      </x:c>
      <x:c r="B94" s="90" t="str">
        <x:v>LVN</x:v>
      </x:c>
      <x:c r="C94" s="90" t="str">
        <x:v>CL-SD-010</x:v>
      </x:c>
      <x:c r="D94" s="90" t="str">
        <x:v>IV Therapy &amp; Infusion Services</x:v>
      </x:c>
      <x:c r="E94" s="90" t="str">
        <x:v>Conditional</x:v>
      </x:c>
      <x:c r="F94" s="90" t="str">
        <x:v>Yes</x:v>
      </x:c>
      <x:c r="G94" s="90" t="str">
        <x:v>Yes — bundled</x:v>
      </x:c>
      <x:c r="H94" s="90" t="str">
        <x:v>Transitions, Specialty Services &amp; Field Safety</x:v>
      </x:c>
      <x:c r="I94" s="90" t="str">
        <x:v>80% quiz plus skill check before specialty assignment</x:v>
      </x:c>
      <x:c r="J94" s="90" t="str">
        <x:v>By day 14; before independent duty if earlier</x:v>
      </x:c>
      <x:c r="K94" s="90" t="str">
        <x:v>At hire; then on material revision</x:v>
      </x:c>
      <x:c r="L94" s="90" t="str">
        <x:v>Conditional</x:v>
      </x:c>
      <x:c r="M94" s="90" t="str">
        <x:v>Combines universal transition duties with task-, population-, and field-triggered procedures.</x:v>
      </x:c>
      <x:c r="N94" s="90" t="str">
        <x:v>12-allPoliciesContent.generated.ts — CL-SD-010</x:v>
      </x:c>
      <x:c r="O94" s="90" t="str">
        <x:v>https://www.ecfr.gov/current/title-42/part-484/section-484.75</x:v>
      </x:c>
      <x:c r="P94" s="90" t="str"/>
    </x:row>
    <x:row r="95" ht="42" customHeight="1">
      <x:c r="A95" s="90" t="str">
        <x:v>LVN-05</x:v>
      </x:c>
      <x:c r="B95" s="90" t="str">
        <x:v>LVN</x:v>
      </x:c>
      <x:c r="C95" s="90" t="str">
        <x:v>CL-SD-011</x:v>
      </x:c>
      <x:c r="D95" s="90" t="str">
        <x:v>Wound Care Assessment &amp; Management</x:v>
      </x:c>
      <x:c r="E95" s="90" t="str">
        <x:v>Conditional</x:v>
      </x:c>
      <x:c r="F95" s="90" t="str">
        <x:v>Yes</x:v>
      </x:c>
      <x:c r="G95" s="90" t="str">
        <x:v>Yes — bundled</x:v>
      </x:c>
      <x:c r="H95" s="90" t="str">
        <x:v>Transitions, Specialty Services &amp; Field Safety</x:v>
      </x:c>
      <x:c r="I95" s="90" t="str">
        <x:v>80% quiz plus skill check before specialty assignment</x:v>
      </x:c>
      <x:c r="J95" s="90" t="str">
        <x:v>By day 14; before independent duty if earlier</x:v>
      </x:c>
      <x:c r="K95" s="90" t="str">
        <x:v>At hire; then on material revision</x:v>
      </x:c>
      <x:c r="L95" s="90" t="str">
        <x:v>Conditional</x:v>
      </x:c>
      <x:c r="M95" s="90" t="str">
        <x:v>Combines universal transition duties with task-, population-, and field-triggered procedures.</x:v>
      </x:c>
      <x:c r="N95" s="90" t="str">
        <x:v>12-allPoliciesContent.generated.ts — CL-SD-011</x:v>
      </x:c>
      <x:c r="O95" s="90" t="str">
        <x:v>https://www.ecfr.gov/current/title-42/part-484/section-484.75</x:v>
      </x:c>
      <x:c r="P95" s="90" t="str"/>
    </x:row>
    <x:row r="96" ht="42" customHeight="1">
      <x:c r="A96" s="90" t="str">
        <x:v>LVN-05</x:v>
      </x:c>
      <x:c r="B96" s="90" t="str">
        <x:v>LVN</x:v>
      </x:c>
      <x:c r="C96" s="90" t="str">
        <x:v>CL-SD-021</x:v>
      </x:c>
      <x:c r="D96" s="90" t="str">
        <x:v>Pediatric Home Health Services</x:v>
      </x:c>
      <x:c r="E96" s="90" t="str">
        <x:v>Conditional</x:v>
      </x:c>
      <x:c r="F96" s="90" t="str">
        <x:v>Yes</x:v>
      </x:c>
      <x:c r="G96" s="90" t="str">
        <x:v>Yes — bundled</x:v>
      </x:c>
      <x:c r="H96" s="90" t="str">
        <x:v>Transitions, Specialty Services &amp; Field Safety</x:v>
      </x:c>
      <x:c r="I96" s="90" t="str">
        <x:v>80% quiz plus skill check before specialty assignment</x:v>
      </x:c>
      <x:c r="J96" s="90" t="str">
        <x:v>By day 14; before independent duty if earlier</x:v>
      </x:c>
      <x:c r="K96" s="90" t="str">
        <x:v>At hire; then on material revision</x:v>
      </x:c>
      <x:c r="L96" s="90" t="str">
        <x:v>Conditional</x:v>
      </x:c>
      <x:c r="M96" s="90" t="str">
        <x:v>Combines universal transition duties with task-, population-, and field-triggered procedures.</x:v>
      </x:c>
      <x:c r="N96" s="90" t="str">
        <x:v>12-allPoliciesContent.generated.ts — CL-SD-021</x:v>
      </x:c>
      <x:c r="O96" s="90" t="str">
        <x:v>https://www.ecfr.gov/current/title-42/part-484/section-484.75</x:v>
      </x:c>
      <x:c r="P96" s="90" t="str"/>
    </x:row>
    <x:row r="97" ht="42" customHeight="1">
      <x:c r="A97" s="90" t="str">
        <x:v>LVN-05</x:v>
      </x:c>
      <x:c r="B97" s="90" t="str">
        <x:v>LVN</x:v>
      </x:c>
      <x:c r="C97" s="90" t="str">
        <x:v>CL-SD-022</x:v>
      </x:c>
      <x:c r="D97" s="90" t="str">
        <x:v>Behavioral Health Screening &amp; Referral</x:v>
      </x:c>
      <x:c r="E97" s="90" t="str">
        <x:v>Conditional</x:v>
      </x:c>
      <x:c r="F97" s="90" t="str">
        <x:v>Yes</x:v>
      </x:c>
      <x:c r="G97" s="90" t="str">
        <x:v>Yes — bundled</x:v>
      </x:c>
      <x:c r="H97" s="90" t="str">
        <x:v>Transitions, Specialty Services &amp; Field Safety</x:v>
      </x:c>
      <x:c r="I97" s="90" t="str">
        <x:v>80% quiz plus skill check before specialty assignment</x:v>
      </x:c>
      <x:c r="J97" s="90" t="str">
        <x:v>By day 14; before independent duty if earlier</x:v>
      </x:c>
      <x:c r="K97" s="90" t="str">
        <x:v>At hire; then on material revision</x:v>
      </x:c>
      <x:c r="L97" s="90" t="str">
        <x:v>Conditional</x:v>
      </x:c>
      <x:c r="M97" s="90" t="str">
        <x:v>Combines universal transition duties with task-, population-, and field-triggered procedures.</x:v>
      </x:c>
      <x:c r="N97" s="90" t="str">
        <x:v>12-allPoliciesContent.generated.ts — CL-SD-022</x:v>
      </x:c>
      <x:c r="O97" s="90" t="str">
        <x:v>https://www.ecfr.gov/current/title-42/part-484/section-484.75</x:v>
      </x:c>
      <x:c r="P97" s="90" t="str"/>
    </x:row>
    <x:row r="98" ht="42" customHeight="1">
      <x:c r="A98" s="90" t="str">
        <x:v>LVN-05</x:v>
      </x:c>
      <x:c r="B98" s="90" t="str">
        <x:v>LVN</x:v>
      </x:c>
      <x:c r="C98" s="90" t="str">
        <x:v>CL-SD-023</x:v>
      </x:c>
      <x:c r="D98" s="90" t="str">
        <x:v>Palliative &amp; End-of-Life Care</x:v>
      </x:c>
      <x:c r="E98" s="90" t="str">
        <x:v>Conditional</x:v>
      </x:c>
      <x:c r="F98" s="90" t="str">
        <x:v>Yes</x:v>
      </x:c>
      <x:c r="G98" s="90" t="str">
        <x:v>Yes — bundled</x:v>
      </x:c>
      <x:c r="H98" s="90" t="str">
        <x:v>Transitions, Specialty Services &amp; Field Safety</x:v>
      </x:c>
      <x:c r="I98" s="90" t="str">
        <x:v>80% quiz plus skill check before specialty assignment</x:v>
      </x:c>
      <x:c r="J98" s="90" t="str">
        <x:v>By day 14; before independent duty if earlier</x:v>
      </x:c>
      <x:c r="K98" s="90" t="str">
        <x:v>At hire; then on material revision</x:v>
      </x:c>
      <x:c r="L98" s="90" t="str">
        <x:v>Conditional</x:v>
      </x:c>
      <x:c r="M98" s="90" t="str">
        <x:v>Combines universal transition duties with task-, population-, and field-triggered procedures.</x:v>
      </x:c>
      <x:c r="N98" s="90" t="str">
        <x:v>12-allPoliciesContent.generated.ts — CL-SD-023</x:v>
      </x:c>
      <x:c r="O98" s="90" t="str">
        <x:v>https://www.ecfr.gov/current/title-42/part-484/section-484.75</x:v>
      </x:c>
      <x:c r="P98" s="90" t="str"/>
    </x:row>
    <x:row r="99" ht="42" customHeight="1">
      <x:c r="A99" s="90" t="str">
        <x:v>LVN-05</x:v>
      </x:c>
      <x:c r="B99" s="90" t="str">
        <x:v>LVN</x:v>
      </x:c>
      <x:c r="C99" s="90" t="str">
        <x:v>CL-SD-024</x:v>
      </x:c>
      <x:c r="D99" s="90" t="str">
        <x:v>Missed Visit &amp; Rescheduling</x:v>
      </x:c>
      <x:c r="E99" s="90" t="str">
        <x:v>Core</x:v>
      </x:c>
      <x:c r="F99" s="90" t="str">
        <x:v>Yes</x:v>
      </x:c>
      <x:c r="G99" s="90" t="str">
        <x:v>Yes — bundled</x:v>
      </x:c>
      <x:c r="H99" s="90" t="str">
        <x:v>Transitions, Specialty Services &amp; Field Safety</x:v>
      </x:c>
      <x:c r="I99" s="90" t="str">
        <x:v>80% quiz plus skill check before specialty assignment</x:v>
      </x:c>
      <x:c r="J99" s="90" t="str">
        <x:v>By day 14; before independent duty if earlier</x:v>
      </x:c>
      <x:c r="K99" s="90" t="str">
        <x:v>At hire; then on material revision</x:v>
      </x:c>
      <x:c r="L99" s="90" t="str">
        <x:v>Conditional</x:v>
      </x:c>
      <x:c r="M99" s="90" t="str">
        <x:v>Combines universal transition duties with task-, population-, and field-triggered procedures.</x:v>
      </x:c>
      <x:c r="N99" s="90" t="str">
        <x:v>12-allPoliciesContent.generated.ts — CL-SD-024</x:v>
      </x:c>
      <x:c r="O99" s="90" t="str">
        <x:v>https://www.ecfr.gov/current/title-42/part-484/section-484.75</x:v>
      </x:c>
      <x:c r="P99" s="90" t="str"/>
    </x:row>
    <x:row r="100" ht="42" customHeight="1">
      <x:c r="A100" s="90" t="str">
        <x:v>LVN-05</x:v>
      </x:c>
      <x:c r="B100" s="90" t="str">
        <x:v>LVN</x:v>
      </x:c>
      <x:c r="C100" s="90" t="str">
        <x:v>CL-SD-025</x:v>
      </x:c>
      <x:c r="D100" s="90" t="str">
        <x:v>Ordered Visit Frequency Compliance &amp; Monitoring</x:v>
      </x:c>
      <x:c r="E100" s="90" t="str">
        <x:v>Core</x:v>
      </x:c>
      <x:c r="F100" s="90" t="str">
        <x:v>Yes</x:v>
      </x:c>
      <x:c r="G100" s="90" t="str">
        <x:v>Yes — bundled</x:v>
      </x:c>
      <x:c r="H100" s="90" t="str">
        <x:v>Transitions, Specialty Services &amp; Field Safety</x:v>
      </x:c>
      <x:c r="I100" s="90" t="str">
        <x:v>80% quiz plus skill check before specialty assignment</x:v>
      </x:c>
      <x:c r="J100" s="90" t="str">
        <x:v>By day 14; before independent duty if earlier</x:v>
      </x:c>
      <x:c r="K100" s="90" t="str">
        <x:v>At hire; then on material revision</x:v>
      </x:c>
      <x:c r="L100" s="90" t="str">
        <x:v>Conditional</x:v>
      </x:c>
      <x:c r="M100" s="90" t="str">
        <x:v>Combines universal transition duties with task-, population-, and field-triggered procedures.</x:v>
      </x:c>
      <x:c r="N100" s="90" t="str">
        <x:v>12-allPoliciesContent.generated.ts — CL-SD-025</x:v>
      </x:c>
      <x:c r="O100" s="90" t="str">
        <x:v>https://www.ecfr.gov/current/title-42/part-484/section-484.75</x:v>
      </x:c>
      <x:c r="P100" s="90" t="str"/>
    </x:row>
    <x:row r="101" ht="42" customHeight="1">
      <x:c r="A101" s="90" t="str">
        <x:v>LVN-05</x:v>
      </x:c>
      <x:c r="B101" s="90" t="str">
        <x:v>LVN</x:v>
      </x:c>
      <x:c r="C101" s="90" t="str">
        <x:v>RM-OS-004</x:v>
      </x:c>
      <x:c r="D101" s="90" t="str">
        <x:v>Heat Illness Prevention Program</x:v>
      </x:c>
      <x:c r="E101" s="90" t="str">
        <x:v>Conditional</x:v>
      </x:c>
      <x:c r="F101" s="90" t="str">
        <x:v>Yes</x:v>
      </x:c>
      <x:c r="G101" s="90" t="str">
        <x:v>Yes — bundled</x:v>
      </x:c>
      <x:c r="H101" s="90" t="str">
        <x:v>Transitions, Specialty Services &amp; Field Safety</x:v>
      </x:c>
      <x:c r="I101" s="90" t="str">
        <x:v>80% quiz plus skill check before specialty assignment</x:v>
      </x:c>
      <x:c r="J101" s="90" t="str">
        <x:v>By day 14; before independent duty if earlier</x:v>
      </x:c>
      <x:c r="K101" s="90" t="str">
        <x:v>At hire; then on material revision</x:v>
      </x:c>
      <x:c r="L101" s="90" t="str">
        <x:v>Conditional</x:v>
      </x:c>
      <x:c r="M101" s="90" t="str">
        <x:v>Combines universal transition duties with task-, population-, and field-triggered procedures.</x:v>
      </x:c>
      <x:c r="N101" s="90" t="str">
        <x:v>12-allPoliciesContent.generated.ts — RM-OS-004</x:v>
      </x:c>
      <x:c r="O101" s="90" t="str"/>
      <x:c r="P101" s="90" t="str"/>
    </x:row>
    <x:row r="102" ht="42" customHeight="1">
      <x:c r="A102" s="90" t="str">
        <x:v>LVN-05</x:v>
      </x:c>
      <x:c r="B102" s="90" t="str">
        <x:v>LVN</x:v>
      </x:c>
      <x:c r="C102" s="90" t="str">
        <x:v>RM-PS-001</x:v>
      </x:c>
      <x:c r="D102" s="90" t="str">
        <x:v>Environmental Safety Assessment</x:v>
      </x:c>
      <x:c r="E102" s="90" t="str">
        <x:v>Core</x:v>
      </x:c>
      <x:c r="F102" s="90" t="str">
        <x:v>Yes</x:v>
      </x:c>
      <x:c r="G102" s="90" t="str">
        <x:v>Yes — bundled</x:v>
      </x:c>
      <x:c r="H102" s="90" t="str">
        <x:v>Transitions, Specialty Services &amp; Field Safety</x:v>
      </x:c>
      <x:c r="I102" s="90" t="str">
        <x:v>80% quiz plus skill check before specialty assignment</x:v>
      </x:c>
      <x:c r="J102" s="90" t="str">
        <x:v>By day 14; before independent duty if earlier</x:v>
      </x:c>
      <x:c r="K102" s="90" t="str">
        <x:v>At hire; then on material revision</x:v>
      </x:c>
      <x:c r="L102" s="90" t="str">
        <x:v>Conditional</x:v>
      </x:c>
      <x:c r="M102" s="90" t="str">
        <x:v>Combines universal transition duties with task-, population-, and field-triggered procedures.</x:v>
      </x:c>
      <x:c r="N102" s="90" t="str">
        <x:v>12-allPoliciesContent.generated.ts — RM-PS-001</x:v>
      </x:c>
      <x:c r="O102" s="90" t="str"/>
      <x:c r="P102" s="90" t="str"/>
    </x:row>
    <x:row r="103" ht="42" customHeight="1">
      <x:c r="A103" s="90" t="str">
        <x:v>LVN-05</x:v>
      </x:c>
      <x:c r="B103" s="90" t="str">
        <x:v>LVN</x:v>
      </x:c>
      <x:c r="C103" s="90" t="str">
        <x:v>RM-PS-002</x:v>
      </x:c>
      <x:c r="D103" s="90" t="str">
        <x:v>Hazardous Materials &amp; Waste Management</x:v>
      </x:c>
      <x:c r="E103" s="90" t="str">
        <x:v>Conditional</x:v>
      </x:c>
      <x:c r="F103" s="90" t="str">
        <x:v>Yes</x:v>
      </x:c>
      <x:c r="G103" s="90" t="str">
        <x:v>Yes — bundled</x:v>
      </x:c>
      <x:c r="H103" s="90" t="str">
        <x:v>Transitions, Specialty Services &amp; Field Safety</x:v>
      </x:c>
      <x:c r="I103" s="90" t="str">
        <x:v>80% quiz plus skill check before specialty assignment</x:v>
      </x:c>
      <x:c r="J103" s="90" t="str">
        <x:v>By day 14; before independent duty if earlier</x:v>
      </x:c>
      <x:c r="K103" s="90" t="str">
        <x:v>At hire; then on material revision</x:v>
      </x:c>
      <x:c r="L103" s="90" t="str">
        <x:v>Conditional</x:v>
      </x:c>
      <x:c r="M103" s="90" t="str">
        <x:v>Combines universal transition duties with task-, population-, and field-triggered procedures.</x:v>
      </x:c>
      <x:c r="N103" s="90" t="str">
        <x:v>12-allPoliciesContent.generated.ts — RM-PS-002</x:v>
      </x:c>
      <x:c r="O103" s="90" t="str"/>
      <x:c r="P103" s="90" t="str"/>
    </x:row>
    <x:row r="104" ht="42" customHeight="1">
      <x:c r="A104" s="90" t="str">
        <x:v>LVN-05</x:v>
      </x:c>
      <x:c r="B104" s="90" t="str">
        <x:v>LVN</x:v>
      </x:c>
      <x:c r="C104" s="90" t="str">
        <x:v>RM-PS-003</x:v>
      </x:c>
      <x:c r="D104" s="90" t="str">
        <x:v>Product &amp; Equipment Safety Recall Management</x:v>
      </x:c>
      <x:c r="E104" s="90" t="str">
        <x:v>Conditional</x:v>
      </x:c>
      <x:c r="F104" s="90" t="str">
        <x:v>Yes</x:v>
      </x:c>
      <x:c r="G104" s="90" t="str">
        <x:v>Yes — bundled</x:v>
      </x:c>
      <x:c r="H104" s="90" t="str">
        <x:v>Transitions, Specialty Services &amp; Field Safety</x:v>
      </x:c>
      <x:c r="I104" s="90" t="str">
        <x:v>80% quiz plus skill check before specialty assignment</x:v>
      </x:c>
      <x:c r="J104" s="90" t="str">
        <x:v>By day 14; before independent duty if earlier</x:v>
      </x:c>
      <x:c r="K104" s="90" t="str">
        <x:v>At hire; then on material revision</x:v>
      </x:c>
      <x:c r="L104" s="90" t="str">
        <x:v>Conditional</x:v>
      </x:c>
      <x:c r="M104" s="90" t="str">
        <x:v>Combines universal transition duties with task-, population-, and field-triggered procedures.</x:v>
      </x:c>
      <x:c r="N104" s="90" t="str">
        <x:v>12-allPoliciesContent.generated.ts — RM-PS-003</x:v>
      </x:c>
      <x:c r="O104" s="90" t="str"/>
      <x:c r="P104" s="90" t="str"/>
    </x:row>
    <x:row r="105" ht="42" customHeight="1">
      <x:c r="A105" s="90" t="str">
        <x:v>LVN-05</x:v>
      </x:c>
      <x:c r="B105" s="90" t="str">
        <x:v>LVN</x:v>
      </x:c>
      <x:c r="C105" s="90" t="str">
        <x:v>RM-SS-001</x:v>
      </x:c>
      <x:c r="D105" s="90" t="str">
        <x:v>Staff Safety &amp; Personal Security</x:v>
      </x:c>
      <x:c r="E105" s="90" t="str">
        <x:v>Core</x:v>
      </x:c>
      <x:c r="F105" s="90" t="str">
        <x:v>Yes</x:v>
      </x:c>
      <x:c r="G105" s="90" t="str">
        <x:v>Yes — bundled</x:v>
      </x:c>
      <x:c r="H105" s="90" t="str">
        <x:v>Transitions, Specialty Services &amp; Field Safety</x:v>
      </x:c>
      <x:c r="I105" s="90" t="str">
        <x:v>80% quiz plus skill check before specialty assignment</x:v>
      </x:c>
      <x:c r="J105" s="90" t="str">
        <x:v>By day 14; before independent duty if earlier</x:v>
      </x:c>
      <x:c r="K105" s="90" t="str">
        <x:v>At hire; then on material revision</x:v>
      </x:c>
      <x:c r="L105" s="90" t="str">
        <x:v>Conditional</x:v>
      </x:c>
      <x:c r="M105" s="90" t="str">
        <x:v>Combines universal transition duties with task-, population-, and field-triggered procedures.</x:v>
      </x:c>
      <x:c r="N105" s="90" t="str">
        <x:v>12-allPoliciesContent.generated.ts — RM-SS-001</x:v>
      </x:c>
      <x:c r="O105" s="90" t="str"/>
      <x:c r="P105" s="90" t="str"/>
    </x:row>
    <x:row r="106" ht="42" customHeight="1">
      <x:c r="A106" s="90" t="str">
        <x:v>LVN-05</x:v>
      </x:c>
      <x:c r="B106" s="90" t="str">
        <x:v>LVN</x:v>
      </x:c>
      <x:c r="C106" s="90" t="str">
        <x:v>RM-SS-003</x:v>
      </x:c>
      <x:c r="D106" s="90" t="str">
        <x:v>Motor Vehicle Safety &amp; Accident Reporting</x:v>
      </x:c>
      <x:c r="E106" s="90" t="str">
        <x:v>Conditional</x:v>
      </x:c>
      <x:c r="F106" s="90" t="str">
        <x:v>Yes</x:v>
      </x:c>
      <x:c r="G106" s="90" t="str">
        <x:v>Yes — bundled</x:v>
      </x:c>
      <x:c r="H106" s="90" t="str">
        <x:v>Transitions, Specialty Services &amp; Field Safety</x:v>
      </x:c>
      <x:c r="I106" s="90" t="str">
        <x:v>80% quiz plus skill check before specialty assignment</x:v>
      </x:c>
      <x:c r="J106" s="90" t="str">
        <x:v>By day 14; before independent duty if earlier</x:v>
      </x:c>
      <x:c r="K106" s="90" t="str">
        <x:v>At hire; then on material revision</x:v>
      </x:c>
      <x:c r="L106" s="90" t="str">
        <x:v>Conditional</x:v>
      </x:c>
      <x:c r="M106" s="90" t="str">
        <x:v>Combines universal transition duties with task-, population-, and field-triggered procedures.</x:v>
      </x:c>
      <x:c r="N106" s="90" t="str">
        <x:v>12-allPoliciesContent.generated.ts — RM-SS-003</x:v>
      </x:c>
      <x:c r="O106" s="90" t="str"/>
      <x:c r="P106" s="90" t="str"/>
    </x:row>
    <x:row r="107" ht="42" customHeight="1">
      <x:c r="A107" s="90" t="str">
        <x:v>LVN-05</x:v>
      </x:c>
      <x:c r="B107" s="90" t="str">
        <x:v>LVN</x:v>
      </x:c>
      <x:c r="C107" s="90" t="str">
        <x:v>OP-SL-003</x:v>
      </x:c>
      <x:c r="D107" s="90" t="str">
        <x:v>Vehicle &amp; Transportation Safety</x:v>
      </x:c>
      <x:c r="E107" s="90" t="str">
        <x:v>Conditional</x:v>
      </x:c>
      <x:c r="F107" s="90" t="str">
        <x:v>Yes</x:v>
      </x:c>
      <x:c r="G107" s="90" t="str">
        <x:v>Yes — bundled</x:v>
      </x:c>
      <x:c r="H107" s="90" t="str">
        <x:v>Transitions, Specialty Services &amp; Field Safety</x:v>
      </x:c>
      <x:c r="I107" s="90" t="str">
        <x:v>80% quiz plus skill check before specialty assignment</x:v>
      </x:c>
      <x:c r="J107" s="90" t="str">
        <x:v>By day 14; before independent duty if earlier</x:v>
      </x:c>
      <x:c r="K107" s="90" t="str">
        <x:v>At hire; then on material revision</x:v>
      </x:c>
      <x:c r="L107" s="90" t="str">
        <x:v>Conditional</x:v>
      </x:c>
      <x:c r="M107" s="90" t="str">
        <x:v>Combines universal transition duties with task-, population-, and field-triggered procedures.</x:v>
      </x:c>
      <x:c r="N107" s="90" t="str">
        <x:v>12-allPoliciesContent.generated.ts — OP-SL-003</x:v>
      </x:c>
      <x:c r="O107" s="90" t="str"/>
      <x:c r="P107" s="90" t="str"/>
    </x:row>
    <x:row r="108" ht="42" customHeight="1">
      <x:c r="A108" s="90" t="str">
        <x:v>RN-01</x:v>
      </x:c>
      <x:c r="B108" s="90" t="str">
        <x:v>RN</x:v>
      </x:c>
      <x:c r="C108" s="90" t="str">
        <x:v>HR-JD-005</x:v>
      </x:c>
      <x:c r="D108" s="90" t="str">
        <x:v>Registered Nurse — Job Description (full policy body missing)</x:v>
      </x:c>
      <x:c r="E108" s="90" t="str">
        <x:v>Hold</x:v>
      </x:c>
      <x:c r="F108" s="90" t="str">
        <x:v>Yes</x:v>
      </x:c>
      <x:c r="G108" s="90" t="str">
        <x:v>Yes — bundled</x:v>
      </x:c>
      <x:c r="H108" s="90" t="str">
        <x:v>RN Role, Scope, HHA Supervision &amp; Competency</x:v>
      </x:c>
      <x:c r="I108" s="90" t="str">
        <x:v>80% quiz plus competency and supervised-practice evidence</x:v>
      </x:c>
      <x:c r="J108" s="90" t="str">
        <x:v>By day 14; before independent duty if earlier</x:v>
      </x:c>
      <x:c r="K108" s="90" t="str">
        <x:v>At hire; then on material revision</x:v>
      </x:c>
      <x:c r="L108" s="90" t="str">
        <x:v>Hold</x:v>
      </x:c>
      <x:c r="M108" s="90" t="str">
        <x:v>Defines RN accountability, delegation, aide supervision, and competency expectations.</x:v>
      </x:c>
      <x:c r="N108" s="90" t="str">
        <x:v>Source gap: referenced in taxonomy/crosswalk, but full generated policy body is absent</x:v>
      </x:c>
      <x:c r="O108" s="90" t="str">
        <x:v>https://www.ecfr.gov/current/title-42/part-484/section-484.105</x:v>
      </x:c>
      <x:c r="P108" s="90" t="str"/>
    </x:row>
    <x:row r="109" ht="42" customHeight="1">
      <x:c r="A109" s="90" t="str">
        <x:v>RN-01</x:v>
      </x:c>
      <x:c r="B109" s="90" t="str">
        <x:v>RN</x:v>
      </x:c>
      <x:c r="C109" s="90" t="str">
        <x:v>HR-JD-000</x:v>
      </x:c>
      <x:c r="D109" s="90" t="str">
        <x:v>Job Description Framework &amp; Organizational Chart</x:v>
      </x:c>
      <x:c r="E109" s="90" t="str">
        <x:v>Core</x:v>
      </x:c>
      <x:c r="F109" s="90" t="str">
        <x:v>Yes</x:v>
      </x:c>
      <x:c r="G109" s="90" t="str">
        <x:v>Yes — bundled</x:v>
      </x:c>
      <x:c r="H109" s="90" t="str">
        <x:v>RN Role, Scope, HHA Supervision &amp; Competency</x:v>
      </x:c>
      <x:c r="I109" s="90" t="str">
        <x:v>80% quiz plus competency and supervised-practice evidence</x:v>
      </x:c>
      <x:c r="J109" s="90" t="str">
        <x:v>By day 14; before independent duty if earlier</x:v>
      </x:c>
      <x:c r="K109" s="90" t="str">
        <x:v>At hire; then on material revision</x:v>
      </x:c>
      <x:c r="L109" s="90" t="str">
        <x:v>Partial hold</x:v>
      </x:c>
      <x:c r="M109" s="90" t="str">
        <x:v>Defines RN accountability, delegation, aide supervision, and competency expectations.</x:v>
      </x:c>
      <x:c r="N109" s="90" t="str">
        <x:v>12-allPoliciesContent.generated.ts — HR-JD-000</x:v>
      </x:c>
      <x:c r="O109" s="90" t="str">
        <x:v>https://www.ecfr.gov/current/title-42/part-484/section-484.105</x:v>
      </x:c>
      <x:c r="P109" s="90" t="str"/>
    </x:row>
    <x:row r="110" ht="42" customHeight="1">
      <x:c r="A110" s="90" t="str">
        <x:v>RN-01</x:v>
      </x:c>
      <x:c r="B110" s="90" t="str">
        <x:v>RN</x:v>
      </x:c>
      <x:c r="C110" s="90" t="str">
        <x:v>CL-SD-001</x:v>
      </x:c>
      <x:c r="D110" s="90" t="str">
        <x:v>Skilled Nursing Assessment &amp; Services</x:v>
      </x:c>
      <x:c r="E110" s="90" t="str">
        <x:v>Core</x:v>
      </x:c>
      <x:c r="F110" s="90" t="str">
        <x:v>Yes</x:v>
      </x:c>
      <x:c r="G110" s="90" t="str">
        <x:v>Yes — bundled</x:v>
      </x:c>
      <x:c r="H110" s="90" t="str">
        <x:v>RN Role, Scope, HHA Supervision &amp; Competency</x:v>
      </x:c>
      <x:c r="I110" s="90" t="str">
        <x:v>80% quiz plus competency and supervised-practice evidence</x:v>
      </x:c>
      <x:c r="J110" s="90" t="str">
        <x:v>By day 14; before independent duty if earlier</x:v>
      </x:c>
      <x:c r="K110" s="90" t="str">
        <x:v>At hire; then on material revision</x:v>
      </x:c>
      <x:c r="L110" s="90" t="str">
        <x:v>Partial hold</x:v>
      </x:c>
      <x:c r="M110" s="90" t="str">
        <x:v>Defines RN accountability, delegation, aide supervision, and competency expectations.</x:v>
      </x:c>
      <x:c r="N110" s="90" t="str">
        <x:v>12-allPoliciesContent.generated.ts — CL-SD-001</x:v>
      </x:c>
      <x:c r="O110" s="90" t="str">
        <x:v>https://www.ecfr.gov/current/title-42/part-484/section-484.75</x:v>
      </x:c>
      <x:c r="P110" s="90" t="str"/>
    </x:row>
    <x:row r="111" ht="42" customHeight="1">
      <x:c r="A111" s="90" t="str">
        <x:v>RN-01</x:v>
      </x:c>
      <x:c r="B111" s="90" t="str">
        <x:v>RN</x:v>
      </x:c>
      <x:c r="C111" s="90" t="str">
        <x:v>CL-SD-006</x:v>
      </x:c>
      <x:c r="D111" s="90" t="str">
        <x:v>Home Health Aide Services &amp; Supervision</x:v>
      </x:c>
      <x:c r="E111" s="90" t="str">
        <x:v>Core</x:v>
      </x:c>
      <x:c r="F111" s="90" t="str">
        <x:v>Yes</x:v>
      </x:c>
      <x:c r="G111" s="90" t="str">
        <x:v>Yes — bundled</x:v>
      </x:c>
      <x:c r="H111" s="90" t="str">
        <x:v>RN Role, Scope, HHA Supervision &amp; Competency</x:v>
      </x:c>
      <x:c r="I111" s="90" t="str">
        <x:v>80% quiz plus competency and supervised-practice evidence</x:v>
      </x:c>
      <x:c r="J111" s="90" t="str">
        <x:v>By day 14; before independent duty if earlier</x:v>
      </x:c>
      <x:c r="K111" s="90" t="str">
        <x:v>At hire; then on material revision</x:v>
      </x:c>
      <x:c r="L111" s="90" t="str">
        <x:v>Partial hold</x:v>
      </x:c>
      <x:c r="M111" s="90" t="str">
        <x:v>Defines RN accountability, delegation, aide supervision, and competency expectations.</x:v>
      </x:c>
      <x:c r="N111" s="90" t="str">
        <x:v>12-allPoliciesContent.generated.ts — CL-SD-006</x:v>
      </x:c>
      <x:c r="O111" s="90" t="str">
        <x:v>https://www.ecfr.gov/current/title-42/part-484/section-484.80</x:v>
      </x:c>
      <x:c r="P111" s="90" t="str"/>
    </x:row>
    <x:row r="112" ht="42" customHeight="1">
      <x:c r="A112" s="90" t="str">
        <x:v>RN-01</x:v>
      </x:c>
      <x:c r="B112" s="90" t="str">
        <x:v>RN</x:v>
      </x:c>
      <x:c r="C112" s="90" t="str">
        <x:v>CL-SD-007</x:v>
      </x:c>
      <x:c r="D112" s="90" t="str">
        <x:v>Home Health Aide Competency Evaluation</x:v>
      </x:c>
      <x:c r="E112" s="90" t="str">
        <x:v>Core</x:v>
      </x:c>
      <x:c r="F112" s="90" t="str">
        <x:v>Yes</x:v>
      </x:c>
      <x:c r="G112" s="90" t="str">
        <x:v>Yes — bundled</x:v>
      </x:c>
      <x:c r="H112" s="90" t="str">
        <x:v>RN Role, Scope, HHA Supervision &amp; Competency</x:v>
      </x:c>
      <x:c r="I112" s="90" t="str">
        <x:v>80% quiz plus competency and supervised-practice evidence</x:v>
      </x:c>
      <x:c r="J112" s="90" t="str">
        <x:v>By day 14; before independent duty if earlier</x:v>
      </x:c>
      <x:c r="K112" s="90" t="str">
        <x:v>At hire; then on material revision</x:v>
      </x:c>
      <x:c r="L112" s="90" t="str">
        <x:v>Partial hold</x:v>
      </x:c>
      <x:c r="M112" s="90" t="str">
        <x:v>Defines RN accountability, delegation, aide supervision, and competency expectations.</x:v>
      </x:c>
      <x:c r="N112" s="90" t="str">
        <x:v>12-allPoliciesContent.generated.ts — CL-SD-007</x:v>
      </x:c>
      <x:c r="O112" s="90" t="str">
        <x:v>https://www.ecfr.gov/current/title-42/part-484/section-484.80</x:v>
      </x:c>
      <x:c r="P112" s="90" t="str"/>
    </x:row>
    <x:row r="113" ht="42" customHeight="1">
      <x:c r="A113" s="90" t="str">
        <x:v>RN-01</x:v>
      </x:c>
      <x:c r="B113" s="90" t="str">
        <x:v>RN</x:v>
      </x:c>
      <x:c r="C113" s="90" t="str">
        <x:v>CL-SD-008</x:v>
      </x:c>
      <x:c r="D113" s="90" t="str">
        <x:v>Clinical Supervision &amp; Oversight</x:v>
      </x:c>
      <x:c r="E113" s="90" t="str">
        <x:v>Core</x:v>
      </x:c>
      <x:c r="F113" s="90" t="str">
        <x:v>Yes</x:v>
      </x:c>
      <x:c r="G113" s="90" t="str">
        <x:v>Yes — bundled</x:v>
      </x:c>
      <x:c r="H113" s="90" t="str">
        <x:v>RN Role, Scope, HHA Supervision &amp; Competency</x:v>
      </x:c>
      <x:c r="I113" s="90" t="str">
        <x:v>80% quiz plus competency and supervised-practice evidence</x:v>
      </x:c>
      <x:c r="J113" s="90" t="str">
        <x:v>By day 14; before independent duty if earlier</x:v>
      </x:c>
      <x:c r="K113" s="90" t="str">
        <x:v>At hire; then on material revision</x:v>
      </x:c>
      <x:c r="L113" s="90" t="str">
        <x:v>Partial hold</x:v>
      </x:c>
      <x:c r="M113" s="90" t="str">
        <x:v>Defines RN accountability, delegation, aide supervision, and competency expectations.</x:v>
      </x:c>
      <x:c r="N113" s="90" t="str">
        <x:v>12-allPoliciesContent.generated.ts — CL-SD-008</x:v>
      </x:c>
      <x:c r="O113" s="90" t="str">
        <x:v>https://www.ecfr.gov/current/title-42/part-484/section-484.75</x:v>
      </x:c>
      <x:c r="P113" s="90" t="str"/>
    </x:row>
    <x:row r="114" ht="42" customHeight="1">
      <x:c r="A114" s="90" t="str">
        <x:v>RN-01</x:v>
      </x:c>
      <x:c r="B114" s="90" t="str">
        <x:v>RN</x:v>
      </x:c>
      <x:c r="C114" s="90" t="str">
        <x:v>HR-TA-006</x:v>
      </x:c>
      <x:c r="D114" s="90" t="str">
        <x:v>Job Description &amp; Role Definition</x:v>
      </x:c>
      <x:c r="E114" s="90" t="str">
        <x:v>Core</x:v>
      </x:c>
      <x:c r="F114" s="90" t="str">
        <x:v>Yes</x:v>
      </x:c>
      <x:c r="G114" s="90" t="str">
        <x:v>Yes — bundled</x:v>
      </x:c>
      <x:c r="H114" s="90" t="str">
        <x:v>RN Role, Scope, HHA Supervision &amp; Competency</x:v>
      </x:c>
      <x:c r="I114" s="90" t="str">
        <x:v>80% quiz plus competency and supervised-practice evidence</x:v>
      </x:c>
      <x:c r="J114" s="90" t="str">
        <x:v>By day 14; before independent duty if earlier</x:v>
      </x:c>
      <x:c r="K114" s="90" t="str">
        <x:v>At hire; then on material revision</x:v>
      </x:c>
      <x:c r="L114" s="90" t="str">
        <x:v>Partial hold</x:v>
      </x:c>
      <x:c r="M114" s="90" t="str">
        <x:v>Defines RN accountability, delegation, aide supervision, and competency expectations.</x:v>
      </x:c>
      <x:c r="N114" s="90" t="str">
        <x:v>12-allPoliciesContent.generated.ts — HR-TA-006</x:v>
      </x:c>
      <x:c r="O114" s="90" t="str"/>
      <x:c r="P114" s="90" t="str"/>
    </x:row>
    <x:row r="115" ht="42" customHeight="1">
      <x:c r="A115" s="90" t="str">
        <x:v>RN-01</x:v>
      </x:c>
      <x:c r="B115" s="90" t="str">
        <x:v>RN</x:v>
      </x:c>
      <x:c r="C115" s="90" t="str">
        <x:v>HR-TD-003</x:v>
      </x:c>
      <x:c r="D115" s="90" t="str">
        <x:v>Clinical Staff Competency Evaluation</x:v>
      </x:c>
      <x:c r="E115" s="90" t="str">
        <x:v>Core</x:v>
      </x:c>
      <x:c r="F115" s="90" t="str">
        <x:v>Yes</x:v>
      </x:c>
      <x:c r="G115" s="90" t="str">
        <x:v>Yes — bundled</x:v>
      </x:c>
      <x:c r="H115" s="90" t="str">
        <x:v>RN Role, Scope, HHA Supervision &amp; Competency</x:v>
      </x:c>
      <x:c r="I115" s="90" t="str">
        <x:v>80% quiz plus competency and supervised-practice evidence</x:v>
      </x:c>
      <x:c r="J115" s="90" t="str">
        <x:v>By day 14; before independent duty if earlier</x:v>
      </x:c>
      <x:c r="K115" s="90" t="str">
        <x:v>At hire; then on material revision</x:v>
      </x:c>
      <x:c r="L115" s="90" t="str">
        <x:v>Partial hold</x:v>
      </x:c>
      <x:c r="M115" s="90" t="str">
        <x:v>Defines RN accountability, delegation, aide supervision, and competency expectations.</x:v>
      </x:c>
      <x:c r="N115" s="90" t="str">
        <x:v>12-allPoliciesContent.generated.ts — HR-TD-003</x:v>
      </x:c>
      <x:c r="O115" s="90" t="str"/>
      <x:c r="P115" s="90" t="str"/>
    </x:row>
    <x:row r="116" ht="42" customHeight="1">
      <x:c r="A116" s="90" t="str">
        <x:v>RN-02</x:v>
      </x:c>
      <x:c r="B116" s="90" t="str">
        <x:v>RN</x:v>
      </x:c>
      <x:c r="C116" s="90" t="str">
        <x:v>CL-CD-001</x:v>
      </x:c>
      <x:c r="D116" s="90" t="str">
        <x:v>Clinical Documentation Standards</x:v>
      </x:c>
      <x:c r="E116" s="90" t="str">
        <x:v>Core</x:v>
      </x:c>
      <x:c r="F116" s="90" t="str">
        <x:v>Yes</x:v>
      </x:c>
      <x:c r="G116" s="90" t="str">
        <x:v>Yes — bundled</x:v>
      </x:c>
      <x:c r="H116" s="90" t="str">
        <x:v>Documentation, Plan of Care &amp; Order Lifecycle</x:v>
      </x:c>
      <x:c r="I116" s="90" t="str">
        <x:v>80% quiz plus documentation/order case</x:v>
      </x:c>
      <x:c r="J116" s="90" t="str">
        <x:v>By day 14; before independent duty if earlier</x:v>
      </x:c>
      <x:c r="K116" s="90" t="str">
        <x:v>At hire; then on material revision</x:v>
      </x:c>
      <x:c r="L116" s="90" t="str">
        <x:v>Ready</x:v>
      </x:c>
      <x:c r="M116" s="90" t="str">
        <x:v>RN case management depends on compliant documentation, order handling, coordination, recertification, transfer, and discharge.</x:v>
      </x:c>
      <x:c r="N116" s="90" t="str">
        <x:v>12-allPoliciesContent.generated.ts — CL-CD-001</x:v>
      </x:c>
      <x:c r="O116" s="90" t="str">
        <x:v>https://www.ecfr.gov/current/title-42/part-484/section-484.110</x:v>
      </x:c>
      <x:c r="P116" s="90" t="str"/>
    </x:row>
    <x:row r="117" ht="42" customHeight="1">
      <x:c r="A117" s="90" t="str">
        <x:v>RN-02</x:v>
      </x:c>
      <x:c r="B117" s="90" t="str">
        <x:v>RN</x:v>
      </x:c>
      <x:c r="C117" s="90" t="str">
        <x:v>CL-CD-002</x:v>
      </x:c>
      <x:c r="D117" s="90" t="str">
        <x:v>Clinical Record Content &amp; Organization</x:v>
      </x:c>
      <x:c r="E117" s="90" t="str">
        <x:v>Core</x:v>
      </x:c>
      <x:c r="F117" s="90" t="str">
        <x:v>Yes</x:v>
      </x:c>
      <x:c r="G117" s="90" t="str">
        <x:v>Yes — bundled</x:v>
      </x:c>
      <x:c r="H117" s="90" t="str">
        <x:v>Documentation, Plan of Care &amp; Order Lifecycle</x:v>
      </x:c>
      <x:c r="I117" s="90" t="str">
        <x:v>80% quiz plus documentation/order case</x:v>
      </x:c>
      <x:c r="J117" s="90" t="str">
        <x:v>By day 14; before independent duty if earlier</x:v>
      </x:c>
      <x:c r="K117" s="90" t="str">
        <x:v>At hire; then on material revision</x:v>
      </x:c>
      <x:c r="L117" s="90" t="str">
        <x:v>Ready</x:v>
      </x:c>
      <x:c r="M117" s="90" t="str">
        <x:v>RN case management depends on compliant documentation, order handling, coordination, recertification, transfer, and discharge.</x:v>
      </x:c>
      <x:c r="N117" s="90" t="str">
        <x:v>12-allPoliciesContent.generated.ts — CL-CD-002</x:v>
      </x:c>
      <x:c r="O117" s="90" t="str">
        <x:v>https://www.ecfr.gov/current/title-42/part-484/section-484.110</x:v>
      </x:c>
      <x:c r="P117" s="90" t="str"/>
    </x:row>
    <x:row r="118" ht="42" customHeight="1">
      <x:c r="A118" s="90" t="str">
        <x:v>RN-02</x:v>
      </x:c>
      <x:c r="B118" s="90" t="str">
        <x:v>RN</x:v>
      </x:c>
      <x:c r="C118" s="90" t="str">
        <x:v>CL-CD-003</x:v>
      </x:c>
      <x:c r="D118" s="90" t="str">
        <x:v>Clinical Record Authentication &amp; Signature Requirements</x:v>
      </x:c>
      <x:c r="E118" s="90" t="str">
        <x:v>Core</x:v>
      </x:c>
      <x:c r="F118" s="90" t="str">
        <x:v>Yes</x:v>
      </x:c>
      <x:c r="G118" s="90" t="str">
        <x:v>Yes — bundled</x:v>
      </x:c>
      <x:c r="H118" s="90" t="str">
        <x:v>Documentation, Plan of Care &amp; Order Lifecycle</x:v>
      </x:c>
      <x:c r="I118" s="90" t="str">
        <x:v>80% quiz plus documentation/order case</x:v>
      </x:c>
      <x:c r="J118" s="90" t="str">
        <x:v>By day 14; before independent duty if earlier</x:v>
      </x:c>
      <x:c r="K118" s="90" t="str">
        <x:v>At hire; then on material revision</x:v>
      </x:c>
      <x:c r="L118" s="90" t="str">
        <x:v>Ready</x:v>
      </x:c>
      <x:c r="M118" s="90" t="str">
        <x:v>RN case management depends on compliant documentation, order handling, coordination, recertification, transfer, and discharge.</x:v>
      </x:c>
      <x:c r="N118" s="90" t="str">
        <x:v>12-allPoliciesContent.generated.ts — CL-CD-003</x:v>
      </x:c>
      <x:c r="O118" s="90" t="str">
        <x:v>https://www.ecfr.gov/current/title-42/part-484/section-484.110</x:v>
      </x:c>
      <x:c r="P118" s="90" t="str"/>
    </x:row>
    <x:row r="119" ht="42" customHeight="1">
      <x:c r="A119" s="90" t="str">
        <x:v>RN-02</x:v>
      </x:c>
      <x:c r="B119" s="90" t="str">
        <x:v>RN</x:v>
      </x:c>
      <x:c r="C119" s="90" t="str">
        <x:v>CL-CD-004</x:v>
      </x:c>
      <x:c r="D119" s="90" t="str">
        <x:v>Timely Documentation Completion &amp; Lock Requirements</x:v>
      </x:c>
      <x:c r="E119" s="90" t="str">
        <x:v>Core</x:v>
      </x:c>
      <x:c r="F119" s="90" t="str">
        <x:v>Yes</x:v>
      </x:c>
      <x:c r="G119" s="90" t="str">
        <x:v>Yes — bundled</x:v>
      </x:c>
      <x:c r="H119" s="90" t="str">
        <x:v>Documentation, Plan of Care &amp; Order Lifecycle</x:v>
      </x:c>
      <x:c r="I119" s="90" t="str">
        <x:v>80% quiz plus documentation/order case</x:v>
      </x:c>
      <x:c r="J119" s="90" t="str">
        <x:v>By day 14; before independent duty if earlier</x:v>
      </x:c>
      <x:c r="K119" s="90" t="str">
        <x:v>At hire; then on material revision</x:v>
      </x:c>
      <x:c r="L119" s="90" t="str">
        <x:v>Ready</x:v>
      </x:c>
      <x:c r="M119" s="90" t="str">
        <x:v>RN case management depends on compliant documentation, order handling, coordination, recertification, transfer, and discharge.</x:v>
      </x:c>
      <x:c r="N119" s="90" t="str">
        <x:v>12-allPoliciesContent.generated.ts — CL-CD-004</x:v>
      </x:c>
      <x:c r="O119" s="90" t="str">
        <x:v>https://www.ecfr.gov/current/title-42/part-484/section-484.110</x:v>
      </x:c>
      <x:c r="P119" s="90" t="str"/>
    </x:row>
    <x:row r="120" ht="42" customHeight="1">
      <x:c r="A120" s="90" t="str">
        <x:v>RN-02</x:v>
      </x:c>
      <x:c r="B120" s="90" t="str">
        <x:v>RN</x:v>
      </x:c>
      <x:c r="C120" s="90" t="str">
        <x:v>CO-DC-001</x:v>
      </x:c>
      <x:c r="D120" s="90" t="str">
        <x:v>Assessment Audit Trail and Data Integrity</x:v>
      </x:c>
      <x:c r="E120" s="90" t="str">
        <x:v>Core</x:v>
      </x:c>
      <x:c r="F120" s="90" t="str">
        <x:v>Yes</x:v>
      </x:c>
      <x:c r="G120" s="90" t="str">
        <x:v>Yes — bundled</x:v>
      </x:c>
      <x:c r="H120" s="90" t="str">
        <x:v>Documentation, Plan of Care &amp; Order Lifecycle</x:v>
      </x:c>
      <x:c r="I120" s="90" t="str">
        <x:v>80% quiz plus documentation/order case</x:v>
      </x:c>
      <x:c r="J120" s="90" t="str">
        <x:v>By day 14; before independent duty if earlier</x:v>
      </x:c>
      <x:c r="K120" s="90" t="str">
        <x:v>At hire; then on material revision</x:v>
      </x:c>
      <x:c r="L120" s="90" t="str">
        <x:v>Ready</x:v>
      </x:c>
      <x:c r="M120" s="90" t="str">
        <x:v>RN case management depends on compliant documentation, order handling, coordination, recertification, transfer, and discharge.</x:v>
      </x:c>
      <x:c r="N120" s="90" t="str">
        <x:v>12-allPoliciesContent.generated.ts — CO-DC-001</x:v>
      </x:c>
      <x:c r="O120" s="90" t="str">
        <x:v>https://www.ecfr.gov/current/title-42/part-484/section-484.110</x:v>
      </x:c>
      <x:c r="P120" s="90" t="str"/>
    </x:row>
    <x:row r="121" ht="42" customHeight="1">
      <x:c r="A121" s="90" t="str">
        <x:v>RN-02</x:v>
      </x:c>
      <x:c r="B121" s="90" t="str">
        <x:v>RN</x:v>
      </x:c>
      <x:c r="C121" s="90" t="str">
        <x:v>CO-DC-003</x:v>
      </x:c>
      <x:c r="D121" s="90" t="str">
        <x:v>Late Entry, Correction &amp; Amendment Standards</x:v>
      </x:c>
      <x:c r="E121" s="90" t="str">
        <x:v>Core</x:v>
      </x:c>
      <x:c r="F121" s="90" t="str">
        <x:v>Yes</x:v>
      </x:c>
      <x:c r="G121" s="90" t="str">
        <x:v>Yes — bundled</x:v>
      </x:c>
      <x:c r="H121" s="90" t="str">
        <x:v>Documentation, Plan of Care &amp; Order Lifecycle</x:v>
      </x:c>
      <x:c r="I121" s="90" t="str">
        <x:v>80% quiz plus documentation/order case</x:v>
      </x:c>
      <x:c r="J121" s="90" t="str">
        <x:v>By day 14; before independent duty if earlier</x:v>
      </x:c>
      <x:c r="K121" s="90" t="str">
        <x:v>At hire; then on material revision</x:v>
      </x:c>
      <x:c r="L121" s="90" t="str">
        <x:v>Ready</x:v>
      </x:c>
      <x:c r="M121" s="90" t="str">
        <x:v>RN case management depends on compliant documentation, order handling, coordination, recertification, transfer, and discharge.</x:v>
      </x:c>
      <x:c r="N121" s="90" t="str">
        <x:v>12-allPoliciesContent.generated.ts — CO-DC-003</x:v>
      </x:c>
      <x:c r="O121" s="90" t="str">
        <x:v>https://www.ecfr.gov/current/title-42/part-484/section-484.110</x:v>
      </x:c>
      <x:c r="P121" s="90" t="str"/>
    </x:row>
    <x:row r="122" ht="42" customHeight="1">
      <x:c r="A122" s="90" t="str">
        <x:v>RN-02</x:v>
      </x:c>
      <x:c r="B122" s="90" t="str">
        <x:v>RN</x:v>
      </x:c>
      <x:c r="C122" s="90" t="str">
        <x:v>CL-CP-001</x:v>
      </x:c>
      <x:c r="D122" s="90" t="str">
        <x:v>Plan of Care Development &amp; Approval</x:v>
      </x:c>
      <x:c r="E122" s="90" t="str">
        <x:v>Core</x:v>
      </x:c>
      <x:c r="F122" s="90" t="str">
        <x:v>Yes</x:v>
      </x:c>
      <x:c r="G122" s="90" t="str">
        <x:v>Yes — bundled</x:v>
      </x:c>
      <x:c r="H122" s="90" t="str">
        <x:v>Documentation, Plan of Care &amp; Order Lifecycle</x:v>
      </x:c>
      <x:c r="I122" s="90" t="str">
        <x:v>80% quiz plus documentation/order case</x:v>
      </x:c>
      <x:c r="J122" s="90" t="str">
        <x:v>By day 14; before independent duty if earlier</x:v>
      </x:c>
      <x:c r="K122" s="90" t="str">
        <x:v>At hire; then on material revision</x:v>
      </x:c>
      <x:c r="L122" s="90" t="str">
        <x:v>Ready</x:v>
      </x:c>
      <x:c r="M122" s="90" t="str">
        <x:v>RN case management depends on compliant documentation, order handling, coordination, recertification, transfer, and discharge.</x:v>
      </x:c>
      <x:c r="N122" s="90" t="str">
        <x:v>12-allPoliciesContent.generated.ts — CL-CP-001</x:v>
      </x:c>
      <x:c r="O122" s="90" t="str">
        <x:v>https://www.ecfr.gov/current/title-42/part-484/section-484.60</x:v>
      </x:c>
      <x:c r="P122" s="90" t="str"/>
    </x:row>
    <x:row r="123" ht="42" customHeight="1">
      <x:c r="A123" s="90" t="str">
        <x:v>RN-02</x:v>
      </x:c>
      <x:c r="B123" s="90" t="str">
        <x:v>RN</x:v>
      </x:c>
      <x:c r="C123" s="90" t="str">
        <x:v>CL-CP-002</x:v>
      </x:c>
      <x:c r="D123" s="90" t="str">
        <x:v>Plan of Care Review &amp; Update</x:v>
      </x:c>
      <x:c r="E123" s="90" t="str">
        <x:v>Core</x:v>
      </x:c>
      <x:c r="F123" s="90" t="str">
        <x:v>Yes</x:v>
      </x:c>
      <x:c r="G123" s="90" t="str">
        <x:v>Yes — bundled</x:v>
      </x:c>
      <x:c r="H123" s="90" t="str">
        <x:v>Documentation, Plan of Care &amp; Order Lifecycle</x:v>
      </x:c>
      <x:c r="I123" s="90" t="str">
        <x:v>80% quiz plus documentation/order case</x:v>
      </x:c>
      <x:c r="J123" s="90" t="str">
        <x:v>By day 14; before independent duty if earlier</x:v>
      </x:c>
      <x:c r="K123" s="90" t="str">
        <x:v>At hire; then on material revision</x:v>
      </x:c>
      <x:c r="L123" s="90" t="str">
        <x:v>Ready</x:v>
      </x:c>
      <x:c r="M123" s="90" t="str">
        <x:v>RN case management depends on compliant documentation, order handling, coordination, recertification, transfer, and discharge.</x:v>
      </x:c>
      <x:c r="N123" s="90" t="str">
        <x:v>12-allPoliciesContent.generated.ts — CL-CP-002</x:v>
      </x:c>
      <x:c r="O123" s="90" t="str">
        <x:v>https://www.ecfr.gov/current/title-42/part-484/section-484.60</x:v>
      </x:c>
      <x:c r="P123" s="90" t="str"/>
    </x:row>
    <x:row r="124" ht="42" customHeight="1">
      <x:c r="A124" s="90" t="str">
        <x:v>RN-02</x:v>
      </x:c>
      <x:c r="B124" s="90" t="str">
        <x:v>RN</x:v>
      </x:c>
      <x:c r="C124" s="90" t="str">
        <x:v>CL-CP-003</x:v>
      </x:c>
      <x:c r="D124" s="90" t="str">
        <x:v>Physician Orders &amp; Order Management</x:v>
      </x:c>
      <x:c r="E124" s="90" t="str">
        <x:v>Core</x:v>
      </x:c>
      <x:c r="F124" s="90" t="str">
        <x:v>Yes</x:v>
      </x:c>
      <x:c r="G124" s="90" t="str">
        <x:v>Yes — bundled</x:v>
      </x:c>
      <x:c r="H124" s="90" t="str">
        <x:v>Documentation, Plan of Care &amp; Order Lifecycle</x:v>
      </x:c>
      <x:c r="I124" s="90" t="str">
        <x:v>80% quiz plus documentation/order case</x:v>
      </x:c>
      <x:c r="J124" s="90" t="str">
        <x:v>By day 14; before independent duty if earlier</x:v>
      </x:c>
      <x:c r="K124" s="90" t="str">
        <x:v>At hire; then on material revision</x:v>
      </x:c>
      <x:c r="L124" s="90" t="str">
        <x:v>Ready</x:v>
      </x:c>
      <x:c r="M124" s="90" t="str">
        <x:v>RN case management depends on compliant documentation, order handling, coordination, recertification, transfer, and discharge.</x:v>
      </x:c>
      <x:c r="N124" s="90" t="str">
        <x:v>12-allPoliciesContent.generated.ts — CL-CP-003</x:v>
      </x:c>
      <x:c r="O124" s="90" t="str">
        <x:v>https://www.ecfr.gov/current/title-42/part-484/section-484.60</x:v>
      </x:c>
      <x:c r="P124" s="90" t="str"/>
    </x:row>
    <x:row r="125" ht="42" customHeight="1">
      <x:c r="A125" s="90" t="str">
        <x:v>RN-02</x:v>
      </x:c>
      <x:c r="B125" s="90" t="str">
        <x:v>RN</x:v>
      </x:c>
      <x:c r="C125" s="90" t="str">
        <x:v>CL-CP-004</x:v>
      </x:c>
      <x:c r="D125" s="90" t="str">
        <x:v>Verbal Order Receipt &amp; Authentication</x:v>
      </x:c>
      <x:c r="E125" s="90" t="str">
        <x:v>Core</x:v>
      </x:c>
      <x:c r="F125" s="90" t="str">
        <x:v>Yes</x:v>
      </x:c>
      <x:c r="G125" s="90" t="str">
        <x:v>Yes — bundled</x:v>
      </x:c>
      <x:c r="H125" s="90" t="str">
        <x:v>Documentation, Plan of Care &amp; Order Lifecycle</x:v>
      </x:c>
      <x:c r="I125" s="90" t="str">
        <x:v>80% quiz plus documentation/order case</x:v>
      </x:c>
      <x:c r="J125" s="90" t="str">
        <x:v>By day 14; before independent duty if earlier</x:v>
      </x:c>
      <x:c r="K125" s="90" t="str">
        <x:v>At hire; then on material revision</x:v>
      </x:c>
      <x:c r="L125" s="90" t="str">
        <x:v>Ready</x:v>
      </x:c>
      <x:c r="M125" s="90" t="str">
        <x:v>RN case management depends on compliant documentation, order handling, coordination, recertification, transfer, and discharge.</x:v>
      </x:c>
      <x:c r="N125" s="90" t="str">
        <x:v>12-allPoliciesContent.generated.ts — CL-CP-004</x:v>
      </x:c>
      <x:c r="O125" s="90" t="str">
        <x:v>https://www.ecfr.gov/current/title-42/part-484/section-484.60</x:v>
      </x:c>
      <x:c r="P125" s="90" t="str"/>
    </x:row>
    <x:row r="126" ht="42" customHeight="1">
      <x:c r="A126" s="90" t="str">
        <x:v>RN-02</x:v>
      </x:c>
      <x:c r="B126" s="90" t="str">
        <x:v>RN</x:v>
      </x:c>
      <x:c r="C126" s="90" t="str">
        <x:v>CL-CP-005</x:v>
      </x:c>
      <x:c r="D126" s="90" t="str">
        <x:v>Coordination of Care</x:v>
      </x:c>
      <x:c r="E126" s="90" t="str">
        <x:v>Core</x:v>
      </x:c>
      <x:c r="F126" s="90" t="str">
        <x:v>Yes</x:v>
      </x:c>
      <x:c r="G126" s="90" t="str">
        <x:v>Yes — bundled</x:v>
      </x:c>
      <x:c r="H126" s="90" t="str">
        <x:v>Documentation, Plan of Care &amp; Order Lifecycle</x:v>
      </x:c>
      <x:c r="I126" s="90" t="str">
        <x:v>80% quiz plus documentation/order case</x:v>
      </x:c>
      <x:c r="J126" s="90" t="str">
        <x:v>By day 14; before independent duty if earlier</x:v>
      </x:c>
      <x:c r="K126" s="90" t="str">
        <x:v>At hire; then on material revision</x:v>
      </x:c>
      <x:c r="L126" s="90" t="str">
        <x:v>Ready</x:v>
      </x:c>
      <x:c r="M126" s="90" t="str">
        <x:v>RN case management depends on compliant documentation, order handling, coordination, recertification, transfer, and discharge.</x:v>
      </x:c>
      <x:c r="N126" s="90" t="str">
        <x:v>12-allPoliciesContent.generated.ts — CL-CP-005</x:v>
      </x:c>
      <x:c r="O126" s="90" t="str">
        <x:v>https://www.ecfr.gov/current/title-42/part-484/section-484.60</x:v>
      </x:c>
      <x:c r="P126" s="90" t="str"/>
    </x:row>
    <x:row r="127" ht="42" customHeight="1">
      <x:c r="A127" s="90" t="str">
        <x:v>RN-02</x:v>
      </x:c>
      <x:c r="B127" s="90" t="str">
        <x:v>RN</x:v>
      </x:c>
      <x:c r="C127" s="90" t="str">
        <x:v>CL-CP-006</x:v>
      </x:c>
      <x:c r="D127" s="90" t="str">
        <x:v>Discharge Planning &amp; Criteria</x:v>
      </x:c>
      <x:c r="E127" s="90" t="str">
        <x:v>Core</x:v>
      </x:c>
      <x:c r="F127" s="90" t="str">
        <x:v>Yes</x:v>
      </x:c>
      <x:c r="G127" s="90" t="str">
        <x:v>Yes — bundled</x:v>
      </x:c>
      <x:c r="H127" s="90" t="str">
        <x:v>Documentation, Plan of Care &amp; Order Lifecycle</x:v>
      </x:c>
      <x:c r="I127" s="90" t="str">
        <x:v>80% quiz plus documentation/order case</x:v>
      </x:c>
      <x:c r="J127" s="90" t="str">
        <x:v>By day 14; before independent duty if earlier</x:v>
      </x:c>
      <x:c r="K127" s="90" t="str">
        <x:v>At hire; then on material revision</x:v>
      </x:c>
      <x:c r="L127" s="90" t="str">
        <x:v>Ready</x:v>
      </x:c>
      <x:c r="M127" s="90" t="str">
        <x:v>RN case management depends on compliant documentation, order handling, coordination, recertification, transfer, and discharge.</x:v>
      </x:c>
      <x:c r="N127" s="90" t="str">
        <x:v>12-allPoliciesContent.generated.ts — CL-CP-006</x:v>
      </x:c>
      <x:c r="O127" s="90" t="str">
        <x:v>https://www.ecfr.gov/current/title-42/part-484/section-484.60</x:v>
      </x:c>
      <x:c r="P127" s="90" t="str"/>
    </x:row>
    <x:row r="128" ht="42" customHeight="1">
      <x:c r="A128" s="90" t="str">
        <x:v>RN-02</x:v>
      </x:c>
      <x:c r="B128" s="90" t="str">
        <x:v>RN</x:v>
      </x:c>
      <x:c r="C128" s="90" t="str">
        <x:v>CL-CP-007</x:v>
      </x:c>
      <x:c r="D128" s="90" t="str">
        <x:v>Transfer &amp; Referral Procedures</x:v>
      </x:c>
      <x:c r="E128" s="90" t="str">
        <x:v>Core</x:v>
      </x:c>
      <x:c r="F128" s="90" t="str">
        <x:v>Yes</x:v>
      </x:c>
      <x:c r="G128" s="90" t="str">
        <x:v>Yes — bundled</x:v>
      </x:c>
      <x:c r="H128" s="90" t="str">
        <x:v>Documentation, Plan of Care &amp; Order Lifecycle</x:v>
      </x:c>
      <x:c r="I128" s="90" t="str">
        <x:v>80% quiz plus documentation/order case</x:v>
      </x:c>
      <x:c r="J128" s="90" t="str">
        <x:v>By day 14; before independent duty if earlier</x:v>
      </x:c>
      <x:c r="K128" s="90" t="str">
        <x:v>At hire; then on material revision</x:v>
      </x:c>
      <x:c r="L128" s="90" t="str">
        <x:v>Ready</x:v>
      </x:c>
      <x:c r="M128" s="90" t="str">
        <x:v>RN case management depends on compliant documentation, order handling, coordination, recertification, transfer, and discharge.</x:v>
      </x:c>
      <x:c r="N128" s="90" t="str">
        <x:v>12-allPoliciesContent.generated.ts — CL-CP-007</x:v>
      </x:c>
      <x:c r="O128" s="90" t="str">
        <x:v>https://www.ecfr.gov/current/title-42/part-484/section-484.60</x:v>
      </x:c>
      <x:c r="P128" s="90" t="str"/>
    </x:row>
    <x:row r="129" ht="42" customHeight="1">
      <x:c r="A129" s="90" t="str">
        <x:v>RN-02</x:v>
      </x:c>
      <x:c r="B129" s="90" t="str">
        <x:v>RN</x:v>
      </x:c>
      <x:c r="C129" s="90" t="str">
        <x:v>CL-CP-008</x:v>
      </x:c>
      <x:c r="D129" s="90" t="str">
        <x:v>Physician Recertification Timing Compliance</x:v>
      </x:c>
      <x:c r="E129" s="90" t="str">
        <x:v>Core</x:v>
      </x:c>
      <x:c r="F129" s="90" t="str">
        <x:v>Yes</x:v>
      </x:c>
      <x:c r="G129" s="90" t="str">
        <x:v>Yes — bundled</x:v>
      </x:c>
      <x:c r="H129" s="90" t="str">
        <x:v>Documentation, Plan of Care &amp; Order Lifecycle</x:v>
      </x:c>
      <x:c r="I129" s="90" t="str">
        <x:v>80% quiz plus documentation/order case</x:v>
      </x:c>
      <x:c r="J129" s="90" t="str">
        <x:v>By day 14; before independent duty if earlier</x:v>
      </x:c>
      <x:c r="K129" s="90" t="str">
        <x:v>At hire; then on material revision</x:v>
      </x:c>
      <x:c r="L129" s="90" t="str">
        <x:v>Ready</x:v>
      </x:c>
      <x:c r="M129" s="90" t="str">
        <x:v>RN case management depends on compliant documentation, order handling, coordination, recertification, transfer, and discharge.</x:v>
      </x:c>
      <x:c r="N129" s="90" t="str">
        <x:v>12-allPoliciesContent.generated.ts — CL-CP-008</x:v>
      </x:c>
      <x:c r="O129" s="90" t="str">
        <x:v>https://www.ecfr.gov/current/title-42/part-484/section-484.60</x:v>
      </x:c>
      <x:c r="P129" s="90" t="str"/>
    </x:row>
    <x:row r="130" ht="42" customHeight="1">
      <x:c r="A130" s="90" t="str">
        <x:v>RN-02</x:v>
      </x:c>
      <x:c r="B130" s="90" t="str">
        <x:v>RN</x:v>
      </x:c>
      <x:c r="C130" s="90" t="str">
        <x:v>CL-CP-009</x:v>
      </x:c>
      <x:c r="D130" s="90" t="str">
        <x:v>Physician Order Signature Tracking &amp; Escalation</x:v>
      </x:c>
      <x:c r="E130" s="90" t="str">
        <x:v>Core</x:v>
      </x:c>
      <x:c r="F130" s="90" t="str">
        <x:v>Yes</x:v>
      </x:c>
      <x:c r="G130" s="90" t="str">
        <x:v>Yes — bundled</x:v>
      </x:c>
      <x:c r="H130" s="90" t="str">
        <x:v>Documentation, Plan of Care &amp; Order Lifecycle</x:v>
      </x:c>
      <x:c r="I130" s="90" t="str">
        <x:v>80% quiz plus documentation/order case</x:v>
      </x:c>
      <x:c r="J130" s="90" t="str">
        <x:v>By day 14; before independent duty if earlier</x:v>
      </x:c>
      <x:c r="K130" s="90" t="str">
        <x:v>At hire; then on material revision</x:v>
      </x:c>
      <x:c r="L130" s="90" t="str">
        <x:v>Ready</x:v>
      </x:c>
      <x:c r="M130" s="90" t="str">
        <x:v>RN case management depends on compliant documentation, order handling, coordination, recertification, transfer, and discharge.</x:v>
      </x:c>
      <x:c r="N130" s="90" t="str">
        <x:v>12-allPoliciesContent.generated.ts — CL-CP-009</x:v>
      </x:c>
      <x:c r="O130" s="90" t="str">
        <x:v>https://www.ecfr.gov/current/title-42/part-484/section-484.60</x:v>
      </x:c>
      <x:c r="P130" s="90" t="str"/>
    </x:row>
    <x:row r="131" ht="42" customHeight="1">
      <x:c r="A131" s="90" t="str">
        <x:v>RN-02</x:v>
      </x:c>
      <x:c r="B131" s="90" t="str">
        <x:v>RN</x:v>
      </x:c>
      <x:c r="C131" s="90" t="str">
        <x:v>CL-CC-101</x:v>
      </x:c>
      <x:c r="D131" s="90" t="str">
        <x:v>Care Coordination &amp; SDOH Management</x:v>
      </x:c>
      <x:c r="E131" s="90" t="str">
        <x:v>Core</x:v>
      </x:c>
      <x:c r="F131" s="90" t="str">
        <x:v>Yes</x:v>
      </x:c>
      <x:c r="G131" s="90" t="str">
        <x:v>Yes — bundled</x:v>
      </x:c>
      <x:c r="H131" s="90" t="str">
        <x:v>Documentation, Plan of Care &amp; Order Lifecycle</x:v>
      </x:c>
      <x:c r="I131" s="90" t="str">
        <x:v>80% quiz plus documentation/order case</x:v>
      </x:c>
      <x:c r="J131" s="90" t="str">
        <x:v>By day 14; before independent duty if earlier</x:v>
      </x:c>
      <x:c r="K131" s="90" t="str">
        <x:v>At hire; then on material revision</x:v>
      </x:c>
      <x:c r="L131" s="90" t="str">
        <x:v>Ready</x:v>
      </x:c>
      <x:c r="M131" s="90" t="str">
        <x:v>RN case management depends on compliant documentation, order handling, coordination, recertification, transfer, and discharge.</x:v>
      </x:c>
      <x:c r="N131" s="90" t="str">
        <x:v>12-allPoliciesContent.generated.ts — CL-CC-101</x:v>
      </x:c>
      <x:c r="O131" s="90" t="str">
        <x:v>https://www.ecfr.gov/current/title-42/part-484/section-484.60</x:v>
      </x:c>
      <x:c r="P131" s="90" t="str"/>
    </x:row>
    <x:row r="132" ht="42" customHeight="1">
      <x:c r="A132" s="90" t="str">
        <x:v>RN-03</x:v>
      </x:c>
      <x:c r="B132" s="90" t="str">
        <x:v>RN</x:v>
      </x:c>
      <x:c r="C132" s="90" t="str">
        <x:v>CL-CA-001</x:v>
      </x:c>
      <x:c r="D132" s="90" t="str">
        <x:v>Patient Assessment — Comprehensive</x:v>
      </x:c>
      <x:c r="E132" s="90" t="str">
        <x:v>Hold</x:v>
      </x:c>
      <x:c r="F132" s="90" t="str">
        <x:v>Yes</x:v>
      </x:c>
      <x:c r="G132" s="90" t="str">
        <x:v>Yes — bundled</x:v>
      </x:c>
      <x:c r="H132" s="90" t="str">
        <x:v>Comprehensive Assessment &amp; Medicare Eligibility</x:v>
      </x:c>
      <x:c r="I132" s="90" t="str">
        <x:v>85% assessment plus supervised first comprehensive assessment</x:v>
      </x:c>
      <x:c r="J132" s="90" t="str">
        <x:v>By day 14; before independent duty if earlier</x:v>
      </x:c>
      <x:c r="K132" s="90" t="str">
        <x:v>At hire; then on material revision</x:v>
      </x:c>
      <x:c r="L132" s="90" t="str">
        <x:v>Hold</x:v>
      </x:c>
      <x:c r="M132" s="90" t="str">
        <x:v>RNs need assessment, homebound, face-to-face, and recertification competence; the course must not repeat the incorrect therapist prohibition.</x:v>
      </x:c>
      <x:c r="N132" s="90" t="str">
        <x:v>12-allPoliciesContent.generated.ts — CL-CA-001</x:v>
      </x:c>
      <x:c r="O132" s="90" t="str">
        <x:v>https://www.ecfr.gov/current/title-42/part-484/section-484.55</x:v>
      </x:c>
      <x:c r="P132" s="90" t="str"/>
    </x:row>
    <x:row r="133" ht="42" customHeight="1">
      <x:c r="A133" s="90" t="str">
        <x:v>RN-03</x:v>
      </x:c>
      <x:c r="B133" s="90" t="str">
        <x:v>RN</x:v>
      </x:c>
      <x:c r="C133" s="90" t="str">
        <x:v>CL-CA-004</x:v>
      </x:c>
      <x:c r="D133" s="90" t="str">
        <x:v>Recertification Assessment &amp; Process</x:v>
      </x:c>
      <x:c r="E133" s="90" t="str">
        <x:v>Core</x:v>
      </x:c>
      <x:c r="F133" s="90" t="str">
        <x:v>Yes</x:v>
      </x:c>
      <x:c r="G133" s="90" t="str">
        <x:v>Yes — bundled</x:v>
      </x:c>
      <x:c r="H133" s="90" t="str">
        <x:v>Comprehensive Assessment &amp; Medicare Eligibility</x:v>
      </x:c>
      <x:c r="I133" s="90" t="str">
        <x:v>85% assessment plus supervised first comprehensive assessment</x:v>
      </x:c>
      <x:c r="J133" s="90" t="str">
        <x:v>By day 14; before independent duty if earlier</x:v>
      </x:c>
      <x:c r="K133" s="90" t="str">
        <x:v>At hire; then on material revision</x:v>
      </x:c>
      <x:c r="L133" s="90" t="str">
        <x:v>Partial hold</x:v>
      </x:c>
      <x:c r="M133" s="90" t="str">
        <x:v>RNs need assessment, homebound, face-to-face, and recertification competence; the course must not repeat the incorrect therapist prohibition.</x:v>
      </x:c>
      <x:c r="N133" s="90" t="str">
        <x:v>12-allPoliciesContent.generated.ts — CL-CA-004</x:v>
      </x:c>
      <x:c r="O133" s="90" t="str">
        <x:v>https://www.ecfr.gov/current/title-42/part-484/section-484.55</x:v>
      </x:c>
      <x:c r="P133" s="90" t="str"/>
    </x:row>
    <x:row r="134" ht="42" customHeight="1">
      <x:c r="A134" s="90" t="str">
        <x:v>RN-03</x:v>
      </x:c>
      <x:c r="B134" s="90" t="str">
        <x:v>RN</x:v>
      </x:c>
      <x:c r="C134" s="90" t="str">
        <x:v>CL-CA-005</x:v>
      </x:c>
      <x:c r="D134" s="90" t="str">
        <x:v>Homebound Status Determination &amp; Documentation</x:v>
      </x:c>
      <x:c r="E134" s="90" t="str">
        <x:v>Core</x:v>
      </x:c>
      <x:c r="F134" s="90" t="str">
        <x:v>Yes</x:v>
      </x:c>
      <x:c r="G134" s="90" t="str">
        <x:v>Yes — bundled</x:v>
      </x:c>
      <x:c r="H134" s="90" t="str">
        <x:v>Comprehensive Assessment &amp; Medicare Eligibility</x:v>
      </x:c>
      <x:c r="I134" s="90" t="str">
        <x:v>85% assessment plus supervised first comprehensive assessment</x:v>
      </x:c>
      <x:c r="J134" s="90" t="str">
        <x:v>By day 14; before independent duty if earlier</x:v>
      </x:c>
      <x:c r="K134" s="90" t="str">
        <x:v>At hire; then on material revision</x:v>
      </x:c>
      <x:c r="L134" s="90" t="str">
        <x:v>Partial hold</x:v>
      </x:c>
      <x:c r="M134" s="90" t="str">
        <x:v>RNs need assessment, homebound, face-to-face, and recertification competence; the course must not repeat the incorrect therapist prohibition.</x:v>
      </x:c>
      <x:c r="N134" s="90" t="str">
        <x:v>12-allPoliciesContent.generated.ts — CL-CA-005</x:v>
      </x:c>
      <x:c r="O134" s="90" t="str">
        <x:v>https://www.ecfr.gov/current/title-42/part-484/section-484.55</x:v>
      </x:c>
      <x:c r="P134" s="90" t="str"/>
    </x:row>
    <x:row r="135" ht="42" customHeight="1">
      <x:c r="A135" s="90" t="str">
        <x:v>RN-03</x:v>
      </x:c>
      <x:c r="B135" s="90" t="str">
        <x:v>RN</x:v>
      </x:c>
      <x:c r="C135" s="90" t="str">
        <x:v>CL-CA-006</x:v>
      </x:c>
      <x:c r="D135" s="90" t="str">
        <x:v>Face-to-Face Encounter Compliance</x:v>
      </x:c>
      <x:c r="E135" s="90" t="str">
        <x:v>Core</x:v>
      </x:c>
      <x:c r="F135" s="90" t="str">
        <x:v>Yes</x:v>
      </x:c>
      <x:c r="G135" s="90" t="str">
        <x:v>Yes — bundled</x:v>
      </x:c>
      <x:c r="H135" s="90" t="str">
        <x:v>Comprehensive Assessment &amp; Medicare Eligibility</x:v>
      </x:c>
      <x:c r="I135" s="90" t="str">
        <x:v>85% assessment plus supervised first comprehensive assessment</x:v>
      </x:c>
      <x:c r="J135" s="90" t="str">
        <x:v>By day 14; before independent duty if earlier</x:v>
      </x:c>
      <x:c r="K135" s="90" t="str">
        <x:v>At hire; then on material revision</x:v>
      </x:c>
      <x:c r="L135" s="90" t="str">
        <x:v>Partial hold</x:v>
      </x:c>
      <x:c r="M135" s="90" t="str">
        <x:v>RNs need assessment, homebound, face-to-face, and recertification competence; the course must not repeat the incorrect therapist prohibition.</x:v>
      </x:c>
      <x:c r="N135" s="90" t="str">
        <x:v>12-allPoliciesContent.generated.ts — CL-CA-006</x:v>
      </x:c>
      <x:c r="O135" s="90" t="str">
        <x:v>https://www.ecfr.gov/current/title-42/part-484/section-484.55</x:v>
      </x:c>
      <x:c r="P135" s="90" t="str"/>
    </x:row>
    <x:row r="136" ht="42" customHeight="1">
      <x:c r="A136" s="90" t="str">
        <x:v>RN-03</x:v>
      </x:c>
      <x:c r="B136" s="90" t="str">
        <x:v>RN</x:v>
      </x:c>
      <x:c r="C136" s="90" t="str">
        <x:v>CL-CA-007</x:v>
      </x:c>
      <x:c r="D136" s="90" t="str">
        <x:v>Face-to-Face Encounter Tracking &amp; Expiration Monitoring</x:v>
      </x:c>
      <x:c r="E136" s="90" t="str">
        <x:v>Core</x:v>
      </x:c>
      <x:c r="F136" s="90" t="str">
        <x:v>Yes</x:v>
      </x:c>
      <x:c r="G136" s="90" t="str">
        <x:v>Yes — bundled</x:v>
      </x:c>
      <x:c r="H136" s="90" t="str">
        <x:v>Comprehensive Assessment &amp; Medicare Eligibility</x:v>
      </x:c>
      <x:c r="I136" s="90" t="str">
        <x:v>85% assessment plus supervised first comprehensive assessment</x:v>
      </x:c>
      <x:c r="J136" s="90" t="str">
        <x:v>By day 14; before independent duty if earlier</x:v>
      </x:c>
      <x:c r="K136" s="90" t="str">
        <x:v>At hire; then on material revision</x:v>
      </x:c>
      <x:c r="L136" s="90" t="str">
        <x:v>Partial hold</x:v>
      </x:c>
      <x:c r="M136" s="90" t="str">
        <x:v>RNs need assessment, homebound, face-to-face, and recertification competence; the course must not repeat the incorrect therapist prohibition.</x:v>
      </x:c>
      <x:c r="N136" s="90" t="str">
        <x:v>12-allPoliciesContent.generated.ts — CL-CA-007</x:v>
      </x:c>
      <x:c r="O136" s="90" t="str">
        <x:v>https://www.ecfr.gov/current/title-42/part-484/section-484.55</x:v>
      </x:c>
      <x:c r="P136" s="90" t="str"/>
    </x:row>
    <x:row r="137" ht="42" customHeight="1">
      <x:c r="A137" s="90" t="str">
        <x:v>RN-04</x:v>
      </x:c>
      <x:c r="B137" s="90" t="str">
        <x:v>RN</x:v>
      </x:c>
      <x:c r="C137" s="90" t="str">
        <x:v>CL-CA-002</x:v>
      </x:c>
      <x:c r="D137" s="90" t="str">
        <x:v>OASIS Data Collection &amp; Accuracy</x:v>
      </x:c>
      <x:c r="E137" s="90" t="str">
        <x:v>Hold</x:v>
      </x:c>
      <x:c r="F137" s="90" t="str">
        <x:v>Yes</x:v>
      </x:c>
      <x:c r="G137" s="90" t="str">
        <x:v>Yes — bundled</x:v>
      </x:c>
      <x:c r="H137" s="90" t="str">
        <x:v>OASIS Authorization, Accuracy &amp; Submission Integrity</x:v>
      </x:c>
      <x:c r="I137" s="90" t="str">
        <x:v>85% written exam, coding exercise, tool demonstration, supervised SOC</x:v>
      </x:c>
      <x:c r="J137" s="90" t="str">
        <x:v>By day 14; before independent duty if earlier</x:v>
      </x:c>
      <x:c r="K137" s="90" t="str">
        <x:v>At hire; then on material revision</x:v>
      </x:c>
      <x:c r="L137" s="90" t="str">
        <x:v>Hold</x:v>
      </x:c>
      <x:c r="M137" s="90" t="str">
        <x:v>OASIS is high-risk and requires a single controlled competency course rather than 20 separate quizzes.</x:v>
      </x:c>
      <x:c r="N137" s="90" t="str">
        <x:v>12-allPoliciesContent.generated.ts — CL-CA-002</x:v>
      </x:c>
      <x:c r="O137" s="90" t="str">
        <x:v>https://www.ecfr.gov/current/title-42/part-484/section-484.55</x:v>
      </x:c>
      <x:c r="P137" s="90" t="str">
        <x:v>Choose one canonical OASIS source and correct assessor eligibility before publishing. RN learning objectives remain valid.</x:v>
      </x:c>
    </x:row>
    <x:row r="138" ht="42" customHeight="1">
      <x:c r="A138" s="90" t="str">
        <x:v>RN-04</x:v>
      </x:c>
      <x:c r="B138" s="90" t="str">
        <x:v>RN</x:v>
      </x:c>
      <x:c r="C138" s="90" t="str">
        <x:v>CL-CA-003</x:v>
      </x:c>
      <x:c r="D138" s="90" t="str">
        <x:v>OASIS Transmission &amp; Correction</x:v>
      </x:c>
      <x:c r="E138" s="90" t="str">
        <x:v>Hold</x:v>
      </x:c>
      <x:c r="F138" s="90" t="str">
        <x:v>Yes</x:v>
      </x:c>
      <x:c r="G138" s="90" t="str">
        <x:v>Yes — bundled</x:v>
      </x:c>
      <x:c r="H138" s="90" t="str">
        <x:v>OASIS Authorization, Accuracy &amp; Submission Integrity</x:v>
      </x:c>
      <x:c r="I138" s="90" t="str">
        <x:v>85% written exam, coding exercise, tool demonstration, supervised SOC</x:v>
      </x:c>
      <x:c r="J138" s="90" t="str">
        <x:v>By day 14; before independent duty if earlier</x:v>
      </x:c>
      <x:c r="K138" s="90" t="str">
        <x:v>At hire; then on material revision</x:v>
      </x:c>
      <x:c r="L138" s="90" t="str">
        <x:v>Hold</x:v>
      </x:c>
      <x:c r="M138" s="90" t="str">
        <x:v>OASIS is high-risk and requires a single controlled competency course rather than 20 separate quizzes.</x:v>
      </x:c>
      <x:c r="N138" s="90" t="str">
        <x:v>12-allPoliciesContent.generated.ts — CL-CA-003</x:v>
      </x:c>
      <x:c r="O138" s="90" t="str">
        <x:v>https://www.ecfr.gov/current/title-42/part-484/section-484.55</x:v>
      </x:c>
      <x:c r="P138" s="90" t="str">
        <x:v>Choose one canonical OASIS source and correct assessor eligibility before publishing. RN learning objectives remain valid.</x:v>
      </x:c>
    </x:row>
    <x:row r="139" ht="42" customHeight="1">
      <x:c r="A139" s="90" t="str">
        <x:v>RN-04</x:v>
      </x:c>
      <x:c r="B139" s="90" t="str">
        <x:v>RN</x:v>
      </x:c>
      <x:c r="C139" s="90" t="str">
        <x:v>CL-OA-001</x:v>
      </x:c>
      <x:c r="D139" s="90" t="str">
        <x:v>OASIS Completion Timeliness &amp; Accountability</x:v>
      </x:c>
      <x:c r="E139" s="90" t="str">
        <x:v>Hold</x:v>
      </x:c>
      <x:c r="F139" s="90" t="str">
        <x:v>Yes</x:v>
      </x:c>
      <x:c r="G139" s="90" t="str">
        <x:v>Yes — bundled</x:v>
      </x:c>
      <x:c r="H139" s="90" t="str">
        <x:v>OASIS Authorization, Accuracy &amp; Submission Integrity</x:v>
      </x:c>
      <x:c r="I139" s="90" t="str">
        <x:v>85% written exam, coding exercise, tool demonstration, supervised SOC</x:v>
      </x:c>
      <x:c r="J139" s="90" t="str">
        <x:v>By day 14; before independent duty if earlier</x:v>
      </x:c>
      <x:c r="K139" s="90" t="str">
        <x:v>At hire; then on material revision</x:v>
      </x:c>
      <x:c r="L139" s="90" t="str">
        <x:v>Hold</x:v>
      </x:c>
      <x:c r="M139" s="90" t="str">
        <x:v>OASIS is high-risk and requires a single controlled competency course rather than 20 separate quizzes.</x:v>
      </x:c>
      <x:c r="N139" s="90" t="str">
        <x:v>12-allPoliciesContent.generated.ts — CL-OA-001</x:v>
      </x:c>
      <x:c r="O139" s="90" t="str">
        <x:v>https://www.ecfr.gov/current/title-42/part-484/section-484.55</x:v>
      </x:c>
      <x:c r="P139" s="90" t="str">
        <x:v>Choose one canonical OASIS source and correct assessor eligibility before publishing. RN learning objectives remain valid.</x:v>
      </x:c>
    </x:row>
    <x:row r="140" ht="42" customHeight="1">
      <x:c r="A140" s="90" t="str">
        <x:v>RN-04</x:v>
      </x:c>
      <x:c r="B140" s="90" t="str">
        <x:v>RN</x:v>
      </x:c>
      <x:c r="C140" s="90" t="str">
        <x:v>CL-OA-002</x:v>
      </x:c>
      <x:c r="D140" s="90" t="str">
        <x:v>OASIS Quality Review &amp; Error Correction</x:v>
      </x:c>
      <x:c r="E140" s="90" t="str">
        <x:v>Hold</x:v>
      </x:c>
      <x:c r="F140" s="90" t="str">
        <x:v>Yes</x:v>
      </x:c>
      <x:c r="G140" s="90" t="str">
        <x:v>Yes — bundled</x:v>
      </x:c>
      <x:c r="H140" s="90" t="str">
        <x:v>OASIS Authorization, Accuracy &amp; Submission Integrity</x:v>
      </x:c>
      <x:c r="I140" s="90" t="str">
        <x:v>85% written exam, coding exercise, tool demonstration, supervised SOC</x:v>
      </x:c>
      <x:c r="J140" s="90" t="str">
        <x:v>By day 14; before independent duty if earlier</x:v>
      </x:c>
      <x:c r="K140" s="90" t="str">
        <x:v>At hire; then on material revision</x:v>
      </x:c>
      <x:c r="L140" s="90" t="str">
        <x:v>Hold</x:v>
      </x:c>
      <x:c r="M140" s="90" t="str">
        <x:v>OASIS is high-risk and requires a single controlled competency course rather than 20 separate quizzes.</x:v>
      </x:c>
      <x:c r="N140" s="90" t="str">
        <x:v>12-allPoliciesContent.generated.ts — CL-OA-002</x:v>
      </x:c>
      <x:c r="O140" s="90" t="str">
        <x:v>https://www.ecfr.gov/current/title-42/part-484/section-484.55</x:v>
      </x:c>
      <x:c r="P140" s="90" t="str">
        <x:v>Choose one canonical OASIS source and correct assessor eligibility before publishing. RN learning objectives remain valid.</x:v>
      </x:c>
    </x:row>
    <x:row r="141" ht="42" customHeight="1">
      <x:c r="A141" s="90" t="str">
        <x:v>RN-04</x:v>
      </x:c>
      <x:c r="B141" s="90" t="str">
        <x:v>RN</x:v>
      </x:c>
      <x:c r="C141" s="90" t="str">
        <x:v>CL-OA-003</x:v>
      </x:c>
      <x:c r="D141" s="90" t="str">
        <x:v>OASIS Clinician Authorization &amp; Competency</x:v>
      </x:c>
      <x:c r="E141" s="90" t="str">
        <x:v>Hold</x:v>
      </x:c>
      <x:c r="F141" s="90" t="str">
        <x:v>Yes</x:v>
      </x:c>
      <x:c r="G141" s="90" t="str">
        <x:v>Yes — bundled</x:v>
      </x:c>
      <x:c r="H141" s="90" t="str">
        <x:v>OASIS Authorization, Accuracy &amp; Submission Integrity</x:v>
      </x:c>
      <x:c r="I141" s="90" t="str">
        <x:v>85% written exam, coding exercise, tool demonstration, supervised SOC</x:v>
      </x:c>
      <x:c r="J141" s="90" t="str">
        <x:v>By day 14; before independent duty if earlier</x:v>
      </x:c>
      <x:c r="K141" s="90" t="str">
        <x:v>At hire; then on material revision</x:v>
      </x:c>
      <x:c r="L141" s="90" t="str">
        <x:v>Hold</x:v>
      </x:c>
      <x:c r="M141" s="90" t="str">
        <x:v>OASIS is high-risk and requires a single controlled competency course rather than 20 separate quizzes.</x:v>
      </x:c>
      <x:c r="N141" s="90" t="str">
        <x:v>12-allPoliciesContent.generated.ts — CL-OA-003</x:v>
      </x:c>
      <x:c r="O141" s="90" t="str">
        <x:v>https://www.ecfr.gov/current/title-42/part-484/section-484.55</x:v>
      </x:c>
      <x:c r="P141" s="90" t="str">
        <x:v>Choose one canonical OASIS source and correct assessor eligibility before publishing. RN learning objectives remain valid.</x:v>
      </x:c>
    </x:row>
    <x:row r="142" ht="42" customHeight="1">
      <x:c r="A142" s="90" t="str">
        <x:v>RN-04</x:v>
      </x:c>
      <x:c r="B142" s="90" t="str">
        <x:v>RN</x:v>
      </x:c>
      <x:c r="C142" s="90" t="str">
        <x:v>CL-OA-004</x:v>
      </x:c>
      <x:c r="D142" s="90" t="str">
        <x:v>OASIS Item-Level Guidance Compliance</x:v>
      </x:c>
      <x:c r="E142" s="90" t="str">
        <x:v>Hold</x:v>
      </x:c>
      <x:c r="F142" s="90" t="str">
        <x:v>Yes</x:v>
      </x:c>
      <x:c r="G142" s="90" t="str">
        <x:v>Yes — bundled</x:v>
      </x:c>
      <x:c r="H142" s="90" t="str">
        <x:v>OASIS Authorization, Accuracy &amp; Submission Integrity</x:v>
      </x:c>
      <x:c r="I142" s="90" t="str">
        <x:v>85% written exam, coding exercise, tool demonstration, supervised SOC</x:v>
      </x:c>
      <x:c r="J142" s="90" t="str">
        <x:v>By day 14; before independent duty if earlier</x:v>
      </x:c>
      <x:c r="K142" s="90" t="str">
        <x:v>At hire; then on material revision</x:v>
      </x:c>
      <x:c r="L142" s="90" t="str">
        <x:v>Hold</x:v>
      </x:c>
      <x:c r="M142" s="90" t="str">
        <x:v>OASIS is high-risk and requires a single controlled competency course rather than 20 separate quizzes.</x:v>
      </x:c>
      <x:c r="N142" s="90" t="str">
        <x:v>12-allPoliciesContent.generated.ts — CL-OA-004</x:v>
      </x:c>
      <x:c r="O142" s="90" t="str">
        <x:v>https://www.ecfr.gov/current/title-42/part-484/section-484.55</x:v>
      </x:c>
      <x:c r="P142" s="90" t="str">
        <x:v>Choose one canonical OASIS source and correct assessor eligibility before publishing. RN learning objectives remain valid.</x:v>
      </x:c>
    </x:row>
    <x:row r="143" ht="42" customHeight="1">
      <x:c r="A143" s="90" t="str">
        <x:v>RN-04</x:v>
      </x:c>
      <x:c r="B143" s="90" t="str">
        <x:v>RN</x:v>
      </x:c>
      <x:c r="C143" s="90" t="str">
        <x:v>CL-OA-005</x:v>
      </x:c>
      <x:c r="D143" s="90" t="str">
        <x:v>OASIS Data Integrity &amp; Security</x:v>
      </x:c>
      <x:c r="E143" s="90" t="str">
        <x:v>Hold</x:v>
      </x:c>
      <x:c r="F143" s="90" t="str">
        <x:v>Yes</x:v>
      </x:c>
      <x:c r="G143" s="90" t="str">
        <x:v>Yes — bundled</x:v>
      </x:c>
      <x:c r="H143" s="90" t="str">
        <x:v>OASIS Authorization, Accuracy &amp; Submission Integrity</x:v>
      </x:c>
      <x:c r="I143" s="90" t="str">
        <x:v>85% written exam, coding exercise, tool demonstration, supervised SOC</x:v>
      </x:c>
      <x:c r="J143" s="90" t="str">
        <x:v>By day 14; before independent duty if earlier</x:v>
      </x:c>
      <x:c r="K143" s="90" t="str">
        <x:v>At hire; then on material revision</x:v>
      </x:c>
      <x:c r="L143" s="90" t="str">
        <x:v>Hold</x:v>
      </x:c>
      <x:c r="M143" s="90" t="str">
        <x:v>OASIS is high-risk and requires a single controlled competency course rather than 20 separate quizzes.</x:v>
      </x:c>
      <x:c r="N143" s="90" t="str">
        <x:v>12-allPoliciesContent.generated.ts — CL-OA-005</x:v>
      </x:c>
      <x:c r="O143" s="90" t="str">
        <x:v>https://www.ecfr.gov/current/title-42/part-484/section-484.55</x:v>
      </x:c>
      <x:c r="P143" s="90" t="str">
        <x:v>Choose one canonical OASIS source and correct assessor eligibility before publishing. RN learning objectives remain valid.</x:v>
      </x:c>
    </x:row>
    <x:row r="144" ht="42" customHeight="1">
      <x:c r="A144" s="90" t="str">
        <x:v>RN-04</x:v>
      </x:c>
      <x:c r="B144" s="90" t="str">
        <x:v>RN</x:v>
      </x:c>
      <x:c r="C144" s="90" t="str">
        <x:v>CL-OA-006</x:v>
      </x:c>
      <x:c r="D144" s="90" t="str">
        <x:v>Documentation Hierarchy and Evidence Source Prioritization</x:v>
      </x:c>
      <x:c r="E144" s="90" t="str">
        <x:v>Hold</x:v>
      </x:c>
      <x:c r="F144" s="90" t="str">
        <x:v>Yes</x:v>
      </x:c>
      <x:c r="G144" s="90" t="str">
        <x:v>Yes — bundled</x:v>
      </x:c>
      <x:c r="H144" s="90" t="str">
        <x:v>OASIS Authorization, Accuracy &amp; Submission Integrity</x:v>
      </x:c>
      <x:c r="I144" s="90" t="str">
        <x:v>85% written exam, coding exercise, tool demonstration, supervised SOC</x:v>
      </x:c>
      <x:c r="J144" s="90" t="str">
        <x:v>By day 14; before independent duty if earlier</x:v>
      </x:c>
      <x:c r="K144" s="90" t="str">
        <x:v>At hire; then on material revision</x:v>
      </x:c>
      <x:c r="L144" s="90" t="str">
        <x:v>Hold</x:v>
      </x:c>
      <x:c r="M144" s="90" t="str">
        <x:v>OASIS is high-risk and requires a single controlled competency course rather than 20 separate quizzes.</x:v>
      </x:c>
      <x:c r="N144" s="90" t="str">
        <x:v>12-allPoliciesContent.generated.ts — CL-OA-006</x:v>
      </x:c>
      <x:c r="O144" s="90" t="str">
        <x:v>https://www.ecfr.gov/current/title-42/part-484/section-484.55</x:v>
      </x:c>
      <x:c r="P144" s="90" t="str">
        <x:v>Choose one canonical OASIS source and correct assessor eligibility before publishing. RN learning objectives remain valid.</x:v>
      </x:c>
    </x:row>
    <x:row r="145" ht="42" customHeight="1">
      <x:c r="A145" s="90" t="str">
        <x:v>RN-04</x:v>
      </x:c>
      <x:c r="B145" s="90" t="str">
        <x:v>RN</x:v>
      </x:c>
      <x:c r="C145" s="90" t="str">
        <x:v>CL-OA-007</x:v>
      </x:c>
      <x:c r="D145" s="90" t="str">
        <x:v>Evidence-Based OASIS Coding Substantiation</x:v>
      </x:c>
      <x:c r="E145" s="90" t="str">
        <x:v>Hold</x:v>
      </x:c>
      <x:c r="F145" s="90" t="str">
        <x:v>Yes</x:v>
      </x:c>
      <x:c r="G145" s="90" t="str">
        <x:v>Yes — bundled</x:v>
      </x:c>
      <x:c r="H145" s="90" t="str">
        <x:v>OASIS Authorization, Accuracy &amp; Submission Integrity</x:v>
      </x:c>
      <x:c r="I145" s="90" t="str">
        <x:v>85% written exam, coding exercise, tool demonstration, supervised SOC</x:v>
      </x:c>
      <x:c r="J145" s="90" t="str">
        <x:v>By day 14; before independent duty if earlier</x:v>
      </x:c>
      <x:c r="K145" s="90" t="str">
        <x:v>At hire; then on material revision</x:v>
      </x:c>
      <x:c r="L145" s="90" t="str">
        <x:v>Hold</x:v>
      </x:c>
      <x:c r="M145" s="90" t="str">
        <x:v>OASIS is high-risk and requires a single controlled competency course rather than 20 separate quizzes.</x:v>
      </x:c>
      <x:c r="N145" s="90" t="str">
        <x:v>12-allPoliciesContent.generated.ts — CL-OA-007</x:v>
      </x:c>
      <x:c r="O145" s="90" t="str">
        <x:v>https://www.ecfr.gov/current/title-42/part-484/section-484.55</x:v>
      </x:c>
      <x:c r="P145" s="90" t="str">
        <x:v>Choose one canonical OASIS source and correct assessor eligibility before publishing. RN learning objectives remain valid.</x:v>
      </x:c>
    </x:row>
    <x:row r="146" ht="42" customHeight="1">
      <x:c r="A146" s="90" t="str">
        <x:v>RN-04</x:v>
      </x:c>
      <x:c r="B146" s="90" t="str">
        <x:v>RN</x:v>
      </x:c>
      <x:c r="C146" s="90" t="str">
        <x:v>CL-OA-008</x:v>
      </x:c>
      <x:c r="D146" s="90" t="str">
        <x:v>Conflicting Documentation Source Resolution</x:v>
      </x:c>
      <x:c r="E146" s="90" t="str">
        <x:v>Hold</x:v>
      </x:c>
      <x:c r="F146" s="90" t="str">
        <x:v>Yes</x:v>
      </x:c>
      <x:c r="G146" s="90" t="str">
        <x:v>Yes — bundled</x:v>
      </x:c>
      <x:c r="H146" s="90" t="str">
        <x:v>OASIS Authorization, Accuracy &amp; Submission Integrity</x:v>
      </x:c>
      <x:c r="I146" s="90" t="str">
        <x:v>85% written exam, coding exercise, tool demonstration, supervised SOC</x:v>
      </x:c>
      <x:c r="J146" s="90" t="str">
        <x:v>By day 14; before independent duty if earlier</x:v>
      </x:c>
      <x:c r="K146" s="90" t="str">
        <x:v>At hire; then on material revision</x:v>
      </x:c>
      <x:c r="L146" s="90" t="str">
        <x:v>Hold</x:v>
      </x:c>
      <x:c r="M146" s="90" t="str">
        <x:v>OASIS is high-risk and requires a single controlled competency course rather than 20 separate quizzes.</x:v>
      </x:c>
      <x:c r="N146" s="90" t="str">
        <x:v>12-allPoliciesContent.generated.ts — CL-OA-008</x:v>
      </x:c>
      <x:c r="O146" s="90" t="str">
        <x:v>https://www.ecfr.gov/current/title-42/part-484/section-484.55</x:v>
      </x:c>
      <x:c r="P146" s="90" t="str">
        <x:v>Choose one canonical OASIS source and correct assessor eligibility before publishing. RN learning objectives remain valid.</x:v>
      </x:c>
    </x:row>
    <x:row r="147" ht="42" customHeight="1">
      <x:c r="A147" s="90" t="str">
        <x:v>RN-04</x:v>
      </x:c>
      <x:c r="B147" s="90" t="str">
        <x:v>RN</x:v>
      </x:c>
      <x:c r="C147" s="90" t="str">
        <x:v>CL-OA-009</x:v>
      </x:c>
      <x:c r="D147" s="90" t="str">
        <x:v>Point-in-Time Assessment at Start of Care</x:v>
      </x:c>
      <x:c r="E147" s="90" t="str">
        <x:v>Hold</x:v>
      </x:c>
      <x:c r="F147" s="90" t="str">
        <x:v>Yes</x:v>
      </x:c>
      <x:c r="G147" s="90" t="str">
        <x:v>Yes — bundled</x:v>
      </x:c>
      <x:c r="H147" s="90" t="str">
        <x:v>OASIS Authorization, Accuracy &amp; Submission Integrity</x:v>
      </x:c>
      <x:c r="I147" s="90" t="str">
        <x:v>85% written exam, coding exercise, tool demonstration, supervised SOC</x:v>
      </x:c>
      <x:c r="J147" s="90" t="str">
        <x:v>By day 14; before independent duty if earlier</x:v>
      </x:c>
      <x:c r="K147" s="90" t="str">
        <x:v>At hire; then on material revision</x:v>
      </x:c>
      <x:c r="L147" s="90" t="str">
        <x:v>Hold</x:v>
      </x:c>
      <x:c r="M147" s="90" t="str">
        <x:v>OASIS is high-risk and requires a single controlled competency course rather than 20 separate quizzes.</x:v>
      </x:c>
      <x:c r="N147" s="90" t="str">
        <x:v>12-allPoliciesContent.generated.ts — CL-OA-009</x:v>
      </x:c>
      <x:c r="O147" s="90" t="str">
        <x:v>https://www.ecfr.gov/current/title-42/part-484/section-484.55</x:v>
      </x:c>
      <x:c r="P147" s="90" t="str">
        <x:v>Choose one canonical OASIS source and correct assessor eligibility before publishing. RN learning objectives remain valid.</x:v>
      </x:c>
    </x:row>
    <x:row r="148" ht="42" customHeight="1">
      <x:c r="A148" s="90" t="str">
        <x:v>RN-04</x:v>
      </x:c>
      <x:c r="B148" s="90" t="str">
        <x:v>RN</x:v>
      </x:c>
      <x:c r="C148" s="90" t="str">
        <x:v>CL-OA-010</x:v>
      </x:c>
      <x:c r="D148" s="90" t="str">
        <x:v>CMS Look-Back Period Compliance for Assessment Items</x:v>
      </x:c>
      <x:c r="E148" s="90" t="str">
        <x:v>Hold</x:v>
      </x:c>
      <x:c r="F148" s="90" t="str">
        <x:v>Yes</x:v>
      </x:c>
      <x:c r="G148" s="90" t="str">
        <x:v>Yes — bundled</x:v>
      </x:c>
      <x:c r="H148" s="90" t="str">
        <x:v>OASIS Authorization, Accuracy &amp; Submission Integrity</x:v>
      </x:c>
      <x:c r="I148" s="90" t="str">
        <x:v>85% written exam, coding exercise, tool demonstration, supervised SOC</x:v>
      </x:c>
      <x:c r="J148" s="90" t="str">
        <x:v>By day 14; before independent duty if earlier</x:v>
      </x:c>
      <x:c r="K148" s="90" t="str">
        <x:v>At hire; then on material revision</x:v>
      </x:c>
      <x:c r="L148" s="90" t="str">
        <x:v>Hold</x:v>
      </x:c>
      <x:c r="M148" s="90" t="str">
        <x:v>OASIS is high-risk and requires a single controlled competency course rather than 20 separate quizzes.</x:v>
      </x:c>
      <x:c r="N148" s="90" t="str">
        <x:v>12-allPoliciesContent.generated.ts — CL-OA-010</x:v>
      </x:c>
      <x:c r="O148" s="90" t="str">
        <x:v>https://www.ecfr.gov/current/title-42/part-484/section-484.55</x:v>
      </x:c>
      <x:c r="P148" s="90" t="str">
        <x:v>Choose one canonical OASIS source and correct assessor eligibility before publishing. RN learning objectives remain valid.</x:v>
      </x:c>
    </x:row>
    <x:row r="149" ht="42" customHeight="1">
      <x:c r="A149" s="90" t="str">
        <x:v>RN-04</x:v>
      </x:c>
      <x:c r="B149" s="90" t="str">
        <x:v>RN</x:v>
      </x:c>
      <x:c r="C149" s="90" t="str">
        <x:v>CL-OA-011</x:v>
      </x:c>
      <x:c r="D149" s="90" t="str">
        <x:v>Standardized Assessment Tool Administration and Validity</x:v>
      </x:c>
      <x:c r="E149" s="90" t="str">
        <x:v>Hold</x:v>
      </x:c>
      <x:c r="F149" s="90" t="str">
        <x:v>Yes</x:v>
      </x:c>
      <x:c r="G149" s="90" t="str">
        <x:v>Yes — bundled</x:v>
      </x:c>
      <x:c r="H149" s="90" t="str">
        <x:v>OASIS Authorization, Accuracy &amp; Submission Integrity</x:v>
      </x:c>
      <x:c r="I149" s="90" t="str">
        <x:v>85% written exam, coding exercise, tool demonstration, supervised SOC</x:v>
      </x:c>
      <x:c r="J149" s="90" t="str">
        <x:v>By day 14; before independent duty if earlier</x:v>
      </x:c>
      <x:c r="K149" s="90" t="str">
        <x:v>At hire; then on material revision</x:v>
      </x:c>
      <x:c r="L149" s="90" t="str">
        <x:v>Hold</x:v>
      </x:c>
      <x:c r="M149" s="90" t="str">
        <x:v>OASIS is high-risk and requires a single controlled competency course rather than 20 separate quizzes.</x:v>
      </x:c>
      <x:c r="N149" s="90" t="str">
        <x:v>12-allPoliciesContent.generated.ts — CL-OA-011</x:v>
      </x:c>
      <x:c r="O149" s="90" t="str">
        <x:v>https://www.ecfr.gov/current/title-42/part-484/section-484.55</x:v>
      </x:c>
      <x:c r="P149" s="90" t="str">
        <x:v>Choose one canonical OASIS source and correct assessor eligibility before publishing. RN learning objectives remain valid.</x:v>
      </x:c>
    </x:row>
    <x:row r="150" ht="42" customHeight="1">
      <x:c r="A150" s="90" t="str">
        <x:v>RN-04</x:v>
      </x:c>
      <x:c r="B150" s="90" t="str">
        <x:v>RN</x:v>
      </x:c>
      <x:c r="C150" s="90" t="str">
        <x:v>CL-OA-012</x:v>
      </x:c>
      <x:c r="D150" s="90" t="str">
        <x:v>Clinical Reasoning Documentation for Coding Decisions</x:v>
      </x:c>
      <x:c r="E150" s="90" t="str">
        <x:v>Hold</x:v>
      </x:c>
      <x:c r="F150" s="90" t="str">
        <x:v>Yes</x:v>
      </x:c>
      <x:c r="G150" s="90" t="str">
        <x:v>Yes — bundled</x:v>
      </x:c>
      <x:c r="H150" s="90" t="str">
        <x:v>OASIS Authorization, Accuracy &amp; Submission Integrity</x:v>
      </x:c>
      <x:c r="I150" s="90" t="str">
        <x:v>85% written exam, coding exercise, tool demonstration, supervised SOC</x:v>
      </x:c>
      <x:c r="J150" s="90" t="str">
        <x:v>By day 14; before independent duty if earlier</x:v>
      </x:c>
      <x:c r="K150" s="90" t="str">
        <x:v>At hire; then on material revision</x:v>
      </x:c>
      <x:c r="L150" s="90" t="str">
        <x:v>Hold</x:v>
      </x:c>
      <x:c r="M150" s="90" t="str">
        <x:v>OASIS is high-risk and requires a single controlled competency course rather than 20 separate quizzes.</x:v>
      </x:c>
      <x:c r="N150" s="90" t="str">
        <x:v>12-allPoliciesContent.generated.ts — CL-OA-012</x:v>
      </x:c>
      <x:c r="O150" s="90" t="str">
        <x:v>https://www.ecfr.gov/current/title-42/part-484/section-484.55</x:v>
      </x:c>
      <x:c r="P150" s="90" t="str">
        <x:v>Choose one canonical OASIS source and correct assessor eligibility before publishing. RN learning objectives remain valid.</x:v>
      </x:c>
    </x:row>
    <x:row r="151" ht="42" customHeight="1">
      <x:c r="A151" s="90" t="str">
        <x:v>RN-04</x:v>
      </x:c>
      <x:c r="B151" s="90" t="str">
        <x:v>RN</x:v>
      </x:c>
      <x:c r="C151" s="90" t="str">
        <x:v>CL-OA-013</x:v>
      </x:c>
      <x:c r="D151" s="90" t="str">
        <x:v>Cross-Document Verification Prior to Assessment Finalization</x:v>
      </x:c>
      <x:c r="E151" s="90" t="str">
        <x:v>Hold</x:v>
      </x:c>
      <x:c r="F151" s="90" t="str">
        <x:v>Yes</x:v>
      </x:c>
      <x:c r="G151" s="90" t="str">
        <x:v>Yes — bundled</x:v>
      </x:c>
      <x:c r="H151" s="90" t="str">
        <x:v>OASIS Authorization, Accuracy &amp; Submission Integrity</x:v>
      </x:c>
      <x:c r="I151" s="90" t="str">
        <x:v>85% written exam, coding exercise, tool demonstration, supervised SOC</x:v>
      </x:c>
      <x:c r="J151" s="90" t="str">
        <x:v>By day 14; before independent duty if earlier</x:v>
      </x:c>
      <x:c r="K151" s="90" t="str">
        <x:v>At hire; then on material revision</x:v>
      </x:c>
      <x:c r="L151" s="90" t="str">
        <x:v>Hold</x:v>
      </x:c>
      <x:c r="M151" s="90" t="str">
        <x:v>OASIS is high-risk and requires a single controlled competency course rather than 20 separate quizzes.</x:v>
      </x:c>
      <x:c r="N151" s="90" t="str">
        <x:v>12-allPoliciesContent.generated.ts — CL-OA-013</x:v>
      </x:c>
      <x:c r="O151" s="90" t="str">
        <x:v>https://www.ecfr.gov/current/title-42/part-484/section-484.55</x:v>
      </x:c>
      <x:c r="P151" s="90" t="str">
        <x:v>Choose one canonical OASIS source and correct assessor eligibility before publishing. RN learning objectives remain valid.</x:v>
      </x:c>
    </x:row>
    <x:row r="152" ht="42" customHeight="1">
      <x:c r="A152" s="90" t="str">
        <x:v>RN-04</x:v>
      </x:c>
      <x:c r="B152" s="90" t="str">
        <x:v>RN</x:v>
      </x:c>
      <x:c r="C152" s="90" t="str">
        <x:v>CL-OA-014</x:v>
      </x:c>
      <x:c r="D152" s="90" t="str">
        <x:v>Medication Reconciliation — Prescribed Regimen vs. Actual Patient Behavior</x:v>
      </x:c>
      <x:c r="E152" s="90" t="str">
        <x:v>Hold</x:v>
      </x:c>
      <x:c r="F152" s="90" t="str">
        <x:v>Yes</x:v>
      </x:c>
      <x:c r="G152" s="90" t="str">
        <x:v>Yes — bundled</x:v>
      </x:c>
      <x:c r="H152" s="90" t="str">
        <x:v>OASIS Authorization, Accuracy &amp; Submission Integrity</x:v>
      </x:c>
      <x:c r="I152" s="90" t="str">
        <x:v>85% written exam, coding exercise, tool demonstration, supervised SOC</x:v>
      </x:c>
      <x:c r="J152" s="90" t="str">
        <x:v>By day 14; before independent duty if earlier</x:v>
      </x:c>
      <x:c r="K152" s="90" t="str">
        <x:v>At hire; then on material revision</x:v>
      </x:c>
      <x:c r="L152" s="90" t="str">
        <x:v>Hold</x:v>
      </x:c>
      <x:c r="M152" s="90" t="str">
        <x:v>OASIS is high-risk and requires a single controlled competency course rather than 20 separate quizzes.</x:v>
      </x:c>
      <x:c r="N152" s="90" t="str">
        <x:v>12-allPoliciesContent.generated.ts — CL-OA-014</x:v>
      </x:c>
      <x:c r="O152" s="90" t="str">
        <x:v>https://www.ecfr.gov/current/title-42/part-484/section-484.55</x:v>
      </x:c>
      <x:c r="P152" s="90" t="str">
        <x:v>Choose one canonical OASIS source and correct assessor eligibility before publishing. RN learning objectives remain valid.</x:v>
      </x:c>
    </x:row>
    <x:row r="153" ht="42" customHeight="1">
      <x:c r="A153" s="90" t="str">
        <x:v>RN-04</x:v>
      </x:c>
      <x:c r="B153" s="90" t="str">
        <x:v>RN</x:v>
      </x:c>
      <x:c r="C153" s="90" t="str">
        <x:v>CL-OA-015</x:v>
      </x:c>
      <x:c r="D153" s="90" t="str">
        <x:v>Assessment Completion Timeframe Compliance</x:v>
      </x:c>
      <x:c r="E153" s="90" t="str">
        <x:v>Hold</x:v>
      </x:c>
      <x:c r="F153" s="90" t="str">
        <x:v>Yes</x:v>
      </x:c>
      <x:c r="G153" s="90" t="str">
        <x:v>Yes — bundled</x:v>
      </x:c>
      <x:c r="H153" s="90" t="str">
        <x:v>OASIS Authorization, Accuracy &amp; Submission Integrity</x:v>
      </x:c>
      <x:c r="I153" s="90" t="str">
        <x:v>85% written exam, coding exercise, tool demonstration, supervised SOC</x:v>
      </x:c>
      <x:c r="J153" s="90" t="str">
        <x:v>By day 14; before independent duty if earlier</x:v>
      </x:c>
      <x:c r="K153" s="90" t="str">
        <x:v>At hire; then on material revision</x:v>
      </x:c>
      <x:c r="L153" s="90" t="str">
        <x:v>Hold</x:v>
      </x:c>
      <x:c r="M153" s="90" t="str">
        <x:v>OASIS is high-risk and requires a single controlled competency course rather than 20 separate quizzes.</x:v>
      </x:c>
      <x:c r="N153" s="90" t="str">
        <x:v>12-allPoliciesContent.generated.ts — CL-OA-015</x:v>
      </x:c>
      <x:c r="O153" s="90" t="str">
        <x:v>https://www.ecfr.gov/current/title-42/part-484/section-484.55</x:v>
      </x:c>
      <x:c r="P153" s="90" t="str">
        <x:v>Choose one canonical OASIS source and correct assessor eligibility before publishing. RN learning objectives remain valid.</x:v>
      </x:c>
    </x:row>
    <x:row r="154" ht="42" customHeight="1">
      <x:c r="A154" s="90" t="str">
        <x:v>RN-04</x:v>
      </x:c>
      <x:c r="B154" s="90" t="str">
        <x:v>RN</x:v>
      </x:c>
      <x:c r="C154" s="90" t="str">
        <x:v>CL-OA-016</x:v>
      </x:c>
      <x:c r="D154" s="90" t="str">
        <x:v>Scoring Methodology Integrity for Multi-Item Assessments</x:v>
      </x:c>
      <x:c r="E154" s="90" t="str">
        <x:v>Hold</x:v>
      </x:c>
      <x:c r="F154" s="90" t="str">
        <x:v>Yes</x:v>
      </x:c>
      <x:c r="G154" s="90" t="str">
        <x:v>Yes — bundled</x:v>
      </x:c>
      <x:c r="H154" s="90" t="str">
        <x:v>OASIS Authorization, Accuracy &amp; Submission Integrity</x:v>
      </x:c>
      <x:c r="I154" s="90" t="str">
        <x:v>85% written exam, coding exercise, tool demonstration, supervised SOC</x:v>
      </x:c>
      <x:c r="J154" s="90" t="str">
        <x:v>By day 14; before independent duty if earlier</x:v>
      </x:c>
      <x:c r="K154" s="90" t="str">
        <x:v>At hire; then on material revision</x:v>
      </x:c>
      <x:c r="L154" s="90" t="str">
        <x:v>Hold</x:v>
      </x:c>
      <x:c r="M154" s="90" t="str">
        <x:v>OASIS is high-risk and requires a single controlled competency course rather than 20 separate quizzes.</x:v>
      </x:c>
      <x:c r="N154" s="90" t="str">
        <x:v>12-allPoliciesContent.generated.ts — CL-OA-016</x:v>
      </x:c>
      <x:c r="O154" s="90" t="str">
        <x:v>https://www.ecfr.gov/current/title-42/part-484/section-484.55</x:v>
      </x:c>
      <x:c r="P154" s="90" t="str">
        <x:v>Choose one canonical OASIS source and correct assessor eligibility before publishing. RN learning objectives remain valid.</x:v>
      </x:c>
    </x:row>
    <x:row r="155" ht="42" customHeight="1">
      <x:c r="A155" s="90" t="str">
        <x:v>RN-04</x:v>
      </x:c>
      <x:c r="B155" s="90" t="str">
        <x:v>RN</x:v>
      </x:c>
      <x:c r="C155" s="90" t="str">
        <x:v>CL-OA-017</x:v>
      </x:c>
      <x:c r="D155" s="90" t="str">
        <x:v>Contemporaneous Documentation Requirement</x:v>
      </x:c>
      <x:c r="E155" s="90" t="str">
        <x:v>Hold</x:v>
      </x:c>
      <x:c r="F155" s="90" t="str">
        <x:v>Yes</x:v>
      </x:c>
      <x:c r="G155" s="90" t="str">
        <x:v>Yes — bundled</x:v>
      </x:c>
      <x:c r="H155" s="90" t="str">
        <x:v>OASIS Authorization, Accuracy &amp; Submission Integrity</x:v>
      </x:c>
      <x:c r="I155" s="90" t="str">
        <x:v>85% written exam, coding exercise, tool demonstration, supervised SOC</x:v>
      </x:c>
      <x:c r="J155" s="90" t="str">
        <x:v>By day 14; before independent duty if earlier</x:v>
      </x:c>
      <x:c r="K155" s="90" t="str">
        <x:v>At hire; then on material revision</x:v>
      </x:c>
      <x:c r="L155" s="90" t="str">
        <x:v>Hold</x:v>
      </x:c>
      <x:c r="M155" s="90" t="str">
        <x:v>OASIS is high-risk and requires a single controlled competency course rather than 20 separate quizzes.</x:v>
      </x:c>
      <x:c r="N155" s="90" t="str">
        <x:v>12-allPoliciesContent.generated.ts — CL-OA-017</x:v>
      </x:c>
      <x:c r="O155" s="90" t="str">
        <x:v>https://www.ecfr.gov/current/title-42/part-484/section-484.55</x:v>
      </x:c>
      <x:c r="P155" s="90" t="str">
        <x:v>Choose one canonical OASIS source and correct assessor eligibility before publishing. RN learning objectives remain valid.</x:v>
      </x:c>
    </x:row>
    <x:row r="156" ht="42" customHeight="1">
      <x:c r="A156" s="90" t="str">
        <x:v>RN-04</x:v>
      </x:c>
      <x:c r="B156" s="90" t="str">
        <x:v>RN</x:v>
      </x:c>
      <x:c r="C156" s="90" t="str">
        <x:v>CL-OA-018</x:v>
      </x:c>
      <x:c r="D156" s="90" t="str">
        <x:v>Clinician Competency Validation for OASIS Assessment</x:v>
      </x:c>
      <x:c r="E156" s="90" t="str">
        <x:v>Hold</x:v>
      </x:c>
      <x:c r="F156" s="90" t="str">
        <x:v>Yes</x:v>
      </x:c>
      <x:c r="G156" s="90" t="str">
        <x:v>Yes — bundled</x:v>
      </x:c>
      <x:c r="H156" s="90" t="str">
        <x:v>OASIS Authorization, Accuracy &amp; Submission Integrity</x:v>
      </x:c>
      <x:c r="I156" s="90" t="str">
        <x:v>85% written exam, coding exercise, tool demonstration, supervised SOC</x:v>
      </x:c>
      <x:c r="J156" s="90" t="str">
        <x:v>By day 14; before independent duty if earlier</x:v>
      </x:c>
      <x:c r="K156" s="90" t="str">
        <x:v>At hire; then on material revision</x:v>
      </x:c>
      <x:c r="L156" s="90" t="str">
        <x:v>Hold</x:v>
      </x:c>
      <x:c r="M156" s="90" t="str">
        <x:v>OASIS is high-risk and requires a single controlled competency course rather than 20 separate quizzes.</x:v>
      </x:c>
      <x:c r="N156" s="90" t="str">
        <x:v>12-allPoliciesContent.generated.ts — CL-OA-018</x:v>
      </x:c>
      <x:c r="O156" s="90" t="str">
        <x:v>https://www.ecfr.gov/current/title-42/part-484/section-484.55</x:v>
      </x:c>
      <x:c r="P156" s="90" t="str">
        <x:v>Choose one canonical OASIS source and correct assessor eligibility before publishing. RN learning objectives remain valid.</x:v>
      </x:c>
    </x:row>
    <x:row r="157" ht="42" customHeight="1">
      <x:c r="A157" s="90" t="str">
        <x:v>RN-04</x:v>
      </x:c>
      <x:c r="B157" s="90" t="str">
        <x:v>RN</x:v>
      </x:c>
      <x:c r="C157" s="90" t="str">
        <x:v>CL-OA-019</x:v>
      </x:c>
      <x:c r="D157" s="90" t="str">
        <x:v>Pre-Submission Quality Review for Comprehensive Assessments</x:v>
      </x:c>
      <x:c r="E157" s="90" t="str">
        <x:v>Hold</x:v>
      </x:c>
      <x:c r="F157" s="90" t="str">
        <x:v>Yes</x:v>
      </x:c>
      <x:c r="G157" s="90" t="str">
        <x:v>Yes — bundled</x:v>
      </x:c>
      <x:c r="H157" s="90" t="str">
        <x:v>OASIS Authorization, Accuracy &amp; Submission Integrity</x:v>
      </x:c>
      <x:c r="I157" s="90" t="str">
        <x:v>85% written exam, coding exercise, tool demonstration, supervised SOC</x:v>
      </x:c>
      <x:c r="J157" s="90" t="str">
        <x:v>By day 14; before independent duty if earlier</x:v>
      </x:c>
      <x:c r="K157" s="90" t="str">
        <x:v>At hire; then on material revision</x:v>
      </x:c>
      <x:c r="L157" s="90" t="str">
        <x:v>Hold</x:v>
      </x:c>
      <x:c r="M157" s="90" t="str">
        <x:v>OASIS is high-risk and requires a single controlled competency course rather than 20 separate quizzes.</x:v>
      </x:c>
      <x:c r="N157" s="90" t="str">
        <x:v>12-allPoliciesContent.generated.ts — CL-OA-019</x:v>
      </x:c>
      <x:c r="O157" s="90" t="str">
        <x:v>https://www.ecfr.gov/current/title-42/part-484/section-484.55</x:v>
      </x:c>
      <x:c r="P157" s="90" t="str">
        <x:v>Choose one canonical OASIS source and correct assessor eligibility before publishing. RN learning objectives remain valid.</x:v>
      </x:c>
    </x:row>
    <x:row r="158" ht="42" customHeight="1">
      <x:c r="A158" s="90" t="str">
        <x:v>RN-04</x:v>
      </x:c>
      <x:c r="B158" s="90" t="str">
        <x:v>RN</x:v>
      </x:c>
      <x:c r="C158" s="90" t="str">
        <x:v>CL-OA-101</x:v>
      </x:c>
      <x:c r="D158" s="90" t="str">
        <x:v>OASIS Data Accuracy, Validation &amp; Submission Integrity</x:v>
      </x:c>
      <x:c r="E158" s="90" t="str">
        <x:v>Hold</x:v>
      </x:c>
      <x:c r="F158" s="90" t="str">
        <x:v>Yes</x:v>
      </x:c>
      <x:c r="G158" s="90" t="str">
        <x:v>Yes — bundled</x:v>
      </x:c>
      <x:c r="H158" s="90" t="str">
        <x:v>OASIS Authorization, Accuracy &amp; Submission Integrity</x:v>
      </x:c>
      <x:c r="I158" s="90" t="str">
        <x:v>85% written exam, coding exercise, tool demonstration, supervised SOC</x:v>
      </x:c>
      <x:c r="J158" s="90" t="str">
        <x:v>By day 14; before independent duty if earlier</x:v>
      </x:c>
      <x:c r="K158" s="90" t="str">
        <x:v>At hire; then on material revision</x:v>
      </x:c>
      <x:c r="L158" s="90" t="str">
        <x:v>Hold</x:v>
      </x:c>
      <x:c r="M158" s="90" t="str">
        <x:v>OASIS is high-risk and requires a single controlled competency course rather than 20 separate quizzes.</x:v>
      </x:c>
      <x:c r="N158" s="90" t="str">
        <x:v>12-allPoliciesContent.generated.ts — CL-OA-101</x:v>
      </x:c>
      <x:c r="O158" s="90" t="str">
        <x:v>https://www.ecfr.gov/current/title-42/part-484/section-484.55</x:v>
      </x:c>
      <x:c r="P158" s="90" t="str">
        <x:v>Choose one canonical OASIS source and correct assessor eligibility before publishing. RN learning objectives remain valid.</x:v>
      </x:c>
    </x:row>
    <x:row r="159" ht="42" customHeight="1">
      <x:c r="A159" s="90" t="str">
        <x:v>RN-05</x:v>
      </x:c>
      <x:c r="B159" s="90" t="str">
        <x:v>RN</x:v>
      </x:c>
      <x:c r="C159" s="90" t="str">
        <x:v>CL-SD-012</x:v>
      </x:c>
      <x:c r="D159" s="90" t="str">
        <x:v>Medication Management &amp; Administration</x:v>
      </x:c>
      <x:c r="E159" s="90" t="str">
        <x:v>Core</x:v>
      </x:c>
      <x:c r="F159" s="90" t="str">
        <x:v>Yes</x:v>
      </x:c>
      <x:c r="G159" s="90" t="str">
        <x:v>Yes — bundled</x:v>
      </x:c>
      <x:c r="H159" s="90" t="str">
        <x:v>Medication, Infection &amp; High-Risk Clinical Care</x:v>
      </x:c>
      <x:c r="I159" s="90" t="str">
        <x:v>80% quiz plus medication/reconciliation skills</x:v>
      </x:c>
      <x:c r="J159" s="90" t="str">
        <x:v>By day 14; before independent duty if earlier</x:v>
      </x:c>
      <x:c r="K159" s="90" t="str">
        <x:v>Initial + annual; patient-specific competency as assigned</x:v>
      </x:c>
      <x:c r="L159" s="90" t="str">
        <x:v>Ready</x:v>
      </x:c>
      <x:c r="M159" s="90" t="str">
        <x:v>Addresses recurring nursing risks and condition-specific competency triggers.</x:v>
      </x:c>
      <x:c r="N159" s="90" t="str">
        <x:v>12-allPoliciesContent.generated.ts — CL-SD-012</x:v>
      </x:c>
      <x:c r="O159" s="90" t="str">
        <x:v>https://www.ecfr.gov/current/title-42/part-484/section-484.75</x:v>
      </x:c>
      <x:c r="P159" s="90" t="str"/>
    </x:row>
    <x:row r="160" ht="42" customHeight="1">
      <x:c r="A160" s="90" t="str">
        <x:v>RN-05</x:v>
      </x:c>
      <x:c r="B160" s="90" t="str">
        <x:v>RN</x:v>
      </x:c>
      <x:c r="C160" s="90" t="str">
        <x:v>CL-SD-013</x:v>
      </x:c>
      <x:c r="D160" s="90" t="str">
        <x:v>Medication Reconciliation at Transitions</x:v>
      </x:c>
      <x:c r="E160" s="90" t="str">
        <x:v>Core</x:v>
      </x:c>
      <x:c r="F160" s="90" t="str">
        <x:v>Yes</x:v>
      </x:c>
      <x:c r="G160" s="90" t="str">
        <x:v>Yes — bundled</x:v>
      </x:c>
      <x:c r="H160" s="90" t="str">
        <x:v>Medication, Infection &amp; High-Risk Clinical Care</x:v>
      </x:c>
      <x:c r="I160" s="90" t="str">
        <x:v>80% quiz plus medication/reconciliation skills</x:v>
      </x:c>
      <x:c r="J160" s="90" t="str">
        <x:v>By day 14; before independent duty if earlier</x:v>
      </x:c>
      <x:c r="K160" s="90" t="str">
        <x:v>Initial + annual; patient-specific competency as assigned</x:v>
      </x:c>
      <x:c r="L160" s="90" t="str">
        <x:v>Ready</x:v>
      </x:c>
      <x:c r="M160" s="90" t="str">
        <x:v>Addresses recurring nursing risks and condition-specific competency triggers.</x:v>
      </x:c>
      <x:c r="N160" s="90" t="str">
        <x:v>12-allPoliciesContent.generated.ts — CL-SD-013</x:v>
      </x:c>
      <x:c r="O160" s="90" t="str">
        <x:v>https://www.ecfr.gov/current/title-42/part-484/section-484.75</x:v>
      </x:c>
      <x:c r="P160" s="90" t="str"/>
    </x:row>
    <x:row r="161" ht="42" customHeight="1">
      <x:c r="A161" s="90" t="str">
        <x:v>RN-05</x:v>
      </x:c>
      <x:c r="B161" s="90" t="str">
        <x:v>RN</x:v>
      </x:c>
      <x:c r="C161" s="90" t="str">
        <x:v>CL-SD-014</x:v>
      </x:c>
      <x:c r="D161" s="90" t="str">
        <x:v>Pain Assessment &amp; Management</x:v>
      </x:c>
      <x:c r="E161" s="90" t="str">
        <x:v>Core</x:v>
      </x:c>
      <x:c r="F161" s="90" t="str">
        <x:v>Yes</x:v>
      </x:c>
      <x:c r="G161" s="90" t="str">
        <x:v>Yes — bundled</x:v>
      </x:c>
      <x:c r="H161" s="90" t="str">
        <x:v>Medication, Infection &amp; High-Risk Clinical Care</x:v>
      </x:c>
      <x:c r="I161" s="90" t="str">
        <x:v>80% quiz plus medication/reconciliation skills</x:v>
      </x:c>
      <x:c r="J161" s="90" t="str">
        <x:v>By day 14; before independent duty if earlier</x:v>
      </x:c>
      <x:c r="K161" s="90" t="str">
        <x:v>Initial + annual; patient-specific competency as assigned</x:v>
      </x:c>
      <x:c r="L161" s="90" t="str">
        <x:v>Ready</x:v>
      </x:c>
      <x:c r="M161" s="90" t="str">
        <x:v>Addresses recurring nursing risks and condition-specific competency triggers.</x:v>
      </x:c>
      <x:c r="N161" s="90" t="str">
        <x:v>12-allPoliciesContent.generated.ts — CL-SD-014</x:v>
      </x:c>
      <x:c r="O161" s="90" t="str">
        <x:v>https://www.ecfr.gov/current/title-42/part-484/section-484.75</x:v>
      </x:c>
      <x:c r="P161" s="90" t="str"/>
    </x:row>
    <x:row r="162" ht="42" customHeight="1">
      <x:c r="A162" s="90" t="str">
        <x:v>RN-05</x:v>
      </x:c>
      <x:c r="B162" s="90" t="str">
        <x:v>RN</x:v>
      </x:c>
      <x:c r="C162" s="90" t="str">
        <x:v>CL-SD-015</x:v>
      </x:c>
      <x:c r="D162" s="90" t="str">
        <x:v>Fall Risk Assessment &amp; Prevention</x:v>
      </x:c>
      <x:c r="E162" s="90" t="str">
        <x:v>Core</x:v>
      </x:c>
      <x:c r="F162" s="90" t="str">
        <x:v>Yes</x:v>
      </x:c>
      <x:c r="G162" s="90" t="str">
        <x:v>Yes — bundled</x:v>
      </x:c>
      <x:c r="H162" s="90" t="str">
        <x:v>Medication, Infection &amp; High-Risk Clinical Care</x:v>
      </x:c>
      <x:c r="I162" s="90" t="str">
        <x:v>80% quiz plus medication/reconciliation skills</x:v>
      </x:c>
      <x:c r="J162" s="90" t="str">
        <x:v>By day 14; before independent duty if earlier</x:v>
      </x:c>
      <x:c r="K162" s="90" t="str">
        <x:v>Initial + annual; patient-specific competency as assigned</x:v>
      </x:c>
      <x:c r="L162" s="90" t="str">
        <x:v>Ready</x:v>
      </x:c>
      <x:c r="M162" s="90" t="str">
        <x:v>Addresses recurring nursing risks and condition-specific competency triggers.</x:v>
      </x:c>
      <x:c r="N162" s="90" t="str">
        <x:v>12-allPoliciesContent.generated.ts — CL-SD-015</x:v>
      </x:c>
      <x:c r="O162" s="90" t="str">
        <x:v>https://www.ecfr.gov/current/title-42/part-484/section-484.75</x:v>
      </x:c>
      <x:c r="P162" s="90" t="str"/>
    </x:row>
    <x:row r="163" ht="42" customHeight="1">
      <x:c r="A163" s="90" t="str">
        <x:v>RN-05</x:v>
      </x:c>
      <x:c r="B163" s="90" t="str">
        <x:v>RN</x:v>
      </x:c>
      <x:c r="C163" s="90" t="str">
        <x:v>CL-SD-016</x:v>
      </x:c>
      <x:c r="D163" s="90" t="str">
        <x:v>Infection Prevention &amp; Control</x:v>
      </x:c>
      <x:c r="E163" s="90" t="str">
        <x:v>Core</x:v>
      </x:c>
      <x:c r="F163" s="90" t="str">
        <x:v>Yes</x:v>
      </x:c>
      <x:c r="G163" s="90" t="str">
        <x:v>Yes — bundled</x:v>
      </x:c>
      <x:c r="H163" s="90" t="str">
        <x:v>Medication, Infection &amp; High-Risk Clinical Care</x:v>
      </x:c>
      <x:c r="I163" s="90" t="str">
        <x:v>80% quiz plus medication/reconciliation skills</x:v>
      </x:c>
      <x:c r="J163" s="90" t="str">
        <x:v>By day 14; before independent duty if earlier</x:v>
      </x:c>
      <x:c r="K163" s="90" t="str">
        <x:v>Initial + annual; patient-specific competency as assigned</x:v>
      </x:c>
      <x:c r="L163" s="90" t="str">
        <x:v>Ready</x:v>
      </x:c>
      <x:c r="M163" s="90" t="str">
        <x:v>Addresses recurring nursing risks and condition-specific competency triggers.</x:v>
      </x:c>
      <x:c r="N163" s="90" t="str">
        <x:v>12-allPoliciesContent.generated.ts — CL-SD-016</x:v>
      </x:c>
      <x:c r="O163" s="90" t="str">
        <x:v>https://www.ecfr.gov/current/title-42/part-484/section-484.75</x:v>
      </x:c>
      <x:c r="P163" s="90" t="str"/>
    </x:row>
    <x:row r="164" ht="42" customHeight="1">
      <x:c r="A164" s="90" t="str">
        <x:v>RN-05</x:v>
      </x:c>
      <x:c r="B164" s="90" t="str">
        <x:v>RN</x:v>
      </x:c>
      <x:c r="C164" s="90" t="str">
        <x:v>CL-SD-017</x:v>
      </x:c>
      <x:c r="D164" s="90" t="str">
        <x:v>Patient Education &amp; Self-Management</x:v>
      </x:c>
      <x:c r="E164" s="90" t="str">
        <x:v>Core</x:v>
      </x:c>
      <x:c r="F164" s="90" t="str">
        <x:v>Yes</x:v>
      </x:c>
      <x:c r="G164" s="90" t="str">
        <x:v>Yes — bundled</x:v>
      </x:c>
      <x:c r="H164" s="90" t="str">
        <x:v>Medication, Infection &amp; High-Risk Clinical Care</x:v>
      </x:c>
      <x:c r="I164" s="90" t="str">
        <x:v>80% quiz plus medication/reconciliation skills</x:v>
      </x:c>
      <x:c r="J164" s="90" t="str">
        <x:v>By day 14; before independent duty if earlier</x:v>
      </x:c>
      <x:c r="K164" s="90" t="str">
        <x:v>Initial + annual; patient-specific competency as assigned</x:v>
      </x:c>
      <x:c r="L164" s="90" t="str">
        <x:v>Ready</x:v>
      </x:c>
      <x:c r="M164" s="90" t="str">
        <x:v>Addresses recurring nursing risks and condition-specific competency triggers.</x:v>
      </x:c>
      <x:c r="N164" s="90" t="str">
        <x:v>12-allPoliciesContent.generated.ts — CL-SD-017</x:v>
      </x:c>
      <x:c r="O164" s="90" t="str">
        <x:v>https://www.ecfr.gov/current/title-42/part-484/section-484.75</x:v>
      </x:c>
      <x:c r="P164" s="90" t="str"/>
    </x:row>
    <x:row r="165" ht="42" customHeight="1">
      <x:c r="A165" s="90" t="str">
        <x:v>RN-05</x:v>
      </x:c>
      <x:c r="B165" s="90" t="str">
        <x:v>RN</x:v>
      </x:c>
      <x:c r="C165" s="90" t="str">
        <x:v>CL-SD-018</x:v>
      </x:c>
      <x:c r="D165" s="90" t="str">
        <x:v>Diabetic Management &amp; Monitoring</x:v>
      </x:c>
      <x:c r="E165" s="90" t="str">
        <x:v>Conditional</x:v>
      </x:c>
      <x:c r="F165" s="90" t="str">
        <x:v>Yes</x:v>
      </x:c>
      <x:c r="G165" s="90" t="str">
        <x:v>Yes — bundled</x:v>
      </x:c>
      <x:c r="H165" s="90" t="str">
        <x:v>Medication, Infection &amp; High-Risk Clinical Care</x:v>
      </x:c>
      <x:c r="I165" s="90" t="str">
        <x:v>80% quiz plus medication/reconciliation skills</x:v>
      </x:c>
      <x:c r="J165" s="90" t="str">
        <x:v>By day 14; before independent duty if earlier</x:v>
      </x:c>
      <x:c r="K165" s="90" t="str">
        <x:v>Initial + annual; patient-specific competency as assigned</x:v>
      </x:c>
      <x:c r="L165" s="90" t="str">
        <x:v>Ready</x:v>
      </x:c>
      <x:c r="M165" s="90" t="str">
        <x:v>Addresses recurring nursing risks and condition-specific competency triggers.</x:v>
      </x:c>
      <x:c r="N165" s="90" t="str">
        <x:v>12-allPoliciesContent.generated.ts — CL-SD-018</x:v>
      </x:c>
      <x:c r="O165" s="90" t="str">
        <x:v>https://www.ecfr.gov/current/title-42/part-484/section-484.75</x:v>
      </x:c>
      <x:c r="P165" s="90" t="str"/>
    </x:row>
    <x:row r="166" ht="42" customHeight="1">
      <x:c r="A166" s="90" t="str">
        <x:v>RN-05</x:v>
      </x:c>
      <x:c r="B166" s="90" t="str">
        <x:v>RN</x:v>
      </x:c>
      <x:c r="C166" s="90" t="str">
        <x:v>CL-SD-019</x:v>
      </x:c>
      <x:c r="D166" s="90" t="str">
        <x:v>Cardiac Care &amp; Monitoring</x:v>
      </x:c>
      <x:c r="E166" s="90" t="str">
        <x:v>Conditional</x:v>
      </x:c>
      <x:c r="F166" s="90" t="str">
        <x:v>Yes</x:v>
      </x:c>
      <x:c r="G166" s="90" t="str">
        <x:v>Yes — bundled</x:v>
      </x:c>
      <x:c r="H166" s="90" t="str">
        <x:v>Medication, Infection &amp; High-Risk Clinical Care</x:v>
      </x:c>
      <x:c r="I166" s="90" t="str">
        <x:v>80% quiz plus medication/reconciliation skills</x:v>
      </x:c>
      <x:c r="J166" s="90" t="str">
        <x:v>By day 14; before independent duty if earlier</x:v>
      </x:c>
      <x:c r="K166" s="90" t="str">
        <x:v>Initial + annual; patient-specific competency as assigned</x:v>
      </x:c>
      <x:c r="L166" s="90" t="str">
        <x:v>Ready</x:v>
      </x:c>
      <x:c r="M166" s="90" t="str">
        <x:v>Addresses recurring nursing risks and condition-specific competency triggers.</x:v>
      </x:c>
      <x:c r="N166" s="90" t="str">
        <x:v>12-allPoliciesContent.generated.ts — CL-SD-019</x:v>
      </x:c>
      <x:c r="O166" s="90" t="str">
        <x:v>https://www.ecfr.gov/current/title-42/part-484/section-484.75</x:v>
      </x:c>
      <x:c r="P166" s="90" t="str"/>
    </x:row>
    <x:row r="167" ht="42" customHeight="1">
      <x:c r="A167" s="90" t="str">
        <x:v>RN-05</x:v>
      </x:c>
      <x:c r="B167" s="90" t="str">
        <x:v>RN</x:v>
      </x:c>
      <x:c r="C167" s="90" t="str">
        <x:v>CL-SD-020</x:v>
      </x:c>
      <x:c r="D167" s="90" t="str">
        <x:v>Respiratory Care &amp; Management</x:v>
      </x:c>
      <x:c r="E167" s="90" t="str">
        <x:v>Conditional</x:v>
      </x:c>
      <x:c r="F167" s="90" t="str">
        <x:v>Yes</x:v>
      </x:c>
      <x:c r="G167" s="90" t="str">
        <x:v>Yes — bundled</x:v>
      </x:c>
      <x:c r="H167" s="90" t="str">
        <x:v>Medication, Infection &amp; High-Risk Clinical Care</x:v>
      </x:c>
      <x:c r="I167" s="90" t="str">
        <x:v>80% quiz plus medication/reconciliation skills</x:v>
      </x:c>
      <x:c r="J167" s="90" t="str">
        <x:v>By day 14; before independent duty if earlier</x:v>
      </x:c>
      <x:c r="K167" s="90" t="str">
        <x:v>Initial + annual; patient-specific competency as assigned</x:v>
      </x:c>
      <x:c r="L167" s="90" t="str">
        <x:v>Ready</x:v>
      </x:c>
      <x:c r="M167" s="90" t="str">
        <x:v>Addresses recurring nursing risks and condition-specific competency triggers.</x:v>
      </x:c>
      <x:c r="N167" s="90" t="str">
        <x:v>12-allPoliciesContent.generated.ts — CL-SD-020</x:v>
      </x:c>
      <x:c r="O167" s="90" t="str">
        <x:v>https://www.ecfr.gov/current/title-42/part-484/section-484.75</x:v>
      </x:c>
      <x:c r="P167" s="90" t="str"/>
    </x:row>
    <x:row r="168" ht="42" customHeight="1">
      <x:c r="A168" s="90" t="str">
        <x:v>RN-05</x:v>
      </x:c>
      <x:c r="B168" s="90" t="str">
        <x:v>RN</x:v>
      </x:c>
      <x:c r="C168" s="90" t="str">
        <x:v>RM-PS-005</x:v>
      </x:c>
      <x:c r="D168" s="90" t="str">
        <x:v>High-Risk Medication Safety</x:v>
      </x:c>
      <x:c r="E168" s="90" t="str">
        <x:v>Conditional</x:v>
      </x:c>
      <x:c r="F168" s="90" t="str">
        <x:v>Yes</x:v>
      </x:c>
      <x:c r="G168" s="90" t="str">
        <x:v>Yes — bundled</x:v>
      </x:c>
      <x:c r="H168" s="90" t="str">
        <x:v>Medication, Infection &amp; High-Risk Clinical Care</x:v>
      </x:c>
      <x:c r="I168" s="90" t="str">
        <x:v>80% quiz plus medication/reconciliation skills</x:v>
      </x:c>
      <x:c r="J168" s="90" t="str">
        <x:v>By day 14; before independent duty if earlier</x:v>
      </x:c>
      <x:c r="K168" s="90" t="str">
        <x:v>Initial + annual; patient-specific competency as assigned</x:v>
      </x:c>
      <x:c r="L168" s="90" t="str">
        <x:v>Ready</x:v>
      </x:c>
      <x:c r="M168" s="90" t="str">
        <x:v>Addresses recurring nursing risks and condition-specific competency triggers.</x:v>
      </x:c>
      <x:c r="N168" s="90" t="str">
        <x:v>12-allPoliciesContent.generated.ts — RM-PS-005</x:v>
      </x:c>
      <x:c r="O168" s="90" t="str"/>
      <x:c r="P168" s="90" t="str"/>
    </x:row>
    <x:row r="169" ht="42" customHeight="1">
      <x:c r="A169" s="90" t="str">
        <x:v>RN-06</x:v>
      </x:c>
      <x:c r="B169" s="90" t="str">
        <x:v>RN</x:v>
      </x:c>
      <x:c r="C169" s="90" t="str">
        <x:v>CL-SD-009</x:v>
      </x:c>
      <x:c r="D169" s="90" t="str">
        <x:v>Telehealth &amp; Remote Monitoring Services</x:v>
      </x:c>
      <x:c r="E169" s="90" t="str">
        <x:v>Conditional</x:v>
      </x:c>
      <x:c r="F169" s="90" t="str">
        <x:v>Yes</x:v>
      </x:c>
      <x:c r="G169" s="90" t="str">
        <x:v>Yes — bundled</x:v>
      </x:c>
      <x:c r="H169" s="90" t="str">
        <x:v>Specialty Procedures, Telehealth, IV &amp; Wound Care</x:v>
      </x:c>
      <x:c r="I169" s="90" t="str">
        <x:v>80% quiz plus return demonstration</x:v>
      </x:c>
      <x:c r="J169" s="90" t="str">
        <x:v>By day 14; before independent duty if earlier</x:v>
      </x:c>
      <x:c r="K169" s="90" t="str">
        <x:v>Before first assignment; annual where policy requires</x:v>
      </x:c>
      <x:c r="L169" s="90" t="str">
        <x:v>Conditional</x:v>
      </x:c>
      <x:c r="M169" s="90" t="str">
        <x:v>Assign only when the RN will perform or oversee the specialty service.</x:v>
      </x:c>
      <x:c r="N169" s="90" t="str">
        <x:v>12-allPoliciesContent.generated.ts — CL-SD-009</x:v>
      </x:c>
      <x:c r="O169" s="90" t="str">
        <x:v>https://www.ecfr.gov/current/title-42/part-484/section-484.75</x:v>
      </x:c>
      <x:c r="P169" s="90" t="str"/>
    </x:row>
    <x:row r="170" ht="42" customHeight="1">
      <x:c r="A170" s="90" t="str">
        <x:v>RN-06</x:v>
      </x:c>
      <x:c r="B170" s="90" t="str">
        <x:v>RN</x:v>
      </x:c>
      <x:c r="C170" s="90" t="str">
        <x:v>CL-SD-010</x:v>
      </x:c>
      <x:c r="D170" s="90" t="str">
        <x:v>IV Therapy &amp; Infusion Services</x:v>
      </x:c>
      <x:c r="E170" s="90" t="str">
        <x:v>Conditional</x:v>
      </x:c>
      <x:c r="F170" s="90" t="str">
        <x:v>Yes</x:v>
      </x:c>
      <x:c r="G170" s="90" t="str">
        <x:v>Yes — bundled</x:v>
      </x:c>
      <x:c r="H170" s="90" t="str">
        <x:v>Specialty Procedures, Telehealth, IV &amp; Wound Care</x:v>
      </x:c>
      <x:c r="I170" s="90" t="str">
        <x:v>80% quiz plus return demonstration</x:v>
      </x:c>
      <x:c r="J170" s="90" t="str">
        <x:v>By day 14; before independent duty if earlier</x:v>
      </x:c>
      <x:c r="K170" s="90" t="str">
        <x:v>Before first assignment; annual where policy requires</x:v>
      </x:c>
      <x:c r="L170" s="90" t="str">
        <x:v>Conditional</x:v>
      </x:c>
      <x:c r="M170" s="90" t="str">
        <x:v>Assign only when the RN will perform or oversee the specialty service.</x:v>
      </x:c>
      <x:c r="N170" s="90" t="str">
        <x:v>12-allPoliciesContent.generated.ts — CL-SD-010</x:v>
      </x:c>
      <x:c r="O170" s="90" t="str">
        <x:v>https://www.ecfr.gov/current/title-42/part-484/section-484.75</x:v>
      </x:c>
      <x:c r="P170" s="90" t="str"/>
    </x:row>
    <x:row r="171" ht="42" customHeight="1">
      <x:c r="A171" s="90" t="str">
        <x:v>RN-06</x:v>
      </x:c>
      <x:c r="B171" s="90" t="str">
        <x:v>RN</x:v>
      </x:c>
      <x:c r="C171" s="90" t="str">
        <x:v>CL-SD-011</x:v>
      </x:c>
      <x:c r="D171" s="90" t="str">
        <x:v>Wound Care Assessment &amp; Management</x:v>
      </x:c>
      <x:c r="E171" s="90" t="str">
        <x:v>Conditional</x:v>
      </x:c>
      <x:c r="F171" s="90" t="str">
        <x:v>Yes</x:v>
      </x:c>
      <x:c r="G171" s="90" t="str">
        <x:v>Yes — bundled</x:v>
      </x:c>
      <x:c r="H171" s="90" t="str">
        <x:v>Specialty Procedures, Telehealth, IV &amp; Wound Care</x:v>
      </x:c>
      <x:c r="I171" s="90" t="str">
        <x:v>80% quiz plus return demonstration</x:v>
      </x:c>
      <x:c r="J171" s="90" t="str">
        <x:v>By day 14; before independent duty if earlier</x:v>
      </x:c>
      <x:c r="K171" s="90" t="str">
        <x:v>Before first assignment; annual where policy requires</x:v>
      </x:c>
      <x:c r="L171" s="90" t="str">
        <x:v>Conditional</x:v>
      </x:c>
      <x:c r="M171" s="90" t="str">
        <x:v>Assign only when the RN will perform or oversee the specialty service.</x:v>
      </x:c>
      <x:c r="N171" s="90" t="str">
        <x:v>12-allPoliciesContent.generated.ts — CL-SD-011</x:v>
      </x:c>
      <x:c r="O171" s="90" t="str">
        <x:v>https://www.ecfr.gov/current/title-42/part-484/section-484.75</x:v>
      </x:c>
      <x:c r="P171" s="90" t="str"/>
    </x:row>
    <x:row r="172" ht="42" customHeight="1">
      <x:c r="A172" s="90" t="str">
        <x:v>RN-06</x:v>
      </x:c>
      <x:c r="B172" s="90" t="str">
        <x:v>RN</x:v>
      </x:c>
      <x:c r="C172" s="90" t="str">
        <x:v>RM-PS-002</x:v>
      </x:c>
      <x:c r="D172" s="90" t="str">
        <x:v>Hazardous Materials &amp; Waste Management</x:v>
      </x:c>
      <x:c r="E172" s="90" t="str">
        <x:v>Conditional</x:v>
      </x:c>
      <x:c r="F172" s="90" t="str">
        <x:v>Yes</x:v>
      </x:c>
      <x:c r="G172" s="90" t="str">
        <x:v>Yes — bundled</x:v>
      </x:c>
      <x:c r="H172" s="90" t="str">
        <x:v>Specialty Procedures, Telehealth, IV &amp; Wound Care</x:v>
      </x:c>
      <x:c r="I172" s="90" t="str">
        <x:v>80% quiz plus return demonstration</x:v>
      </x:c>
      <x:c r="J172" s="90" t="str">
        <x:v>By day 14; before independent duty if earlier</x:v>
      </x:c>
      <x:c r="K172" s="90" t="str">
        <x:v>Before first assignment; annual where policy requires</x:v>
      </x:c>
      <x:c r="L172" s="90" t="str">
        <x:v>Conditional</x:v>
      </x:c>
      <x:c r="M172" s="90" t="str">
        <x:v>Assign only when the RN will perform or oversee the specialty service.</x:v>
      </x:c>
      <x:c r="N172" s="90" t="str">
        <x:v>12-allPoliciesContent.generated.ts — RM-PS-002</x:v>
      </x:c>
      <x:c r="O172" s="90" t="str"/>
      <x:c r="P172" s="90" t="str"/>
    </x:row>
    <x:row r="173" ht="42" customHeight="1">
      <x:c r="A173" s="90" t="str">
        <x:v>RN-06</x:v>
      </x:c>
      <x:c r="B173" s="90" t="str">
        <x:v>RN</x:v>
      </x:c>
      <x:c r="C173" s="90" t="str">
        <x:v>RM-PS-003</x:v>
      </x:c>
      <x:c r="D173" s="90" t="str">
        <x:v>Product &amp; Equipment Safety Recall Management</x:v>
      </x:c>
      <x:c r="E173" s="90" t="str">
        <x:v>Conditional</x:v>
      </x:c>
      <x:c r="F173" s="90" t="str">
        <x:v>Yes</x:v>
      </x:c>
      <x:c r="G173" s="90" t="str">
        <x:v>Yes — bundled</x:v>
      </x:c>
      <x:c r="H173" s="90" t="str">
        <x:v>Specialty Procedures, Telehealth, IV &amp; Wound Care</x:v>
      </x:c>
      <x:c r="I173" s="90" t="str">
        <x:v>80% quiz plus return demonstration</x:v>
      </x:c>
      <x:c r="J173" s="90" t="str">
        <x:v>By day 14; before independent duty if earlier</x:v>
      </x:c>
      <x:c r="K173" s="90" t="str">
        <x:v>Before first assignment; annual where policy requires</x:v>
      </x:c>
      <x:c r="L173" s="90" t="str">
        <x:v>Conditional</x:v>
      </x:c>
      <x:c r="M173" s="90" t="str">
        <x:v>Assign only when the RN will perform or oversee the specialty service.</x:v>
      </x:c>
      <x:c r="N173" s="90" t="str">
        <x:v>12-allPoliciesContent.generated.ts — RM-PS-003</x:v>
      </x:c>
      <x:c r="O173" s="90" t="str"/>
      <x:c r="P173" s="90" t="str"/>
    </x:row>
    <x:row r="174" ht="42" customHeight="1">
      <x:c r="A174" s="90" t="str">
        <x:v>RN-07</x:v>
      </x:c>
      <x:c r="B174" s="90" t="str">
        <x:v>RN</x:v>
      </x:c>
      <x:c r="C174" s="90" t="str">
        <x:v>CL-SD-021</x:v>
      </x:c>
      <x:c r="D174" s="90" t="str">
        <x:v>Pediatric Home Health Services</x:v>
      </x:c>
      <x:c r="E174" s="90" t="str">
        <x:v>Conditional</x:v>
      </x:c>
      <x:c r="F174" s="90" t="str">
        <x:v>Yes</x:v>
      </x:c>
      <x:c r="G174" s="90" t="str">
        <x:v>Yes — bundled</x:v>
      </x:c>
      <x:c r="H174" s="90" t="str">
        <x:v>Transitions, Special Populations &amp; Patient Safeguards</x:v>
      </x:c>
      <x:c r="I174" s="90" t="str">
        <x:v>80% quiz using transition and special-population cases</x:v>
      </x:c>
      <x:c r="J174" s="90" t="str">
        <x:v>By day 14; before independent duty if earlier</x:v>
      </x:c>
      <x:c r="K174" s="90" t="str">
        <x:v>At hire; then on material revision</x:v>
      </x:c>
      <x:c r="L174" s="90" t="str">
        <x:v>Ready</x:v>
      </x:c>
      <x:c r="M174" s="90" t="str">
        <x:v>Covers missed visits, ordered frequency, advance directives, consent, emergencies, and population-specific escalation.</x:v>
      </x:c>
      <x:c r="N174" s="90" t="str">
        <x:v>12-allPoliciesContent.generated.ts — CL-SD-021</x:v>
      </x:c>
      <x:c r="O174" s="90" t="str">
        <x:v>https://www.ecfr.gov/current/title-42/part-484/section-484.75</x:v>
      </x:c>
      <x:c r="P174" s="90" t="str"/>
    </x:row>
    <x:row r="175" ht="42" customHeight="1">
      <x:c r="A175" s="90" t="str">
        <x:v>RN-07</x:v>
      </x:c>
      <x:c r="B175" s="90" t="str">
        <x:v>RN</x:v>
      </x:c>
      <x:c r="C175" s="90" t="str">
        <x:v>CL-SD-022</x:v>
      </x:c>
      <x:c r="D175" s="90" t="str">
        <x:v>Behavioral Health Screening &amp; Referral</x:v>
      </x:c>
      <x:c r="E175" s="90" t="str">
        <x:v>Conditional</x:v>
      </x:c>
      <x:c r="F175" s="90" t="str">
        <x:v>Yes</x:v>
      </x:c>
      <x:c r="G175" s="90" t="str">
        <x:v>Yes — bundled</x:v>
      </x:c>
      <x:c r="H175" s="90" t="str">
        <x:v>Transitions, Special Populations &amp; Patient Safeguards</x:v>
      </x:c>
      <x:c r="I175" s="90" t="str">
        <x:v>80% quiz using transition and special-population cases</x:v>
      </x:c>
      <x:c r="J175" s="90" t="str">
        <x:v>By day 14; before independent duty if earlier</x:v>
      </x:c>
      <x:c r="K175" s="90" t="str">
        <x:v>At hire; then on material revision</x:v>
      </x:c>
      <x:c r="L175" s="90" t="str">
        <x:v>Ready</x:v>
      </x:c>
      <x:c r="M175" s="90" t="str">
        <x:v>Covers missed visits, ordered frequency, advance directives, consent, emergencies, and population-specific escalation.</x:v>
      </x:c>
      <x:c r="N175" s="90" t="str">
        <x:v>12-allPoliciesContent.generated.ts — CL-SD-022</x:v>
      </x:c>
      <x:c r="O175" s="90" t="str">
        <x:v>https://www.ecfr.gov/current/title-42/part-484/section-484.75</x:v>
      </x:c>
      <x:c r="P175" s="90" t="str"/>
    </x:row>
    <x:row r="176" ht="42" customHeight="1">
      <x:c r="A176" s="90" t="str">
        <x:v>RN-07</x:v>
      </x:c>
      <x:c r="B176" s="90" t="str">
        <x:v>RN</x:v>
      </x:c>
      <x:c r="C176" s="90" t="str">
        <x:v>CL-SD-023</x:v>
      </x:c>
      <x:c r="D176" s="90" t="str">
        <x:v>Palliative &amp; End-of-Life Care</x:v>
      </x:c>
      <x:c r="E176" s="90" t="str">
        <x:v>Conditional</x:v>
      </x:c>
      <x:c r="F176" s="90" t="str">
        <x:v>Yes</x:v>
      </x:c>
      <x:c r="G176" s="90" t="str">
        <x:v>Yes — bundled</x:v>
      </x:c>
      <x:c r="H176" s="90" t="str">
        <x:v>Transitions, Special Populations &amp; Patient Safeguards</x:v>
      </x:c>
      <x:c r="I176" s="90" t="str">
        <x:v>80% quiz using transition and special-population cases</x:v>
      </x:c>
      <x:c r="J176" s="90" t="str">
        <x:v>By day 14; before independent duty if earlier</x:v>
      </x:c>
      <x:c r="K176" s="90" t="str">
        <x:v>At hire; then on material revision</x:v>
      </x:c>
      <x:c r="L176" s="90" t="str">
        <x:v>Ready</x:v>
      </x:c>
      <x:c r="M176" s="90" t="str">
        <x:v>Covers missed visits, ordered frequency, advance directives, consent, emergencies, and population-specific escalation.</x:v>
      </x:c>
      <x:c r="N176" s="90" t="str">
        <x:v>12-allPoliciesContent.generated.ts — CL-SD-023</x:v>
      </x:c>
      <x:c r="O176" s="90" t="str">
        <x:v>https://www.ecfr.gov/current/title-42/part-484/section-484.75</x:v>
      </x:c>
      <x:c r="P176" s="90" t="str"/>
    </x:row>
    <x:row r="177" ht="42" customHeight="1">
      <x:c r="A177" s="90" t="str">
        <x:v>RN-07</x:v>
      </x:c>
      <x:c r="B177" s="90" t="str">
        <x:v>RN</x:v>
      </x:c>
      <x:c r="C177" s="90" t="str">
        <x:v>CL-SD-024</x:v>
      </x:c>
      <x:c r="D177" s="90" t="str">
        <x:v>Missed Visit &amp; Rescheduling</x:v>
      </x:c>
      <x:c r="E177" s="90" t="str">
        <x:v>Core</x:v>
      </x:c>
      <x:c r="F177" s="90" t="str">
        <x:v>Yes</x:v>
      </x:c>
      <x:c r="G177" s="90" t="str">
        <x:v>Yes — bundled</x:v>
      </x:c>
      <x:c r="H177" s="90" t="str">
        <x:v>Transitions, Special Populations &amp; Patient Safeguards</x:v>
      </x:c>
      <x:c r="I177" s="90" t="str">
        <x:v>80% quiz using transition and special-population cases</x:v>
      </x:c>
      <x:c r="J177" s="90" t="str">
        <x:v>By day 14; before independent duty if earlier</x:v>
      </x:c>
      <x:c r="K177" s="90" t="str">
        <x:v>At hire; then on material revision</x:v>
      </x:c>
      <x:c r="L177" s="90" t="str">
        <x:v>Ready</x:v>
      </x:c>
      <x:c r="M177" s="90" t="str">
        <x:v>Covers missed visits, ordered frequency, advance directives, consent, emergencies, and population-specific escalation.</x:v>
      </x:c>
      <x:c r="N177" s="90" t="str">
        <x:v>12-allPoliciesContent.generated.ts — CL-SD-024</x:v>
      </x:c>
      <x:c r="O177" s="90" t="str">
        <x:v>https://www.ecfr.gov/current/title-42/part-484/section-484.75</x:v>
      </x:c>
      <x:c r="P177" s="90" t="str"/>
    </x:row>
    <x:row r="178" ht="42" customHeight="1">
      <x:c r="A178" s="90" t="str">
        <x:v>RN-07</x:v>
      </x:c>
      <x:c r="B178" s="90" t="str">
        <x:v>RN</x:v>
      </x:c>
      <x:c r="C178" s="90" t="str">
        <x:v>CL-SD-025</x:v>
      </x:c>
      <x:c r="D178" s="90" t="str">
        <x:v>Ordered Visit Frequency Compliance &amp; Monitoring</x:v>
      </x:c>
      <x:c r="E178" s="90" t="str">
        <x:v>Core</x:v>
      </x:c>
      <x:c r="F178" s="90" t="str">
        <x:v>Yes</x:v>
      </x:c>
      <x:c r="G178" s="90" t="str">
        <x:v>Yes — bundled</x:v>
      </x:c>
      <x:c r="H178" s="90" t="str">
        <x:v>Transitions, Special Populations &amp; Patient Safeguards</x:v>
      </x:c>
      <x:c r="I178" s="90" t="str">
        <x:v>80% quiz using transition and special-population cases</x:v>
      </x:c>
      <x:c r="J178" s="90" t="str">
        <x:v>By day 14; before independent duty if earlier</x:v>
      </x:c>
      <x:c r="K178" s="90" t="str">
        <x:v>At hire; then on material revision</x:v>
      </x:c>
      <x:c r="L178" s="90" t="str">
        <x:v>Ready</x:v>
      </x:c>
      <x:c r="M178" s="90" t="str">
        <x:v>Covers missed visits, ordered frequency, advance directives, consent, emergencies, and population-specific escalation.</x:v>
      </x:c>
      <x:c r="N178" s="90" t="str">
        <x:v>12-allPoliciesContent.generated.ts — CL-SD-025</x:v>
      </x:c>
      <x:c r="O178" s="90" t="str">
        <x:v>https://www.ecfr.gov/current/title-42/part-484/section-484.75</x:v>
      </x:c>
      <x:c r="P178" s="90" t="str"/>
    </x:row>
    <x:row r="179" ht="42" customHeight="1">
      <x:c r="A179" s="90" t="str">
        <x:v>RN-07</x:v>
      </x:c>
      <x:c r="B179" s="90" t="str">
        <x:v>RN</x:v>
      </x:c>
      <x:c r="C179" s="90" t="str">
        <x:v>CL-PR-002</x:v>
      </x:c>
      <x:c r="D179" s="90" t="str">
        <x:v>Advance Directive Compliance</x:v>
      </x:c>
      <x:c r="E179" s="90" t="str">
        <x:v>Core</x:v>
      </x:c>
      <x:c r="F179" s="90" t="str">
        <x:v>Yes</x:v>
      </x:c>
      <x:c r="G179" s="90" t="str">
        <x:v>Yes — bundled</x:v>
      </x:c>
      <x:c r="H179" s="90" t="str">
        <x:v>Transitions, Special Populations &amp; Patient Safeguards</x:v>
      </x:c>
      <x:c r="I179" s="90" t="str">
        <x:v>80% quiz using transition and special-population cases</x:v>
      </x:c>
      <x:c r="J179" s="90" t="str">
        <x:v>By day 14; before independent duty if earlier</x:v>
      </x:c>
      <x:c r="K179" s="90" t="str">
        <x:v>At hire; then on material revision</x:v>
      </x:c>
      <x:c r="L179" s="90" t="str">
        <x:v>Ready</x:v>
      </x:c>
      <x:c r="M179" s="90" t="str">
        <x:v>Covers missed visits, ordered frequency, advance directives, consent, emergencies, and population-specific escalation.</x:v>
      </x:c>
      <x:c r="N179" s="90" t="str">
        <x:v>12-allPoliciesContent.generated.ts — CL-PR-002</x:v>
      </x:c>
      <x:c r="O179" s="90" t="str">
        <x:v>https://www.ecfr.gov/current/title-42/part-484/section-484.50</x:v>
      </x:c>
      <x:c r="P179" s="90" t="str"/>
    </x:row>
    <x:row r="180" ht="42" customHeight="1">
      <x:c r="A180" s="90" t="str">
        <x:v>RN-07</x:v>
      </x:c>
      <x:c r="B180" s="90" t="str">
        <x:v>RN</x:v>
      </x:c>
      <x:c r="C180" s="90" t="str">
        <x:v>CL-PR-003</x:v>
      </x:c>
      <x:c r="D180" s="90" t="str">
        <x:v>Informed Consent</x:v>
      </x:c>
      <x:c r="E180" s="90" t="str">
        <x:v>Core</x:v>
      </x:c>
      <x:c r="F180" s="90" t="str">
        <x:v>Yes</x:v>
      </x:c>
      <x:c r="G180" s="90" t="str">
        <x:v>Yes — bundled</x:v>
      </x:c>
      <x:c r="H180" s="90" t="str">
        <x:v>Transitions, Special Populations &amp; Patient Safeguards</x:v>
      </x:c>
      <x:c r="I180" s="90" t="str">
        <x:v>80% quiz using transition and special-population cases</x:v>
      </x:c>
      <x:c r="J180" s="90" t="str">
        <x:v>By day 14; before independent duty if earlier</x:v>
      </x:c>
      <x:c r="K180" s="90" t="str">
        <x:v>At hire; then on material revision</x:v>
      </x:c>
      <x:c r="L180" s="90" t="str">
        <x:v>Ready</x:v>
      </x:c>
      <x:c r="M180" s="90" t="str">
        <x:v>Covers missed visits, ordered frequency, advance directives, consent, emergencies, and population-specific escalation.</x:v>
      </x:c>
      <x:c r="N180" s="90" t="str">
        <x:v>12-allPoliciesContent.generated.ts — CL-PR-003</x:v>
      </x:c>
      <x:c r="O180" s="90" t="str">
        <x:v>https://www.ecfr.gov/current/title-42/part-484/section-484.50</x:v>
      </x:c>
      <x:c r="P180" s="90" t="str"/>
    </x:row>
    <x:row r="181" ht="42" customHeight="1">
      <x:c r="A181" s="90" t="str">
        <x:v>RN-07</x:v>
      </x:c>
      <x:c r="B181" s="90" t="str">
        <x:v>RN</x:v>
      </x:c>
      <x:c r="C181" s="90" t="str">
        <x:v>CL-PR-004</x:v>
      </x:c>
      <x:c r="D181" s="90" t="str">
        <x:v>Restraint &amp; Seclusion Prohibition</x:v>
      </x:c>
      <x:c r="E181" s="90" t="str">
        <x:v>Core</x:v>
      </x:c>
      <x:c r="F181" s="90" t="str">
        <x:v>Yes</x:v>
      </x:c>
      <x:c r="G181" s="90" t="str">
        <x:v>Yes — bundled</x:v>
      </x:c>
      <x:c r="H181" s="90" t="str">
        <x:v>Transitions, Special Populations &amp; Patient Safeguards</x:v>
      </x:c>
      <x:c r="I181" s="90" t="str">
        <x:v>80% quiz using transition and special-population cases</x:v>
      </x:c>
      <x:c r="J181" s="90" t="str">
        <x:v>By day 14; before independent duty if earlier</x:v>
      </x:c>
      <x:c r="K181" s="90" t="str">
        <x:v>At hire; then on material revision</x:v>
      </x:c>
      <x:c r="L181" s="90" t="str">
        <x:v>Ready</x:v>
      </x:c>
      <x:c r="M181" s="90" t="str">
        <x:v>Covers missed visits, ordered frequency, advance directives, consent, emergencies, and population-specific escalation.</x:v>
      </x:c>
      <x:c r="N181" s="90" t="str">
        <x:v>12-allPoliciesContent.generated.ts — CL-PR-004</x:v>
      </x:c>
      <x:c r="O181" s="90" t="str">
        <x:v>https://www.ecfr.gov/current/title-42/part-484/section-484.50</x:v>
      </x:c>
      <x:c r="P181" s="90" t="str"/>
    </x:row>
    <x:row r="182" ht="42" customHeight="1">
      <x:c r="A182" s="90" t="str">
        <x:v>RN-07</x:v>
      </x:c>
      <x:c r="B182" s="90" t="str">
        <x:v>RN</x:v>
      </x:c>
      <x:c r="C182" s="90" t="str">
        <x:v>CL-PR-005</x:v>
      </x:c>
      <x:c r="D182" s="90" t="str">
        <x:v>Emergency Preparedness — Clinical</x:v>
      </x:c>
      <x:c r="E182" s="90" t="str">
        <x:v>Core</x:v>
      </x:c>
      <x:c r="F182" s="90" t="str">
        <x:v>Yes</x:v>
      </x:c>
      <x:c r="G182" s="90" t="str">
        <x:v>Yes — bundled</x:v>
      </x:c>
      <x:c r="H182" s="90" t="str">
        <x:v>Transitions, Special Populations &amp; Patient Safeguards</x:v>
      </x:c>
      <x:c r="I182" s="90" t="str">
        <x:v>80% quiz using transition and special-population cases</x:v>
      </x:c>
      <x:c r="J182" s="90" t="str">
        <x:v>By day 14; before independent duty if earlier</x:v>
      </x:c>
      <x:c r="K182" s="90" t="str">
        <x:v>At hire; then on material revision</x:v>
      </x:c>
      <x:c r="L182" s="90" t="str">
        <x:v>Ready</x:v>
      </x:c>
      <x:c r="M182" s="90" t="str">
        <x:v>Covers missed visits, ordered frequency, advance directives, consent, emergencies, and population-specific escalation.</x:v>
      </x:c>
      <x:c r="N182" s="90" t="str">
        <x:v>12-allPoliciesContent.generated.ts — CL-PR-005</x:v>
      </x:c>
      <x:c r="O182" s="90" t="str">
        <x:v>https://www.ecfr.gov/current/title-42/part-484/section-484.50</x:v>
      </x:c>
      <x:c r="P182" s="90" t="str"/>
    </x:row>
    <x:row r="183" ht="42" customHeight="1">
      <x:c r="A183" s="90" t="str">
        <x:v>RN-07</x:v>
      </x:c>
      <x:c r="B183" s="90" t="str">
        <x:v>RN</x:v>
      </x:c>
      <x:c r="C183" s="90" t="str">
        <x:v>OP-PA-002</x:v>
      </x:c>
      <x:c r="D183" s="90" t="str">
        <x:v>Patient Identification &amp; Verification</x:v>
      </x:c>
      <x:c r="E183" s="90" t="str">
        <x:v>Core</x:v>
      </x:c>
      <x:c r="F183" s="90" t="str">
        <x:v>Yes</x:v>
      </x:c>
      <x:c r="G183" s="90" t="str">
        <x:v>Yes — bundled</x:v>
      </x:c>
      <x:c r="H183" s="90" t="str">
        <x:v>Transitions, Special Populations &amp; Patient Safeguards</x:v>
      </x:c>
      <x:c r="I183" s="90" t="str">
        <x:v>80% quiz using transition and special-population cases</x:v>
      </x:c>
      <x:c r="J183" s="90" t="str">
        <x:v>By day 14; before independent duty if earlier</x:v>
      </x:c>
      <x:c r="K183" s="90" t="str">
        <x:v>At hire; then on material revision</x:v>
      </x:c>
      <x:c r="L183" s="90" t="str">
        <x:v>Ready</x:v>
      </x:c>
      <x:c r="M183" s="90" t="str">
        <x:v>Covers missed visits, ordered frequency, advance directives, consent, emergencies, and population-specific escalation.</x:v>
      </x:c>
      <x:c r="N183" s="90" t="str">
        <x:v>12-allPoliciesContent.generated.ts — OP-PA-002</x:v>
      </x:c>
      <x:c r="O183" s="90" t="str"/>
      <x:c r="P183" s="90" t="str"/>
    </x:row>
    <x:row r="184" ht="42" customHeight="1">
      <x:c r="A184" s="90" t="str">
        <x:v>RN-07</x:v>
      </x:c>
      <x:c r="B184" s="90" t="str">
        <x:v>RN</x:v>
      </x:c>
      <x:c r="C184" s="90" t="str">
        <x:v>OP-PA-003</x:v>
      </x:c>
      <x:c r="D184" s="90" t="str">
        <x:v>Interpreter &amp; Language Access Services</x:v>
      </x:c>
      <x:c r="E184" s="90" t="str">
        <x:v>Core</x:v>
      </x:c>
      <x:c r="F184" s="90" t="str">
        <x:v>Yes</x:v>
      </x:c>
      <x:c r="G184" s="90" t="str">
        <x:v>Yes — bundled</x:v>
      </x:c>
      <x:c r="H184" s="90" t="str">
        <x:v>Transitions, Special Populations &amp; Patient Safeguards</x:v>
      </x:c>
      <x:c r="I184" s="90" t="str">
        <x:v>80% quiz using transition and special-population cases</x:v>
      </x:c>
      <x:c r="J184" s="90" t="str">
        <x:v>By day 14; before independent duty if earlier</x:v>
      </x:c>
      <x:c r="K184" s="90" t="str">
        <x:v>At hire; then on material revision</x:v>
      </x:c>
      <x:c r="L184" s="90" t="str">
        <x:v>Ready</x:v>
      </x:c>
      <x:c r="M184" s="90" t="str">
        <x:v>Covers missed visits, ordered frequency, advance directives, consent, emergencies, and population-specific escalation.</x:v>
      </x:c>
      <x:c r="N184" s="90" t="str">
        <x:v>12-allPoliciesContent.generated.ts — OP-PA-003</x:v>
      </x:c>
      <x:c r="O184" s="90" t="str"/>
      <x:c r="P184" s="90" t="str"/>
    </x:row>
    <x:row r="185" ht="42" customHeight="1">
      <x:c r="A185" s="90" t="str">
        <x:v>RN-07</x:v>
      </x:c>
      <x:c r="B185" s="90" t="str">
        <x:v>RN</x:v>
      </x:c>
      <x:c r="C185" s="90" t="str">
        <x:v>OP-PA-004</x:v>
      </x:c>
      <x:c r="D185" s="90" t="str">
        <x:v>Cultural Competency in Service Delivery</x:v>
      </x:c>
      <x:c r="E185" s="90" t="str">
        <x:v>Core</x:v>
      </x:c>
      <x:c r="F185" s="90" t="str">
        <x:v>Yes</x:v>
      </x:c>
      <x:c r="G185" s="90" t="str">
        <x:v>Yes — bundled</x:v>
      </x:c>
      <x:c r="H185" s="90" t="str">
        <x:v>Transitions, Special Populations &amp; Patient Safeguards</x:v>
      </x:c>
      <x:c r="I185" s="90" t="str">
        <x:v>80% quiz using transition and special-population cases</x:v>
      </x:c>
      <x:c r="J185" s="90" t="str">
        <x:v>By day 14; before independent duty if earlier</x:v>
      </x:c>
      <x:c r="K185" s="90" t="str">
        <x:v>At hire; then on material revision</x:v>
      </x:c>
      <x:c r="L185" s="90" t="str">
        <x:v>Ready</x:v>
      </x:c>
      <x:c r="M185" s="90" t="str">
        <x:v>Covers missed visits, ordered frequency, advance directives, consent, emergencies, and population-specific escalation.</x:v>
      </x:c>
      <x:c r="N185" s="90" t="str">
        <x:v>12-allPoliciesContent.generated.ts — OP-PA-004</x:v>
      </x:c>
      <x:c r="O185" s="90" t="str"/>
      <x:c r="P185" s="90" t="str"/>
    </x:row>
    <x:row r="186" ht="42" customHeight="1">
      <x:c r="A186" s="90" t="str">
        <x:v>RN-07</x:v>
      </x:c>
      <x:c r="B186" s="90" t="str">
        <x:v>RN</x:v>
      </x:c>
      <x:c r="C186" s="90" t="str">
        <x:v>OP-PA-005</x:v>
      </x:c>
      <x:c r="D186" s="90" t="str">
        <x:v>Patient Property &amp; Belongings</x:v>
      </x:c>
      <x:c r="E186" s="90" t="str">
        <x:v>Core</x:v>
      </x:c>
      <x:c r="F186" s="90" t="str">
        <x:v>Yes</x:v>
      </x:c>
      <x:c r="G186" s="90" t="str">
        <x:v>Yes — bundled</x:v>
      </x:c>
      <x:c r="H186" s="90" t="str">
        <x:v>Transitions, Special Populations &amp; Patient Safeguards</x:v>
      </x:c>
      <x:c r="I186" s="90" t="str">
        <x:v>80% quiz using transition and special-population cases</x:v>
      </x:c>
      <x:c r="J186" s="90" t="str">
        <x:v>By day 14; before independent duty if earlier</x:v>
      </x:c>
      <x:c r="K186" s="90" t="str">
        <x:v>At hire; then on material revision</x:v>
      </x:c>
      <x:c r="L186" s="90" t="str">
        <x:v>Ready</x:v>
      </x:c>
      <x:c r="M186" s="90" t="str">
        <x:v>Covers missed visits, ordered frequency, advance directives, consent, emergencies, and population-specific escalation.</x:v>
      </x:c>
      <x:c r="N186" s="90" t="str">
        <x:v>12-allPoliciesContent.generated.ts — OP-PA-005</x:v>
      </x:c>
      <x:c r="O186" s="90" t="str"/>
      <x:c r="P186" s="90" t="str"/>
    </x:row>
    <x:row r="187" ht="42" customHeight="1">
      <x:c r="A187" s="90" t="str">
        <x:v>RN-08</x:v>
      </x:c>
      <x:c r="B187" s="90" t="str">
        <x:v>RN</x:v>
      </x:c>
      <x:c r="C187" s="90" t="str">
        <x:v>QA-PI-005</x:v>
      </x:c>
      <x:c r="D187" s="90" t="str">
        <x:v>Staff Competency Integration with QAPI</x:v>
      </x:c>
      <x:c r="E187" s="90" t="str">
        <x:v>Core</x:v>
      </x:c>
      <x:c r="F187" s="90" t="str">
        <x:v>Yes</x:v>
      </x:c>
      <x:c r="G187" s="90" t="str">
        <x:v>Yes — bundled</x:v>
      </x:c>
      <x:c r="H187" s="90" t="str">
        <x:v>Clinical Quality, Documentation Audit &amp; Field Safety</x:v>
      </x:c>
      <x:c r="I187" s="90" t="str">
        <x:v>80% quiz; exposure/field drills as applicable</x:v>
      </x:c>
      <x:c r="J187" s="90" t="str">
        <x:v>By day 14; before independent duty if earlier</x:v>
      </x:c>
      <x:c r="K187" s="90" t="str">
        <x:v>At hire; then on material revision</x:v>
      </x:c>
      <x:c r="L187" s="90" t="str">
        <x:v>Ready</x:v>
      </x:c>
      <x:c r="M187" s="90" t="str">
        <x:v>Links documentation and competency to outcomes, infection surveillance, utilization, and safe field practice.</x:v>
      </x:c>
      <x:c r="N187" s="90" t="str">
        <x:v>12-allPoliciesContent.generated.ts — QA-PI-005</x:v>
      </x:c>
      <x:c r="O187" s="90" t="str">
        <x:v>https://www.ecfr.gov/current/title-42/part-484/section-484.65</x:v>
      </x:c>
      <x:c r="P187" s="90" t="str"/>
    </x:row>
    <x:row r="188" ht="42" customHeight="1">
      <x:c r="A188" s="90" t="str">
        <x:v>RN-08</x:v>
      </x:c>
      <x:c r="B188" s="90" t="str">
        <x:v>RN</x:v>
      </x:c>
      <x:c r="C188" s="90" t="str">
        <x:v>QA-PI-006</x:v>
      </x:c>
      <x:c r="D188" s="90" t="str">
        <x:v>Visit Utilization &amp; LUPA Risk Management Program</x:v>
      </x:c>
      <x:c r="E188" s="90" t="str">
        <x:v>Core</x:v>
      </x:c>
      <x:c r="F188" s="90" t="str">
        <x:v>Yes</x:v>
      </x:c>
      <x:c r="G188" s="90" t="str">
        <x:v>Yes — bundled</x:v>
      </x:c>
      <x:c r="H188" s="90" t="str">
        <x:v>Clinical Quality, Documentation Audit &amp; Field Safety</x:v>
      </x:c>
      <x:c r="I188" s="90" t="str">
        <x:v>80% quiz; exposure/field drills as applicable</x:v>
      </x:c>
      <x:c r="J188" s="90" t="str">
        <x:v>By day 14; before independent duty if earlier</x:v>
      </x:c>
      <x:c r="K188" s="90" t="str">
        <x:v>At hire; then on material revision</x:v>
      </x:c>
      <x:c r="L188" s="90" t="str">
        <x:v>Ready</x:v>
      </x:c>
      <x:c r="M188" s="90" t="str">
        <x:v>Links documentation and competency to outcomes, infection surveillance, utilization, and safe field practice.</x:v>
      </x:c>
      <x:c r="N188" s="90" t="str">
        <x:v>12-allPoliciesContent.generated.ts — QA-PI-006</x:v>
      </x:c>
      <x:c r="O188" s="90" t="str">
        <x:v>https://www.ecfr.gov/current/title-42/part-484/section-484.65</x:v>
      </x:c>
      <x:c r="P188" s="90" t="str"/>
    </x:row>
    <x:row r="189" ht="42" customHeight="1">
      <x:c r="A189" s="90" t="str">
        <x:v>RN-08</x:v>
      </x:c>
      <x:c r="B189" s="90" t="str">
        <x:v>RN</x:v>
      </x:c>
      <x:c r="C189" s="90" t="str">
        <x:v>QA-PI-007</x:v>
      </x:c>
      <x:c r="D189" s="90" t="str">
        <x:v>Staff Competency Impact on Patient Outcomes</x:v>
      </x:c>
      <x:c r="E189" s="90" t="str">
        <x:v>Core</x:v>
      </x:c>
      <x:c r="F189" s="90" t="str">
        <x:v>Yes</x:v>
      </x:c>
      <x:c r="G189" s="90" t="str">
        <x:v>Yes — bundled</x:v>
      </x:c>
      <x:c r="H189" s="90" t="str">
        <x:v>Clinical Quality, Documentation Audit &amp; Field Safety</x:v>
      </x:c>
      <x:c r="I189" s="90" t="str">
        <x:v>80% quiz; exposure/field drills as applicable</x:v>
      </x:c>
      <x:c r="J189" s="90" t="str">
        <x:v>By day 14; before independent duty if earlier</x:v>
      </x:c>
      <x:c r="K189" s="90" t="str">
        <x:v>At hire; then on material revision</x:v>
      </x:c>
      <x:c r="L189" s="90" t="str">
        <x:v>Ready</x:v>
      </x:c>
      <x:c r="M189" s="90" t="str">
        <x:v>Links documentation and competency to outcomes, infection surveillance, utilization, and safe field practice.</x:v>
      </x:c>
      <x:c r="N189" s="90" t="str">
        <x:v>12-allPoliciesContent.generated.ts — QA-PI-007</x:v>
      </x:c>
      <x:c r="O189" s="90" t="str">
        <x:v>https://www.ecfr.gov/current/title-42/part-484/section-484.65</x:v>
      </x:c>
      <x:c r="P189" s="90" t="str"/>
    </x:row>
    <x:row r="190" ht="42" customHeight="1">
      <x:c r="A190" s="90" t="str">
        <x:v>RN-08</x:v>
      </x:c>
      <x:c r="B190" s="90" t="str">
        <x:v>RN</x:v>
      </x:c>
      <x:c r="C190" s="90" t="str">
        <x:v>QA-SM-002</x:v>
      </x:c>
      <x:c r="D190" s="90" t="str">
        <x:v>Infection Surveillance &amp; Trending</x:v>
      </x:c>
      <x:c r="E190" s="90" t="str">
        <x:v>Core</x:v>
      </x:c>
      <x:c r="F190" s="90" t="str">
        <x:v>Yes</x:v>
      </x:c>
      <x:c r="G190" s="90" t="str">
        <x:v>Yes — bundled</x:v>
      </x:c>
      <x:c r="H190" s="90" t="str">
        <x:v>Clinical Quality, Documentation Audit &amp; Field Safety</x:v>
      </x:c>
      <x:c r="I190" s="90" t="str">
        <x:v>80% quiz; exposure/field drills as applicable</x:v>
      </x:c>
      <x:c r="J190" s="90" t="str">
        <x:v>By day 14; before independent duty if earlier</x:v>
      </x:c>
      <x:c r="K190" s="90" t="str">
        <x:v>At hire; then on material revision</x:v>
      </x:c>
      <x:c r="L190" s="90" t="str">
        <x:v>Ready</x:v>
      </x:c>
      <x:c r="M190" s="90" t="str">
        <x:v>Links documentation and competency to outcomes, infection surveillance, utilization, and safe field practice.</x:v>
      </x:c>
      <x:c r="N190" s="90" t="str">
        <x:v>12-allPoliciesContent.generated.ts — QA-SM-002</x:v>
      </x:c>
      <x:c r="O190" s="90" t="str">
        <x:v>https://www.ecfr.gov/current/title-42/part-484/section-484.65</x:v>
      </x:c>
      <x:c r="P190" s="90" t="str"/>
    </x:row>
    <x:row r="191" ht="42" customHeight="1">
      <x:c r="A191" s="90" t="str">
        <x:v>RN-08</x:v>
      </x:c>
      <x:c r="B191" s="90" t="str">
        <x:v>RN</x:v>
      </x:c>
      <x:c r="C191" s="90" t="str">
        <x:v>QA-SM-003</x:v>
      </x:c>
      <x:c r="D191" s="90" t="str">
        <x:v>Patient Satisfaction Survey &amp; Analysis</x:v>
      </x:c>
      <x:c r="E191" s="90" t="str">
        <x:v>Core</x:v>
      </x:c>
      <x:c r="F191" s="90" t="str">
        <x:v>Yes</x:v>
      </x:c>
      <x:c r="G191" s="90" t="str">
        <x:v>Yes — bundled</x:v>
      </x:c>
      <x:c r="H191" s="90" t="str">
        <x:v>Clinical Quality, Documentation Audit &amp; Field Safety</x:v>
      </x:c>
      <x:c r="I191" s="90" t="str">
        <x:v>80% quiz; exposure/field drills as applicable</x:v>
      </x:c>
      <x:c r="J191" s="90" t="str">
        <x:v>By day 14; before independent duty if earlier</x:v>
      </x:c>
      <x:c r="K191" s="90" t="str">
        <x:v>At hire; then on material revision</x:v>
      </x:c>
      <x:c r="L191" s="90" t="str">
        <x:v>Ready</x:v>
      </x:c>
      <x:c r="M191" s="90" t="str">
        <x:v>Links documentation and competency to outcomes, infection surveillance, utilization, and safe field practice.</x:v>
      </x:c>
      <x:c r="N191" s="90" t="str">
        <x:v>12-allPoliciesContent.generated.ts — QA-SM-003</x:v>
      </x:c>
      <x:c r="O191" s="90" t="str">
        <x:v>https://www.ecfr.gov/current/title-42/part-484/section-484.65</x:v>
      </x:c>
      <x:c r="P191" s="90" t="str"/>
    </x:row>
    <x:row r="192" ht="42" customHeight="1">
      <x:c r="A192" s="90" t="str">
        <x:v>RN-08</x:v>
      </x:c>
      <x:c r="B192" s="90" t="str">
        <x:v>RN</x:v>
      </x:c>
      <x:c r="C192" s="90" t="str">
        <x:v>CO-DC-002</x:v>
      </x:c>
      <x:c r="D192" s="90" t="str">
        <x:v>Documentation Audit &amp; Monitoring Program</x:v>
      </x:c>
      <x:c r="E192" s="90" t="str">
        <x:v>Core</x:v>
      </x:c>
      <x:c r="F192" s="90" t="str">
        <x:v>Yes</x:v>
      </x:c>
      <x:c r="G192" s="90" t="str">
        <x:v>Yes — bundled</x:v>
      </x:c>
      <x:c r="H192" s="90" t="str">
        <x:v>Clinical Quality, Documentation Audit &amp; Field Safety</x:v>
      </x:c>
      <x:c r="I192" s="90" t="str">
        <x:v>80% quiz; exposure/field drills as applicable</x:v>
      </x:c>
      <x:c r="J192" s="90" t="str">
        <x:v>By day 14; before independent duty if earlier</x:v>
      </x:c>
      <x:c r="K192" s="90" t="str">
        <x:v>At hire; then on material revision</x:v>
      </x:c>
      <x:c r="L192" s="90" t="str">
        <x:v>Ready</x:v>
      </x:c>
      <x:c r="M192" s="90" t="str">
        <x:v>Links documentation and competency to outcomes, infection surveillance, utilization, and safe field practice.</x:v>
      </x:c>
      <x:c r="N192" s="90" t="str">
        <x:v>12-allPoliciesContent.generated.ts — CO-DC-002</x:v>
      </x:c>
      <x:c r="O192" s="90" t="str">
        <x:v>https://www.ecfr.gov/current/title-42/part-484/section-484.110</x:v>
      </x:c>
      <x:c r="P192" s="90" t="str"/>
    </x:row>
    <x:row r="193" ht="42" customHeight="1">
      <x:c r="A193" s="90" t="str">
        <x:v>RN-08</x:v>
      </x:c>
      <x:c r="B193" s="90" t="str">
        <x:v>RN</x:v>
      </x:c>
      <x:c r="C193" s="90" t="str">
        <x:v>CO-DC-004</x:v>
      </x:c>
      <x:c r="D193" s="90" t="str">
        <x:v>Clinical, Documentation, and Billing Alignment Audit</x:v>
      </x:c>
      <x:c r="E193" s="90" t="str">
        <x:v>Core</x:v>
      </x:c>
      <x:c r="F193" s="90" t="str">
        <x:v>Yes</x:v>
      </x:c>
      <x:c r="G193" s="90" t="str">
        <x:v>Yes — bundled</x:v>
      </x:c>
      <x:c r="H193" s="90" t="str">
        <x:v>Clinical Quality, Documentation Audit &amp; Field Safety</x:v>
      </x:c>
      <x:c r="I193" s="90" t="str">
        <x:v>80% quiz; exposure/field drills as applicable</x:v>
      </x:c>
      <x:c r="J193" s="90" t="str">
        <x:v>By day 14; before independent duty if earlier</x:v>
      </x:c>
      <x:c r="K193" s="90" t="str">
        <x:v>At hire; then on material revision</x:v>
      </x:c>
      <x:c r="L193" s="90" t="str">
        <x:v>Ready</x:v>
      </x:c>
      <x:c r="M193" s="90" t="str">
        <x:v>Links documentation and competency to outcomes, infection surveillance, utilization, and safe field practice.</x:v>
      </x:c>
      <x:c r="N193" s="90" t="str">
        <x:v>12-allPoliciesContent.generated.ts — CO-DC-004</x:v>
      </x:c>
      <x:c r="O193" s="90" t="str">
        <x:v>https://www.ecfr.gov/current/title-42/part-484/section-484.110</x:v>
      </x:c>
      <x:c r="P193" s="90" t="str"/>
    </x:row>
    <x:row r="194" ht="42" customHeight="1">
      <x:c r="A194" s="90" t="str">
        <x:v>RN-08</x:v>
      </x:c>
      <x:c r="B194" s="90" t="str">
        <x:v>RN</x:v>
      </x:c>
      <x:c r="C194" s="90" t="str">
        <x:v>FN-CM-003</x:v>
      </x:c>
      <x:c r="D194" s="90" t="str">
        <x:v>Medical Necessity Documentation</x:v>
      </x:c>
      <x:c r="E194" s="90" t="str">
        <x:v>Core</x:v>
      </x:c>
      <x:c r="F194" s="90" t="str">
        <x:v>Yes</x:v>
      </x:c>
      <x:c r="G194" s="90" t="str">
        <x:v>Yes — bundled</x:v>
      </x:c>
      <x:c r="H194" s="90" t="str">
        <x:v>Clinical Quality, Documentation Audit &amp; Field Safety</x:v>
      </x:c>
      <x:c r="I194" s="90" t="str">
        <x:v>80% quiz; exposure/field drills as applicable</x:v>
      </x:c>
      <x:c r="J194" s="90" t="str">
        <x:v>By day 14; before independent duty if earlier</x:v>
      </x:c>
      <x:c r="K194" s="90" t="str">
        <x:v>At hire; then on material revision</x:v>
      </x:c>
      <x:c r="L194" s="90" t="str">
        <x:v>Ready</x:v>
      </x:c>
      <x:c r="M194" s="90" t="str">
        <x:v>Links documentation and competency to outcomes, infection surveillance, utilization, and safe field practice.</x:v>
      </x:c>
      <x:c r="N194" s="90" t="str">
        <x:v>12-allPoliciesContent.generated.ts — FN-CM-003</x:v>
      </x:c>
      <x:c r="O194" s="90" t="str"/>
      <x:c r="P194" s="90" t="str"/>
    </x:row>
    <x:row r="195" ht="42" customHeight="1">
      <x:c r="A195" s="90" t="str">
        <x:v>RN-08</x:v>
      </x:c>
      <x:c r="B195" s="90" t="str">
        <x:v>RN</x:v>
      </x:c>
      <x:c r="C195" s="90" t="str">
        <x:v>RM-OS-002</x:v>
      </x:c>
      <x:c r="D195" s="90" t="str">
        <x:v>Aerosol Transmissible Disease (ATD) Exposure Control Plan</x:v>
      </x:c>
      <x:c r="E195" s="90" t="str">
        <x:v>Core</x:v>
      </x:c>
      <x:c r="F195" s="90" t="str">
        <x:v>Yes</x:v>
      </x:c>
      <x:c r="G195" s="90" t="str">
        <x:v>Yes — bundled</x:v>
      </x:c>
      <x:c r="H195" s="90" t="str">
        <x:v>Clinical Quality, Documentation Audit &amp; Field Safety</x:v>
      </x:c>
      <x:c r="I195" s="90" t="str">
        <x:v>80% quiz; exposure/field drills as applicable</x:v>
      </x:c>
      <x:c r="J195" s="90" t="str">
        <x:v>By day 14; before independent duty if earlier</x:v>
      </x:c>
      <x:c r="K195" s="90" t="str">
        <x:v>At hire; then on material revision</x:v>
      </x:c>
      <x:c r="L195" s="90" t="str">
        <x:v>Ready</x:v>
      </x:c>
      <x:c r="M195" s="90" t="str">
        <x:v>Links documentation and competency to outcomes, infection surveillance, utilization, and safe field practice.</x:v>
      </x:c>
      <x:c r="N195" s="90" t="str">
        <x:v>12-allPoliciesContent.generated.ts — RM-OS-002</x:v>
      </x:c>
      <x:c r="O195" s="90" t="str">
        <x:v>https://www.dir.ca.gov/title8/5199.html</x:v>
      </x:c>
      <x:c r="P195" s="90" t="str"/>
    </x:row>
    <x:row r="196" ht="42" customHeight="1">
      <x:c r="A196" s="90" t="str">
        <x:v>RN-08</x:v>
      </x:c>
      <x:c r="B196" s="90" t="str">
        <x:v>RN</x:v>
      </x:c>
      <x:c r="C196" s="90" t="str">
        <x:v>RM-OS-003</x:v>
      </x:c>
      <x:c r="D196" s="90" t="str">
        <x:v>Bloodborne Pathogen (BBP) Exposure Control Plan</x:v>
      </x:c>
      <x:c r="E196" s="90" t="str">
        <x:v>Core</x:v>
      </x:c>
      <x:c r="F196" s="90" t="str">
        <x:v>Yes</x:v>
      </x:c>
      <x:c r="G196" s="90" t="str">
        <x:v>Yes — bundled</x:v>
      </x:c>
      <x:c r="H196" s="90" t="str">
        <x:v>Clinical Quality, Documentation Audit &amp; Field Safety</x:v>
      </x:c>
      <x:c r="I196" s="90" t="str">
        <x:v>80% quiz; exposure/field drills as applicable</x:v>
      </x:c>
      <x:c r="J196" s="90" t="str">
        <x:v>By day 14; before independent duty if earlier</x:v>
      </x:c>
      <x:c r="K196" s="90" t="str">
        <x:v>At hire; then on material revision</x:v>
      </x:c>
      <x:c r="L196" s="90" t="str">
        <x:v>Ready</x:v>
      </x:c>
      <x:c r="M196" s="90" t="str">
        <x:v>Links documentation and competency to outcomes, infection surveillance, utilization, and safe field practice.</x:v>
      </x:c>
      <x:c r="N196" s="90" t="str">
        <x:v>12-allPoliciesContent.generated.ts — RM-OS-003</x:v>
      </x:c>
      <x:c r="O196" s="90" t="str">
        <x:v>https://www.dir.ca.gov/title8/5193.html</x:v>
      </x:c>
      <x:c r="P196" s="90" t="str"/>
    </x:row>
    <x:row r="197" ht="42" customHeight="1">
      <x:c r="A197" s="90" t="str">
        <x:v>RN-08</x:v>
      </x:c>
      <x:c r="B197" s="90" t="str">
        <x:v>RN</x:v>
      </x:c>
      <x:c r="C197" s="90" t="str">
        <x:v>RM-OS-004</x:v>
      </x:c>
      <x:c r="D197" s="90" t="str">
        <x:v>Heat Illness Prevention Program</x:v>
      </x:c>
      <x:c r="E197" s="90" t="str">
        <x:v>Conditional</x:v>
      </x:c>
      <x:c r="F197" s="90" t="str">
        <x:v>Yes</x:v>
      </x:c>
      <x:c r="G197" s="90" t="str">
        <x:v>Yes — bundled</x:v>
      </x:c>
      <x:c r="H197" s="90" t="str">
        <x:v>Clinical Quality, Documentation Audit &amp; Field Safety</x:v>
      </x:c>
      <x:c r="I197" s="90" t="str">
        <x:v>80% quiz; exposure/field drills as applicable</x:v>
      </x:c>
      <x:c r="J197" s="90" t="str">
        <x:v>By day 14; before independent duty if earlier</x:v>
      </x:c>
      <x:c r="K197" s="90" t="str">
        <x:v>At hire; then on material revision</x:v>
      </x:c>
      <x:c r="L197" s="90" t="str">
        <x:v>Ready</x:v>
      </x:c>
      <x:c r="M197" s="90" t="str">
        <x:v>Links documentation and competency to outcomes, infection surveillance, utilization, and safe field practice.</x:v>
      </x:c>
      <x:c r="N197" s="90" t="str">
        <x:v>12-allPoliciesContent.generated.ts — RM-OS-004</x:v>
      </x:c>
      <x:c r="O197" s="90" t="str"/>
      <x:c r="P197" s="90" t="str"/>
    </x:row>
    <x:row r="198" ht="42" customHeight="1">
      <x:c r="A198" s="90" t="str">
        <x:v>RN-08</x:v>
      </x:c>
      <x:c r="B198" s="90" t="str">
        <x:v>RN</x:v>
      </x:c>
      <x:c r="C198" s="90" t="str">
        <x:v>RM-PS-001</x:v>
      </x:c>
      <x:c r="D198" s="90" t="str">
        <x:v>Environmental Safety Assessment</x:v>
      </x:c>
      <x:c r="E198" s="90" t="str">
        <x:v>Core</x:v>
      </x:c>
      <x:c r="F198" s="90" t="str">
        <x:v>Yes</x:v>
      </x:c>
      <x:c r="G198" s="90" t="str">
        <x:v>Yes — bundled</x:v>
      </x:c>
      <x:c r="H198" s="90" t="str">
        <x:v>Clinical Quality, Documentation Audit &amp; Field Safety</x:v>
      </x:c>
      <x:c r="I198" s="90" t="str">
        <x:v>80% quiz; exposure/field drills as applicable</x:v>
      </x:c>
      <x:c r="J198" s="90" t="str">
        <x:v>By day 14; before independent duty if earlier</x:v>
      </x:c>
      <x:c r="K198" s="90" t="str">
        <x:v>At hire; then on material revision</x:v>
      </x:c>
      <x:c r="L198" s="90" t="str">
        <x:v>Ready</x:v>
      </x:c>
      <x:c r="M198" s="90" t="str">
        <x:v>Links documentation and competency to outcomes, infection surveillance, utilization, and safe field practice.</x:v>
      </x:c>
      <x:c r="N198" s="90" t="str">
        <x:v>12-allPoliciesContent.generated.ts — RM-PS-001</x:v>
      </x:c>
      <x:c r="O198" s="90" t="str"/>
      <x:c r="P198" s="90" t="str"/>
    </x:row>
    <x:row r="199" ht="42" customHeight="1">
      <x:c r="A199" s="90" t="str">
        <x:v>RN-08</x:v>
      </x:c>
      <x:c r="B199" s="90" t="str">
        <x:v>RN</x:v>
      </x:c>
      <x:c r="C199" s="90" t="str">
        <x:v>RM-SS-001</x:v>
      </x:c>
      <x:c r="D199" s="90" t="str">
        <x:v>Staff Safety &amp; Personal Security</x:v>
      </x:c>
      <x:c r="E199" s="90" t="str">
        <x:v>Core</x:v>
      </x:c>
      <x:c r="F199" s="90" t="str">
        <x:v>Yes</x:v>
      </x:c>
      <x:c r="G199" s="90" t="str">
        <x:v>Yes — bundled</x:v>
      </x:c>
      <x:c r="H199" s="90" t="str">
        <x:v>Clinical Quality, Documentation Audit &amp; Field Safety</x:v>
      </x:c>
      <x:c r="I199" s="90" t="str">
        <x:v>80% quiz; exposure/field drills as applicable</x:v>
      </x:c>
      <x:c r="J199" s="90" t="str">
        <x:v>By day 14; before independent duty if earlier</x:v>
      </x:c>
      <x:c r="K199" s="90" t="str">
        <x:v>At hire; then on material revision</x:v>
      </x:c>
      <x:c r="L199" s="90" t="str">
        <x:v>Ready</x:v>
      </x:c>
      <x:c r="M199" s="90" t="str">
        <x:v>Links documentation and competency to outcomes, infection surveillance, utilization, and safe field practice.</x:v>
      </x:c>
      <x:c r="N199" s="90" t="str">
        <x:v>12-allPoliciesContent.generated.ts — RM-SS-001</x:v>
      </x:c>
      <x:c r="O199" s="90" t="str"/>
      <x:c r="P199" s="90" t="str"/>
    </x:row>
    <x:row r="200" ht="42" customHeight="1">
      <x:c r="A200" s="90" t="str">
        <x:v>RN-08</x:v>
      </x:c>
      <x:c r="B200" s="90" t="str">
        <x:v>RN</x:v>
      </x:c>
      <x:c r="C200" s="90" t="str">
        <x:v>RM-SS-003</x:v>
      </x:c>
      <x:c r="D200" s="90" t="str">
        <x:v>Motor Vehicle Safety &amp; Accident Reporting</x:v>
      </x:c>
      <x:c r="E200" s="90" t="str">
        <x:v>Conditional</x:v>
      </x:c>
      <x:c r="F200" s="90" t="str">
        <x:v>Yes</x:v>
      </x:c>
      <x:c r="G200" s="90" t="str">
        <x:v>Yes — bundled</x:v>
      </x:c>
      <x:c r="H200" s="90" t="str">
        <x:v>Clinical Quality, Documentation Audit &amp; Field Safety</x:v>
      </x:c>
      <x:c r="I200" s="90" t="str">
        <x:v>80% quiz; exposure/field drills as applicable</x:v>
      </x:c>
      <x:c r="J200" s="90" t="str">
        <x:v>By day 14; before independent duty if earlier</x:v>
      </x:c>
      <x:c r="K200" s="90" t="str">
        <x:v>At hire; then on material revision</x:v>
      </x:c>
      <x:c r="L200" s="90" t="str">
        <x:v>Ready</x:v>
      </x:c>
      <x:c r="M200" s="90" t="str">
        <x:v>Links documentation and competency to outcomes, infection surveillance, utilization, and safe field practice.</x:v>
      </x:c>
      <x:c r="N200" s="90" t="str">
        <x:v>12-allPoliciesContent.generated.ts — RM-SS-003</x:v>
      </x:c>
      <x:c r="O200" s="90" t="str"/>
      <x:c r="P200" s="90" t="str"/>
    </x:row>
    <x:row r="201" ht="42" customHeight="1">
      <x:c r="A201" s="90" t="str">
        <x:v>RN-08</x:v>
      </x:c>
      <x:c r="B201" s="90" t="str">
        <x:v>RN</x:v>
      </x:c>
      <x:c r="C201" s="90" t="str">
        <x:v>OP-SL-003</x:v>
      </x:c>
      <x:c r="D201" s="90" t="str">
        <x:v>Vehicle &amp; Transportation Safety</x:v>
      </x:c>
      <x:c r="E201" s="90" t="str">
        <x:v>Conditional</x:v>
      </x:c>
      <x:c r="F201" s="90" t="str">
        <x:v>Yes</x:v>
      </x:c>
      <x:c r="G201" s="90" t="str">
        <x:v>Yes — bundled</x:v>
      </x:c>
      <x:c r="H201" s="90" t="str">
        <x:v>Clinical Quality, Documentation Audit &amp; Field Safety</x:v>
      </x:c>
      <x:c r="I201" s="90" t="str">
        <x:v>80% quiz; exposure/field drills as applicable</x:v>
      </x:c>
      <x:c r="J201" s="90" t="str">
        <x:v>By day 14; before independent duty if earlier</x:v>
      </x:c>
      <x:c r="K201" s="90" t="str">
        <x:v>At hire; then on material revision</x:v>
      </x:c>
      <x:c r="L201" s="90" t="str">
        <x:v>Ready</x:v>
      </x:c>
      <x:c r="M201" s="90" t="str">
        <x:v>Links documentation and competency to outcomes, infection surveillance, utilization, and safe field practice.</x:v>
      </x:c>
      <x:c r="N201" s="90" t="str">
        <x:v>12-allPoliciesContent.generated.ts — OP-SL-003</x:v>
      </x:c>
      <x:c r="O201" s="90" t="str"/>
      <x:c r="P201" s="90" t="str"/>
    </x:row>
    <x:row r="202" ht="42" customHeight="1">
      <x:c r="A202" s="90" t="str">
        <x:v>RN-08</x:v>
      </x:c>
      <x:c r="B202" s="90" t="str">
        <x:v>RN</x:v>
      </x:c>
      <x:c r="C202" s="90" t="str">
        <x:v>OP-SL-007</x:v>
      </x:c>
      <x:c r="D202" s="90" t="str">
        <x:v>Inclement Weather &amp; Hazardous Conditions</x:v>
      </x:c>
      <x:c r="E202" s="90" t="str">
        <x:v>Core</x:v>
      </x:c>
      <x:c r="F202" s="90" t="str">
        <x:v>Yes</x:v>
      </x:c>
      <x:c r="G202" s="90" t="str">
        <x:v>Yes — bundled</x:v>
      </x:c>
      <x:c r="H202" s="90" t="str">
        <x:v>Clinical Quality, Documentation Audit &amp; Field Safety</x:v>
      </x:c>
      <x:c r="I202" s="90" t="str">
        <x:v>80% quiz; exposure/field drills as applicable</x:v>
      </x:c>
      <x:c r="J202" s="90" t="str">
        <x:v>By day 14; before independent duty if earlier</x:v>
      </x:c>
      <x:c r="K202" s="90" t="str">
        <x:v>At hire; then on material revision</x:v>
      </x:c>
      <x:c r="L202" s="90" t="str">
        <x:v>Ready</x:v>
      </x:c>
      <x:c r="M202" s="90" t="str">
        <x:v>Links documentation and competency to outcomes, infection surveillance, utilization, and safe field practice.</x:v>
      </x:c>
      <x:c r="N202" s="90" t="str">
        <x:v>12-allPoliciesContent.generated.ts — OP-SL-007</x:v>
      </x:c>
      <x:c r="O202" s="90" t="str"/>
      <x:c r="P202" s="90" t="str"/>
    </x:row>
    <x:row r="203" ht="42" customHeight="1">
      <x:c r="A203" s="90" t="str">
        <x:v>HHA-01</x:v>
      </x:c>
      <x:c r="B203" s="90" t="str">
        <x:v>HHA</x:v>
      </x:c>
      <x:c r="C203" s="90" t="str">
        <x:v>HR-JD-007</x:v>
      </x:c>
      <x:c r="D203" s="90" t="str">
        <x:v>Home Health Aide — Job Description</x:v>
      </x:c>
      <x:c r="E203" s="90" t="str">
        <x:v>Core</x:v>
      </x:c>
      <x:c r="F203" s="90" t="str">
        <x:v>Yes</x:v>
      </x:c>
      <x:c r="G203" s="90" t="str">
        <x:v>Yes — bundled</x:v>
      </x:c>
      <x:c r="H203" s="90" t="str">
        <x:v>HHA Job Duties, Scope &amp; Care-Plan Compliance</x:v>
      </x:c>
      <x:c r="I203" s="90" t="str">
        <x:v>80% quiz plus care-plan task matching</x:v>
      </x:c>
      <x:c r="J203" s="90" t="str">
        <x:v>By day 14; before independent duty if earlier</x:v>
      </x:c>
      <x:c r="K203" s="90" t="str">
        <x:v>At hire; then on material revision</x:v>
      </x:c>
      <x:c r="L203" s="90" t="str">
        <x:v>Ready</x:v>
      </x:c>
      <x:c r="M203" s="90" t="str">
        <x:v>Defines permitted tasks, prohibited independent decisions, and the duty to follow the aide care plan.</x:v>
      </x:c>
      <x:c r="N203" s="90" t="str">
        <x:v>12-allPoliciesContent.generated.ts — HR-JD-007</x:v>
      </x:c>
      <x:c r="O203" s="90" t="str">
        <x:v>https://www.ecfr.gov/current/title-42/part-484/section-484.80</x:v>
      </x:c>
      <x:c r="P203" s="90" t="str"/>
    </x:row>
    <x:row r="204" ht="42" customHeight="1">
      <x:c r="A204" s="90" t="str">
        <x:v>HHA-01</x:v>
      </x:c>
      <x:c r="B204" s="90" t="str">
        <x:v>HHA</x:v>
      </x:c>
      <x:c r="C204" s="90" t="str">
        <x:v>HR-JD-000</x:v>
      </x:c>
      <x:c r="D204" s="90" t="str">
        <x:v>Job Description Framework &amp; Organizational Chart</x:v>
      </x:c>
      <x:c r="E204" s="90" t="str">
        <x:v>Core</x:v>
      </x:c>
      <x:c r="F204" s="90" t="str">
        <x:v>Yes</x:v>
      </x:c>
      <x:c r="G204" s="90" t="str">
        <x:v>Yes — bundled</x:v>
      </x:c>
      <x:c r="H204" s="90" t="str">
        <x:v>HHA Job Duties, Scope &amp; Care-Plan Compliance</x:v>
      </x:c>
      <x:c r="I204" s="90" t="str">
        <x:v>80% quiz plus care-plan task matching</x:v>
      </x:c>
      <x:c r="J204" s="90" t="str">
        <x:v>By day 14; before independent duty if earlier</x:v>
      </x:c>
      <x:c r="K204" s="90" t="str">
        <x:v>At hire; then on material revision</x:v>
      </x:c>
      <x:c r="L204" s="90" t="str">
        <x:v>Ready</x:v>
      </x:c>
      <x:c r="M204" s="90" t="str">
        <x:v>Defines permitted tasks, prohibited independent decisions, and the duty to follow the aide care plan.</x:v>
      </x:c>
      <x:c r="N204" s="90" t="str">
        <x:v>12-allPoliciesContent.generated.ts — HR-JD-000</x:v>
      </x:c>
      <x:c r="O204" s="90" t="str">
        <x:v>https://www.ecfr.gov/current/title-42/part-484/section-484.105</x:v>
      </x:c>
      <x:c r="P204" s="90" t="str"/>
    </x:row>
    <x:row r="205" ht="42" customHeight="1">
      <x:c r="A205" s="90" t="str">
        <x:v>HHA-01</x:v>
      </x:c>
      <x:c r="B205" s="90" t="str">
        <x:v>HHA</x:v>
      </x:c>
      <x:c r="C205" s="90" t="str">
        <x:v>CL-SD-006</x:v>
      </x:c>
      <x:c r="D205" s="90" t="str">
        <x:v>Home Health Aide Services &amp; Supervision</x:v>
      </x:c>
      <x:c r="E205" s="90" t="str">
        <x:v>Core</x:v>
      </x:c>
      <x:c r="F205" s="90" t="str">
        <x:v>Yes</x:v>
      </x:c>
      <x:c r="G205" s="90" t="str">
        <x:v>Yes — bundled</x:v>
      </x:c>
      <x:c r="H205" s="90" t="str">
        <x:v>HHA Job Duties, Scope &amp; Care-Plan Compliance</x:v>
      </x:c>
      <x:c r="I205" s="90" t="str">
        <x:v>80% quiz plus care-plan task matching</x:v>
      </x:c>
      <x:c r="J205" s="90" t="str">
        <x:v>By day 14; before independent duty if earlier</x:v>
      </x:c>
      <x:c r="K205" s="90" t="str">
        <x:v>At hire; then on material revision</x:v>
      </x:c>
      <x:c r="L205" s="90" t="str">
        <x:v>Ready</x:v>
      </x:c>
      <x:c r="M205" s="90" t="str">
        <x:v>Defines permitted tasks, prohibited independent decisions, and the duty to follow the aide care plan.</x:v>
      </x:c>
      <x:c r="N205" s="90" t="str">
        <x:v>12-allPoliciesContent.generated.ts — CL-SD-006</x:v>
      </x:c>
      <x:c r="O205" s="90" t="str">
        <x:v>https://www.ecfr.gov/current/title-42/part-484/section-484.80</x:v>
      </x:c>
      <x:c r="P205" s="90" t="str"/>
    </x:row>
    <x:row r="206" ht="42" customHeight="1">
      <x:c r="A206" s="90" t="str">
        <x:v>HHA-01</x:v>
      </x:c>
      <x:c r="B206" s="90" t="str">
        <x:v>HHA</x:v>
      </x:c>
      <x:c r="C206" s="90" t="str">
        <x:v>CL-CP-001</x:v>
      </x:c>
      <x:c r="D206" s="90" t="str">
        <x:v>Plan of Care Development &amp; Approval</x:v>
      </x:c>
      <x:c r="E206" s="90" t="str">
        <x:v>Core</x:v>
      </x:c>
      <x:c r="F206" s="90" t="str">
        <x:v>Yes</x:v>
      </x:c>
      <x:c r="G206" s="90" t="str">
        <x:v>Yes — bundled</x:v>
      </x:c>
      <x:c r="H206" s="90" t="str">
        <x:v>HHA Job Duties, Scope &amp; Care-Plan Compliance</x:v>
      </x:c>
      <x:c r="I206" s="90" t="str">
        <x:v>80% quiz plus care-plan task matching</x:v>
      </x:c>
      <x:c r="J206" s="90" t="str">
        <x:v>By day 14; before independent duty if earlier</x:v>
      </x:c>
      <x:c r="K206" s="90" t="str">
        <x:v>At hire; then on material revision</x:v>
      </x:c>
      <x:c r="L206" s="90" t="str">
        <x:v>Ready</x:v>
      </x:c>
      <x:c r="M206" s="90" t="str">
        <x:v>Defines permitted tasks, prohibited independent decisions, and the duty to follow the aide care plan.</x:v>
      </x:c>
      <x:c r="N206" s="90" t="str">
        <x:v>12-allPoliciesContent.generated.ts — CL-CP-001</x:v>
      </x:c>
      <x:c r="O206" s="90" t="str">
        <x:v>https://www.ecfr.gov/current/title-42/part-484/section-484.60</x:v>
      </x:c>
      <x:c r="P206" s="90" t="str"/>
    </x:row>
    <x:row r="207" ht="42" customHeight="1">
      <x:c r="A207" s="90" t="str">
        <x:v>HHA-01</x:v>
      </x:c>
      <x:c r="B207" s="90" t="str">
        <x:v>HHA</x:v>
      </x:c>
      <x:c r="C207" s="90" t="str">
        <x:v>HR-TA-006</x:v>
      </x:c>
      <x:c r="D207" s="90" t="str">
        <x:v>Job Description &amp; Role Definition</x:v>
      </x:c>
      <x:c r="E207" s="90" t="str">
        <x:v>Core</x:v>
      </x:c>
      <x:c r="F207" s="90" t="str">
        <x:v>Yes</x:v>
      </x:c>
      <x:c r="G207" s="90" t="str">
        <x:v>Yes — bundled</x:v>
      </x:c>
      <x:c r="H207" s="90" t="str">
        <x:v>HHA Job Duties, Scope &amp; Care-Plan Compliance</x:v>
      </x:c>
      <x:c r="I207" s="90" t="str">
        <x:v>80% quiz plus care-plan task matching</x:v>
      </x:c>
      <x:c r="J207" s="90" t="str">
        <x:v>By day 14; before independent duty if earlier</x:v>
      </x:c>
      <x:c r="K207" s="90" t="str">
        <x:v>At hire; then on material revision</x:v>
      </x:c>
      <x:c r="L207" s="90" t="str">
        <x:v>Ready</x:v>
      </x:c>
      <x:c r="M207" s="90" t="str">
        <x:v>Defines permitted tasks, prohibited independent decisions, and the duty to follow the aide care plan.</x:v>
      </x:c>
      <x:c r="N207" s="90" t="str">
        <x:v>12-allPoliciesContent.generated.ts — HR-TA-006</x:v>
      </x:c>
      <x:c r="O207" s="90" t="str"/>
      <x:c r="P207" s="90" t="str"/>
    </x:row>
    <x:row r="208" ht="42" customHeight="1">
      <x:c r="A208" s="90" t="str">
        <x:v>HHA-02</x:v>
      </x:c>
      <x:c r="B208" s="90" t="str">
        <x:v>HHA</x:v>
      </x:c>
      <x:c r="C208" s="90" t="str">
        <x:v>CL-SD-007</x:v>
      </x:c>
      <x:c r="D208" s="90" t="str">
        <x:v>Home Health Aide Competency Evaluation</x:v>
      </x:c>
      <x:c r="E208" s="90" t="str">
        <x:v>Core</x:v>
      </x:c>
      <x:c r="F208" s="90" t="str">
        <x:v>Yes</x:v>
      </x:c>
      <x:c r="G208" s="90" t="str">
        <x:v>Yes — bundled</x:v>
      </x:c>
      <x:c r="H208" s="90" t="str">
        <x:v>HHA Competency Evaluation &amp; Supervision</x:v>
      </x:c>
      <x:c r="I208" s="90" t="str">
        <x:v>Direct observation of required tasks; quiz is supplemental</x:v>
      </x:c>
      <x:c r="J208" s="90" t="str">
        <x:v>By day 14; before independent duty if earlier</x:v>
      </x:c>
      <x:c r="K208" s="90" t="str">
        <x:v>At hire; then on material revision</x:v>
      </x:c>
      <x:c r="L208" s="90" t="str">
        <x:v>Ready</x:v>
      </x:c>
      <x:c r="M208" s="90" t="str">
        <x:v>Federal competency elements require observation for specified aide tasks and RN-supervised remediation.</x:v>
      </x:c>
      <x:c r="N208" s="90" t="str">
        <x:v>12-allPoliciesContent.generated.ts — CL-SD-007</x:v>
      </x:c>
      <x:c r="O208" s="90" t="str">
        <x:v>https://www.ecfr.gov/current/title-42/part-484/section-484.80</x:v>
      </x:c>
      <x:c r="P208" s="90" t="str"/>
    </x:row>
    <x:row r="209" ht="42" customHeight="1">
      <x:c r="A209" s="90" t="str">
        <x:v>HHA-02</x:v>
      </x:c>
      <x:c r="B209" s="90" t="str">
        <x:v>HHA</x:v>
      </x:c>
      <x:c r="C209" s="90" t="str">
        <x:v>CL-SD-008</x:v>
      </x:c>
      <x:c r="D209" s="90" t="str">
        <x:v>Clinical Supervision &amp; Oversight</x:v>
      </x:c>
      <x:c r="E209" s="90" t="str">
        <x:v>Core</x:v>
      </x:c>
      <x:c r="F209" s="90" t="str">
        <x:v>Yes</x:v>
      </x:c>
      <x:c r="G209" s="90" t="str">
        <x:v>Yes — bundled</x:v>
      </x:c>
      <x:c r="H209" s="90" t="str">
        <x:v>HHA Competency Evaluation &amp; Supervision</x:v>
      </x:c>
      <x:c r="I209" s="90" t="str">
        <x:v>Direct observation of required tasks; quiz is supplemental</x:v>
      </x:c>
      <x:c r="J209" s="90" t="str">
        <x:v>By day 14; before independent duty if earlier</x:v>
      </x:c>
      <x:c r="K209" s="90" t="str">
        <x:v>At hire; then on material revision</x:v>
      </x:c>
      <x:c r="L209" s="90" t="str">
        <x:v>Ready</x:v>
      </x:c>
      <x:c r="M209" s="90" t="str">
        <x:v>Federal competency elements require observation for specified aide tasks and RN-supervised remediation.</x:v>
      </x:c>
      <x:c r="N209" s="90" t="str">
        <x:v>12-allPoliciesContent.generated.ts — CL-SD-008</x:v>
      </x:c>
      <x:c r="O209" s="90" t="str">
        <x:v>https://www.ecfr.gov/current/title-42/part-484/section-484.75</x:v>
      </x:c>
      <x:c r="P209" s="90" t="str"/>
    </x:row>
    <x:row r="210" ht="42" customHeight="1">
      <x:c r="A210" s="90" t="str">
        <x:v>HHA-02</x:v>
      </x:c>
      <x:c r="B210" s="90" t="str">
        <x:v>HHA</x:v>
      </x:c>
      <x:c r="C210" s="90" t="str">
        <x:v>HR-TD-003</x:v>
      </x:c>
      <x:c r="D210" s="90" t="str">
        <x:v>Clinical Staff Competency Evaluation</x:v>
      </x:c>
      <x:c r="E210" s="90" t="str">
        <x:v>Core</x:v>
      </x:c>
      <x:c r="F210" s="90" t="str">
        <x:v>Yes</x:v>
      </x:c>
      <x:c r="G210" s="90" t="str">
        <x:v>Yes — bundled</x:v>
      </x:c>
      <x:c r="H210" s="90" t="str">
        <x:v>HHA Competency Evaluation &amp; Supervision</x:v>
      </x:c>
      <x:c r="I210" s="90" t="str">
        <x:v>Direct observation of required tasks; quiz is supplemental</x:v>
      </x:c>
      <x:c r="J210" s="90" t="str">
        <x:v>By day 14; before independent duty if earlier</x:v>
      </x:c>
      <x:c r="K210" s="90" t="str">
        <x:v>At hire; then on material revision</x:v>
      </x:c>
      <x:c r="L210" s="90" t="str">
        <x:v>Ready</x:v>
      </x:c>
      <x:c r="M210" s="90" t="str">
        <x:v>Federal competency elements require observation for specified aide tasks and RN-supervised remediation.</x:v>
      </x:c>
      <x:c r="N210" s="90" t="str">
        <x:v>12-allPoliciesContent.generated.ts — HR-TD-003</x:v>
      </x:c>
      <x:c r="O210" s="90" t="str"/>
      <x:c r="P210" s="90" t="str"/>
    </x:row>
    <x:row r="211" ht="42" customHeight="1">
      <x:c r="A211" s="90" t="str">
        <x:v>HHA-03</x:v>
      </x:c>
      <x:c r="B211" s="90" t="str">
        <x:v>HHA</x:v>
      </x:c>
      <x:c r="C211" s="90" t="str">
        <x:v>CL-CD-001</x:v>
      </x:c>
      <x:c r="D211" s="90" t="str">
        <x:v>Clinical Documentation Standards</x:v>
      </x:c>
      <x:c r="E211" s="90" t="str">
        <x:v>Core</x:v>
      </x:c>
      <x:c r="F211" s="90" t="str">
        <x:v>Yes</x:v>
      </x:c>
      <x:c r="G211" s="90" t="str">
        <x:v>Yes — bundled</x:v>
      </x:c>
      <x:c r="H211" s="90" t="str">
        <x:v>Aide Documentation, Communication &amp; Missed Visits</x:v>
      </x:c>
      <x:c r="I211" s="90" t="str">
        <x:v>80% quiz plus documentation/reporting scenario</x:v>
      </x:c>
      <x:c r="J211" s="90" t="str">
        <x:v>By day 14; before independent duty if earlier</x:v>
      </x:c>
      <x:c r="K211" s="90" t="str">
        <x:v>At hire; then on material revision</x:v>
      </x:c>
      <x:c r="L211" s="90" t="str">
        <x:v>Ready</x:v>
      </x:c>
      <x:c r="M211" s="90" t="str">
        <x:v>Aides must document tasks, report changes, coordinate with the supervisor, and follow visit scheduling/frequency rules.</x:v>
      </x:c>
      <x:c r="N211" s="90" t="str">
        <x:v>12-allPoliciesContent.generated.ts — CL-CD-001</x:v>
      </x:c>
      <x:c r="O211" s="90" t="str">
        <x:v>https://www.ecfr.gov/current/title-42/part-484/section-484.110</x:v>
      </x:c>
      <x:c r="P211" s="90" t="str"/>
    </x:row>
    <x:row r="212" ht="42" customHeight="1">
      <x:c r="A212" s="90" t="str">
        <x:v>HHA-03</x:v>
      </x:c>
      <x:c r="B212" s="90" t="str">
        <x:v>HHA</x:v>
      </x:c>
      <x:c r="C212" s="90" t="str">
        <x:v>CL-CD-002</x:v>
      </x:c>
      <x:c r="D212" s="90" t="str">
        <x:v>Clinical Record Content &amp; Organization</x:v>
      </x:c>
      <x:c r="E212" s="90" t="str">
        <x:v>Core</x:v>
      </x:c>
      <x:c r="F212" s="90" t="str">
        <x:v>Yes</x:v>
      </x:c>
      <x:c r="G212" s="90" t="str">
        <x:v>Yes — bundled</x:v>
      </x:c>
      <x:c r="H212" s="90" t="str">
        <x:v>Aide Documentation, Communication &amp; Missed Visits</x:v>
      </x:c>
      <x:c r="I212" s="90" t="str">
        <x:v>80% quiz plus documentation/reporting scenario</x:v>
      </x:c>
      <x:c r="J212" s="90" t="str">
        <x:v>By day 14; before independent duty if earlier</x:v>
      </x:c>
      <x:c r="K212" s="90" t="str">
        <x:v>At hire; then on material revision</x:v>
      </x:c>
      <x:c r="L212" s="90" t="str">
        <x:v>Ready</x:v>
      </x:c>
      <x:c r="M212" s="90" t="str">
        <x:v>Aides must document tasks, report changes, coordinate with the supervisor, and follow visit scheduling/frequency rules.</x:v>
      </x:c>
      <x:c r="N212" s="90" t="str">
        <x:v>12-allPoliciesContent.generated.ts — CL-CD-002</x:v>
      </x:c>
      <x:c r="O212" s="90" t="str">
        <x:v>https://www.ecfr.gov/current/title-42/part-484/section-484.110</x:v>
      </x:c>
      <x:c r="P212" s="90" t="str"/>
    </x:row>
    <x:row r="213" ht="42" customHeight="1">
      <x:c r="A213" s="90" t="str">
        <x:v>HHA-03</x:v>
      </x:c>
      <x:c r="B213" s="90" t="str">
        <x:v>HHA</x:v>
      </x:c>
      <x:c r="C213" s="90" t="str">
        <x:v>CL-CD-003</x:v>
      </x:c>
      <x:c r="D213" s="90" t="str">
        <x:v>Clinical Record Authentication &amp; Signature Requirements</x:v>
      </x:c>
      <x:c r="E213" s="90" t="str">
        <x:v>Core</x:v>
      </x:c>
      <x:c r="F213" s="90" t="str">
        <x:v>Yes</x:v>
      </x:c>
      <x:c r="G213" s="90" t="str">
        <x:v>Yes — bundled</x:v>
      </x:c>
      <x:c r="H213" s="90" t="str">
        <x:v>Aide Documentation, Communication &amp; Missed Visits</x:v>
      </x:c>
      <x:c r="I213" s="90" t="str">
        <x:v>80% quiz plus documentation/reporting scenario</x:v>
      </x:c>
      <x:c r="J213" s="90" t="str">
        <x:v>By day 14; before independent duty if earlier</x:v>
      </x:c>
      <x:c r="K213" s="90" t="str">
        <x:v>At hire; then on material revision</x:v>
      </x:c>
      <x:c r="L213" s="90" t="str">
        <x:v>Ready</x:v>
      </x:c>
      <x:c r="M213" s="90" t="str">
        <x:v>Aides must document tasks, report changes, coordinate with the supervisor, and follow visit scheduling/frequency rules.</x:v>
      </x:c>
      <x:c r="N213" s="90" t="str">
        <x:v>12-allPoliciesContent.generated.ts — CL-CD-003</x:v>
      </x:c>
      <x:c r="O213" s="90" t="str">
        <x:v>https://www.ecfr.gov/current/title-42/part-484/section-484.110</x:v>
      </x:c>
      <x:c r="P213" s="90" t="str"/>
    </x:row>
    <x:row r="214" ht="42" customHeight="1">
      <x:c r="A214" s="90" t="str">
        <x:v>HHA-03</x:v>
      </x:c>
      <x:c r="B214" s="90" t="str">
        <x:v>HHA</x:v>
      </x:c>
      <x:c r="C214" s="90" t="str">
        <x:v>CL-CD-004</x:v>
      </x:c>
      <x:c r="D214" s="90" t="str">
        <x:v>Timely Documentation Completion &amp; Lock Requirements</x:v>
      </x:c>
      <x:c r="E214" s="90" t="str">
        <x:v>Core</x:v>
      </x:c>
      <x:c r="F214" s="90" t="str">
        <x:v>Yes</x:v>
      </x:c>
      <x:c r="G214" s="90" t="str">
        <x:v>Yes — bundled</x:v>
      </x:c>
      <x:c r="H214" s="90" t="str">
        <x:v>Aide Documentation, Communication &amp; Missed Visits</x:v>
      </x:c>
      <x:c r="I214" s="90" t="str">
        <x:v>80% quiz plus documentation/reporting scenario</x:v>
      </x:c>
      <x:c r="J214" s="90" t="str">
        <x:v>By day 14; before independent duty if earlier</x:v>
      </x:c>
      <x:c r="K214" s="90" t="str">
        <x:v>At hire; then on material revision</x:v>
      </x:c>
      <x:c r="L214" s="90" t="str">
        <x:v>Ready</x:v>
      </x:c>
      <x:c r="M214" s="90" t="str">
        <x:v>Aides must document tasks, report changes, coordinate with the supervisor, and follow visit scheduling/frequency rules.</x:v>
      </x:c>
      <x:c r="N214" s="90" t="str">
        <x:v>12-allPoliciesContent.generated.ts — CL-CD-004</x:v>
      </x:c>
      <x:c r="O214" s="90" t="str">
        <x:v>https://www.ecfr.gov/current/title-42/part-484/section-484.110</x:v>
      </x:c>
      <x:c r="P214" s="90" t="str"/>
    </x:row>
    <x:row r="215" ht="42" customHeight="1">
      <x:c r="A215" s="90" t="str">
        <x:v>HHA-03</x:v>
      </x:c>
      <x:c r="B215" s="90" t="str">
        <x:v>HHA</x:v>
      </x:c>
      <x:c r="C215" s="90" t="str">
        <x:v>CL-CP-005</x:v>
      </x:c>
      <x:c r="D215" s="90" t="str">
        <x:v>Coordination of Care</x:v>
      </x:c>
      <x:c r="E215" s="90" t="str">
        <x:v>Core</x:v>
      </x:c>
      <x:c r="F215" s="90" t="str">
        <x:v>Yes</x:v>
      </x:c>
      <x:c r="G215" s="90" t="str">
        <x:v>Yes — bundled</x:v>
      </x:c>
      <x:c r="H215" s="90" t="str">
        <x:v>Aide Documentation, Communication &amp; Missed Visits</x:v>
      </x:c>
      <x:c r="I215" s="90" t="str">
        <x:v>80% quiz plus documentation/reporting scenario</x:v>
      </x:c>
      <x:c r="J215" s="90" t="str">
        <x:v>By day 14; before independent duty if earlier</x:v>
      </x:c>
      <x:c r="K215" s="90" t="str">
        <x:v>At hire; then on material revision</x:v>
      </x:c>
      <x:c r="L215" s="90" t="str">
        <x:v>Ready</x:v>
      </x:c>
      <x:c r="M215" s="90" t="str">
        <x:v>Aides must document tasks, report changes, coordinate with the supervisor, and follow visit scheduling/frequency rules.</x:v>
      </x:c>
      <x:c r="N215" s="90" t="str">
        <x:v>12-allPoliciesContent.generated.ts — CL-CP-005</x:v>
      </x:c>
      <x:c r="O215" s="90" t="str">
        <x:v>https://www.ecfr.gov/current/title-42/part-484/section-484.60</x:v>
      </x:c>
      <x:c r="P215" s="90" t="str"/>
    </x:row>
    <x:row r="216" ht="42" customHeight="1">
      <x:c r="A216" s="90" t="str">
        <x:v>HHA-03</x:v>
      </x:c>
      <x:c r="B216" s="90" t="str">
        <x:v>HHA</x:v>
      </x:c>
      <x:c r="C216" s="90" t="str">
        <x:v>CL-SD-024</x:v>
      </x:c>
      <x:c r="D216" s="90" t="str">
        <x:v>Missed Visit &amp; Rescheduling</x:v>
      </x:c>
      <x:c r="E216" s="90" t="str">
        <x:v>Core</x:v>
      </x:c>
      <x:c r="F216" s="90" t="str">
        <x:v>Yes</x:v>
      </x:c>
      <x:c r="G216" s="90" t="str">
        <x:v>Yes — bundled</x:v>
      </x:c>
      <x:c r="H216" s="90" t="str">
        <x:v>Aide Documentation, Communication &amp; Missed Visits</x:v>
      </x:c>
      <x:c r="I216" s="90" t="str">
        <x:v>80% quiz plus documentation/reporting scenario</x:v>
      </x:c>
      <x:c r="J216" s="90" t="str">
        <x:v>By day 14; before independent duty if earlier</x:v>
      </x:c>
      <x:c r="K216" s="90" t="str">
        <x:v>At hire; then on material revision</x:v>
      </x:c>
      <x:c r="L216" s="90" t="str">
        <x:v>Ready</x:v>
      </x:c>
      <x:c r="M216" s="90" t="str">
        <x:v>Aides must document tasks, report changes, coordinate with the supervisor, and follow visit scheduling/frequency rules.</x:v>
      </x:c>
      <x:c r="N216" s="90" t="str">
        <x:v>12-allPoliciesContent.generated.ts — CL-SD-024</x:v>
      </x:c>
      <x:c r="O216" s="90" t="str">
        <x:v>https://www.ecfr.gov/current/title-42/part-484/section-484.75</x:v>
      </x:c>
      <x:c r="P216" s="90" t="str"/>
    </x:row>
    <x:row r="217" ht="42" customHeight="1">
      <x:c r="A217" s="90" t="str">
        <x:v>HHA-03</x:v>
      </x:c>
      <x:c r="B217" s="90" t="str">
        <x:v>HHA</x:v>
      </x:c>
      <x:c r="C217" s="90" t="str">
        <x:v>CL-SD-025</x:v>
      </x:c>
      <x:c r="D217" s="90" t="str">
        <x:v>Ordered Visit Frequency Compliance &amp; Monitoring</x:v>
      </x:c>
      <x:c r="E217" s="90" t="str">
        <x:v>Core</x:v>
      </x:c>
      <x:c r="F217" s="90" t="str">
        <x:v>Yes</x:v>
      </x:c>
      <x:c r="G217" s="90" t="str">
        <x:v>Yes — bundled</x:v>
      </x:c>
      <x:c r="H217" s="90" t="str">
        <x:v>Aide Documentation, Communication &amp; Missed Visits</x:v>
      </x:c>
      <x:c r="I217" s="90" t="str">
        <x:v>80% quiz plus documentation/reporting scenario</x:v>
      </x:c>
      <x:c r="J217" s="90" t="str">
        <x:v>By day 14; before independent duty if earlier</x:v>
      </x:c>
      <x:c r="K217" s="90" t="str">
        <x:v>At hire; then on material revision</x:v>
      </x:c>
      <x:c r="L217" s="90" t="str">
        <x:v>Ready</x:v>
      </x:c>
      <x:c r="M217" s="90" t="str">
        <x:v>Aides must document tasks, report changes, coordinate with the supervisor, and follow visit scheduling/frequency rules.</x:v>
      </x:c>
      <x:c r="N217" s="90" t="str">
        <x:v>12-allPoliciesContent.generated.ts — CL-SD-025</x:v>
      </x:c>
      <x:c r="O217" s="90" t="str">
        <x:v>https://www.ecfr.gov/current/title-42/part-484/section-484.75</x:v>
      </x:c>
      <x:c r="P217" s="90" t="str"/>
    </x:row>
    <x:row r="218" ht="42" customHeight="1">
      <x:c r="A218" s="90" t="str">
        <x:v>HHA-03</x:v>
      </x:c>
      <x:c r="B218" s="90" t="str">
        <x:v>HHA</x:v>
      </x:c>
      <x:c r="C218" s="90" t="str">
        <x:v>OP-SL-001</x:v>
      </x:c>
      <x:c r="D218" s="90" t="str">
        <x:v>Scheduling &amp; Visit Management</x:v>
      </x:c>
      <x:c r="E218" s="90" t="str">
        <x:v>Core</x:v>
      </x:c>
      <x:c r="F218" s="90" t="str">
        <x:v>Yes</x:v>
      </x:c>
      <x:c r="G218" s="90" t="str">
        <x:v>Yes — bundled</x:v>
      </x:c>
      <x:c r="H218" s="90" t="str">
        <x:v>Aide Documentation, Communication &amp; Missed Visits</x:v>
      </x:c>
      <x:c r="I218" s="90" t="str">
        <x:v>80% quiz plus documentation/reporting scenario</x:v>
      </x:c>
      <x:c r="J218" s="90" t="str">
        <x:v>By day 14; before independent duty if earlier</x:v>
      </x:c>
      <x:c r="K218" s="90" t="str">
        <x:v>At hire; then on material revision</x:v>
      </x:c>
      <x:c r="L218" s="90" t="str">
        <x:v>Ready</x:v>
      </x:c>
      <x:c r="M218" s="90" t="str">
        <x:v>Aides must document tasks, report changes, coordinate with the supervisor, and follow visit scheduling/frequency rules.</x:v>
      </x:c>
      <x:c r="N218" s="90" t="str">
        <x:v>12-allPoliciesContent.generated.ts — OP-SL-001</x:v>
      </x:c>
      <x:c r="O218" s="90" t="str"/>
      <x:c r="P218" s="90" t="str"/>
    </x:row>
    <x:row r="219" ht="42" customHeight="1">
      <x:c r="A219" s="90" t="str">
        <x:v>HHA-03</x:v>
      </x:c>
      <x:c r="B219" s="90" t="str">
        <x:v>HHA</x:v>
      </x:c>
      <x:c r="C219" s="90" t="str">
        <x:v>CL-CC-101</x:v>
      </x:c>
      <x:c r="D219" s="90" t="str">
        <x:v>Care Coordination &amp; SDOH Management</x:v>
      </x:c>
      <x:c r="E219" s="90" t="str">
        <x:v>Core</x:v>
      </x:c>
      <x:c r="F219" s="90" t="str">
        <x:v>Yes</x:v>
      </x:c>
      <x:c r="G219" s="90" t="str">
        <x:v>Yes — bundled</x:v>
      </x:c>
      <x:c r="H219" s="90" t="str">
        <x:v>Aide Documentation, Communication &amp; Missed Visits</x:v>
      </x:c>
      <x:c r="I219" s="90" t="str">
        <x:v>80% quiz plus documentation/reporting scenario</x:v>
      </x:c>
      <x:c r="J219" s="90" t="str">
        <x:v>By day 14; before independent duty if earlier</x:v>
      </x:c>
      <x:c r="K219" s="90" t="str">
        <x:v>At hire; then on material revision</x:v>
      </x:c>
      <x:c r="L219" s="90" t="str">
        <x:v>Ready</x:v>
      </x:c>
      <x:c r="M219" s="90" t="str">
        <x:v>Aides must document tasks, report changes, coordinate with the supervisor, and follow visit scheduling/frequency rules.</x:v>
      </x:c>
      <x:c r="N219" s="90" t="str">
        <x:v>12-allPoliciesContent.generated.ts — CL-CC-101</x:v>
      </x:c>
      <x:c r="O219" s="90" t="str">
        <x:v>https://www.ecfr.gov/current/title-42/part-484/section-484.60</x:v>
      </x:c>
      <x:c r="P219" s="90" t="str"/>
    </x:row>
    <x:row r="220" ht="42" customHeight="1">
      <x:c r="A220" s="90" t="str">
        <x:v>HHA-04</x:v>
      </x:c>
      <x:c r="B220" s="90" t="str">
        <x:v>HHA</x:v>
      </x:c>
      <x:c r="C220" s="90" t="str">
        <x:v>CL-SD-012</x:v>
      </x:c>
      <x:c r="D220" s="90" t="str">
        <x:v>Medication Management &amp; Administration</x:v>
      </x:c>
      <x:c r="E220" s="90" t="str">
        <x:v>Core</x:v>
      </x:c>
      <x:c r="F220" s="90" t="str">
        <x:v>Yes</x:v>
      </x:c>
      <x:c r="G220" s="90" t="str">
        <x:v>Yes — bundled</x:v>
      </x:c>
      <x:c r="H220" s="90" t="str">
        <x:v>Personal Care Safety, Med Reporting, IPC, Falls &amp; Pain</x:v>
      </x:c>
      <x:c r="I220" s="90" t="str">
        <x:v>80% quiz plus safe-care return demonstrations</x:v>
      </x:c>
      <x:c r="J220" s="90" t="str">
        <x:v>By day 14; before independent duty if earlier</x:v>
      </x:c>
      <x:c r="K220" s="90" t="str">
        <x:v>At hire; then on material revision</x:v>
      </x:c>
      <x:c r="L220" s="90" t="str">
        <x:v>Ready</x:v>
      </x:c>
      <x:c r="M220" s="90" t="str">
        <x:v>Aides observe and report medication, pain, fall, and infection concerns while reinforcing—not independently changing—the plan.</x:v>
      </x:c>
      <x:c r="N220" s="90" t="str">
        <x:v>12-allPoliciesContent.generated.ts — CL-SD-012</x:v>
      </x:c>
      <x:c r="O220" s="90" t="str">
        <x:v>https://www.ecfr.gov/current/title-42/part-484/section-484.75</x:v>
      </x:c>
      <x:c r="P220" s="90" t="str"/>
    </x:row>
    <x:row r="221" ht="42" customHeight="1">
      <x:c r="A221" s="90" t="str">
        <x:v>HHA-04</x:v>
      </x:c>
      <x:c r="B221" s="90" t="str">
        <x:v>HHA</x:v>
      </x:c>
      <x:c r="C221" s="90" t="str">
        <x:v>CL-SD-014</x:v>
      </x:c>
      <x:c r="D221" s="90" t="str">
        <x:v>Pain Assessment &amp; Management</x:v>
      </x:c>
      <x:c r="E221" s="90" t="str">
        <x:v>Core</x:v>
      </x:c>
      <x:c r="F221" s="90" t="str">
        <x:v>Yes</x:v>
      </x:c>
      <x:c r="G221" s="90" t="str">
        <x:v>Yes — bundled</x:v>
      </x:c>
      <x:c r="H221" s="90" t="str">
        <x:v>Personal Care Safety, Med Reporting, IPC, Falls &amp; Pain</x:v>
      </x:c>
      <x:c r="I221" s="90" t="str">
        <x:v>80% quiz plus safe-care return demonstrations</x:v>
      </x:c>
      <x:c r="J221" s="90" t="str">
        <x:v>By day 14; before independent duty if earlier</x:v>
      </x:c>
      <x:c r="K221" s="90" t="str">
        <x:v>At hire; then on material revision</x:v>
      </x:c>
      <x:c r="L221" s="90" t="str">
        <x:v>Ready</x:v>
      </x:c>
      <x:c r="M221" s="90" t="str">
        <x:v>Aides observe and report medication, pain, fall, and infection concerns while reinforcing—not independently changing—the plan.</x:v>
      </x:c>
      <x:c r="N221" s="90" t="str">
        <x:v>12-allPoliciesContent.generated.ts — CL-SD-014</x:v>
      </x:c>
      <x:c r="O221" s="90" t="str">
        <x:v>https://www.ecfr.gov/current/title-42/part-484/section-484.75</x:v>
      </x:c>
      <x:c r="P221" s="90" t="str"/>
    </x:row>
    <x:row r="222" ht="42" customHeight="1">
      <x:c r="A222" s="90" t="str">
        <x:v>HHA-04</x:v>
      </x:c>
      <x:c r="B222" s="90" t="str">
        <x:v>HHA</x:v>
      </x:c>
      <x:c r="C222" s="90" t="str">
        <x:v>CL-SD-015</x:v>
      </x:c>
      <x:c r="D222" s="90" t="str">
        <x:v>Fall Risk Assessment &amp; Prevention</x:v>
      </x:c>
      <x:c r="E222" s="90" t="str">
        <x:v>Core</x:v>
      </x:c>
      <x:c r="F222" s="90" t="str">
        <x:v>Yes</x:v>
      </x:c>
      <x:c r="G222" s="90" t="str">
        <x:v>Yes — bundled</x:v>
      </x:c>
      <x:c r="H222" s="90" t="str">
        <x:v>Personal Care Safety, Med Reporting, IPC, Falls &amp; Pain</x:v>
      </x:c>
      <x:c r="I222" s="90" t="str">
        <x:v>80% quiz plus safe-care return demonstrations</x:v>
      </x:c>
      <x:c r="J222" s="90" t="str">
        <x:v>By day 14; before independent duty if earlier</x:v>
      </x:c>
      <x:c r="K222" s="90" t="str">
        <x:v>At hire; then on material revision</x:v>
      </x:c>
      <x:c r="L222" s="90" t="str">
        <x:v>Ready</x:v>
      </x:c>
      <x:c r="M222" s="90" t="str">
        <x:v>Aides observe and report medication, pain, fall, and infection concerns while reinforcing—not independently changing—the plan.</x:v>
      </x:c>
      <x:c r="N222" s="90" t="str">
        <x:v>12-allPoliciesContent.generated.ts — CL-SD-015</x:v>
      </x:c>
      <x:c r="O222" s="90" t="str">
        <x:v>https://www.ecfr.gov/current/title-42/part-484/section-484.75</x:v>
      </x:c>
      <x:c r="P222" s="90" t="str"/>
    </x:row>
    <x:row r="223" ht="42" customHeight="1">
      <x:c r="A223" s="90" t="str">
        <x:v>HHA-04</x:v>
      </x:c>
      <x:c r="B223" s="90" t="str">
        <x:v>HHA</x:v>
      </x:c>
      <x:c r="C223" s="90" t="str">
        <x:v>CL-SD-016</x:v>
      </x:c>
      <x:c r="D223" s="90" t="str">
        <x:v>Infection Prevention &amp; Control</x:v>
      </x:c>
      <x:c r="E223" s="90" t="str">
        <x:v>Core</x:v>
      </x:c>
      <x:c r="F223" s="90" t="str">
        <x:v>Yes</x:v>
      </x:c>
      <x:c r="G223" s="90" t="str">
        <x:v>Yes — bundled</x:v>
      </x:c>
      <x:c r="H223" s="90" t="str">
        <x:v>Personal Care Safety, Med Reporting, IPC, Falls &amp; Pain</x:v>
      </x:c>
      <x:c r="I223" s="90" t="str">
        <x:v>80% quiz plus safe-care return demonstrations</x:v>
      </x:c>
      <x:c r="J223" s="90" t="str">
        <x:v>By day 14; before independent duty if earlier</x:v>
      </x:c>
      <x:c r="K223" s="90" t="str">
        <x:v>At hire; then on material revision</x:v>
      </x:c>
      <x:c r="L223" s="90" t="str">
        <x:v>Ready</x:v>
      </x:c>
      <x:c r="M223" s="90" t="str">
        <x:v>Aides observe and report medication, pain, fall, and infection concerns while reinforcing—not independently changing—the plan.</x:v>
      </x:c>
      <x:c r="N223" s="90" t="str">
        <x:v>12-allPoliciesContent.generated.ts — CL-SD-016</x:v>
      </x:c>
      <x:c r="O223" s="90" t="str">
        <x:v>https://www.ecfr.gov/current/title-42/part-484/section-484.75</x:v>
      </x:c>
      <x:c r="P223" s="90" t="str"/>
    </x:row>
    <x:row r="224" ht="42" customHeight="1">
      <x:c r="A224" s="90" t="str">
        <x:v>HHA-04</x:v>
      </x:c>
      <x:c r="B224" s="90" t="str">
        <x:v>HHA</x:v>
      </x:c>
      <x:c r="C224" s="90" t="str">
        <x:v>CL-SD-017</x:v>
      </x:c>
      <x:c r="D224" s="90" t="str">
        <x:v>Patient Education &amp; Self-Management</x:v>
      </x:c>
      <x:c r="E224" s="90" t="str">
        <x:v>Core</x:v>
      </x:c>
      <x:c r="F224" s="90" t="str">
        <x:v>Yes</x:v>
      </x:c>
      <x:c r="G224" s="90" t="str">
        <x:v>Yes — bundled</x:v>
      </x:c>
      <x:c r="H224" s="90" t="str">
        <x:v>Personal Care Safety, Med Reporting, IPC, Falls &amp; Pain</x:v>
      </x:c>
      <x:c r="I224" s="90" t="str">
        <x:v>80% quiz plus safe-care return demonstrations</x:v>
      </x:c>
      <x:c r="J224" s="90" t="str">
        <x:v>By day 14; before independent duty if earlier</x:v>
      </x:c>
      <x:c r="K224" s="90" t="str">
        <x:v>At hire; then on material revision</x:v>
      </x:c>
      <x:c r="L224" s="90" t="str">
        <x:v>Ready</x:v>
      </x:c>
      <x:c r="M224" s="90" t="str">
        <x:v>Aides observe and report medication, pain, fall, and infection concerns while reinforcing—not independently changing—the plan.</x:v>
      </x:c>
      <x:c r="N224" s="90" t="str">
        <x:v>12-allPoliciesContent.generated.ts — CL-SD-017</x:v>
      </x:c>
      <x:c r="O224" s="90" t="str">
        <x:v>https://www.ecfr.gov/current/title-42/part-484/section-484.75</x:v>
      </x:c>
      <x:c r="P224" s="90" t="str"/>
    </x:row>
    <x:row r="225" ht="42" customHeight="1">
      <x:c r="A225" s="90" t="str">
        <x:v>HHA-04</x:v>
      </x:c>
      <x:c r="B225" s="90" t="str">
        <x:v>HHA</x:v>
      </x:c>
      <x:c r="C225" s="90" t="str">
        <x:v>CL-PR-002</x:v>
      </x:c>
      <x:c r="D225" s="90" t="str">
        <x:v>Advance Directive Compliance</x:v>
      </x:c>
      <x:c r="E225" s="90" t="str">
        <x:v>Core</x:v>
      </x:c>
      <x:c r="F225" s="90" t="str">
        <x:v>Yes</x:v>
      </x:c>
      <x:c r="G225" s="90" t="str">
        <x:v>Yes — bundled</x:v>
      </x:c>
      <x:c r="H225" s="90" t="str">
        <x:v>Personal Care Safety, Med Reporting, IPC, Falls &amp; Pain</x:v>
      </x:c>
      <x:c r="I225" s="90" t="str">
        <x:v>80% quiz plus safe-care return demonstrations</x:v>
      </x:c>
      <x:c r="J225" s="90" t="str">
        <x:v>By day 14; before independent duty if earlier</x:v>
      </x:c>
      <x:c r="K225" s="90" t="str">
        <x:v>At hire; then on material revision</x:v>
      </x:c>
      <x:c r="L225" s="90" t="str">
        <x:v>Ready</x:v>
      </x:c>
      <x:c r="M225" s="90" t="str">
        <x:v>Aides observe and report medication, pain, fall, and infection concerns while reinforcing—not independently changing—the plan.</x:v>
      </x:c>
      <x:c r="N225" s="90" t="str">
        <x:v>12-allPoliciesContent.generated.ts — CL-PR-002</x:v>
      </x:c>
      <x:c r="O225" s="90" t="str">
        <x:v>https://www.ecfr.gov/current/title-42/part-484/section-484.50</x:v>
      </x:c>
      <x:c r="P225" s="90" t="str"/>
    </x:row>
    <x:row r="226" ht="42" customHeight="1">
      <x:c r="A226" s="90" t="str">
        <x:v>HHA-04</x:v>
      </x:c>
      <x:c r="B226" s="90" t="str">
        <x:v>HHA</x:v>
      </x:c>
      <x:c r="C226" s="90" t="str">
        <x:v>CL-PR-003</x:v>
      </x:c>
      <x:c r="D226" s="90" t="str">
        <x:v>Informed Consent</x:v>
      </x:c>
      <x:c r="E226" s="90" t="str">
        <x:v>Core</x:v>
      </x:c>
      <x:c r="F226" s="90" t="str">
        <x:v>Yes</x:v>
      </x:c>
      <x:c r="G226" s="90" t="str">
        <x:v>Yes — bundled</x:v>
      </x:c>
      <x:c r="H226" s="90" t="str">
        <x:v>Personal Care Safety, Med Reporting, IPC, Falls &amp; Pain</x:v>
      </x:c>
      <x:c r="I226" s="90" t="str">
        <x:v>80% quiz plus safe-care return demonstrations</x:v>
      </x:c>
      <x:c r="J226" s="90" t="str">
        <x:v>By day 14; before independent duty if earlier</x:v>
      </x:c>
      <x:c r="K226" s="90" t="str">
        <x:v>At hire; then on material revision</x:v>
      </x:c>
      <x:c r="L226" s="90" t="str">
        <x:v>Ready</x:v>
      </x:c>
      <x:c r="M226" s="90" t="str">
        <x:v>Aides observe and report medication, pain, fall, and infection concerns while reinforcing—not independently changing—the plan.</x:v>
      </x:c>
      <x:c r="N226" s="90" t="str">
        <x:v>12-allPoliciesContent.generated.ts — CL-PR-003</x:v>
      </x:c>
      <x:c r="O226" s="90" t="str">
        <x:v>https://www.ecfr.gov/current/title-42/part-484/section-484.50</x:v>
      </x:c>
      <x:c r="P226" s="90" t="str"/>
    </x:row>
    <x:row r="227" ht="42" customHeight="1">
      <x:c r="A227" s="90" t="str">
        <x:v>HHA-04</x:v>
      </x:c>
      <x:c r="B227" s="90" t="str">
        <x:v>HHA</x:v>
      </x:c>
      <x:c r="C227" s="90" t="str">
        <x:v>CL-PR-004</x:v>
      </x:c>
      <x:c r="D227" s="90" t="str">
        <x:v>Restraint &amp; Seclusion Prohibition</x:v>
      </x:c>
      <x:c r="E227" s="90" t="str">
        <x:v>Core</x:v>
      </x:c>
      <x:c r="F227" s="90" t="str">
        <x:v>Yes</x:v>
      </x:c>
      <x:c r="G227" s="90" t="str">
        <x:v>Yes — bundled</x:v>
      </x:c>
      <x:c r="H227" s="90" t="str">
        <x:v>Personal Care Safety, Med Reporting, IPC, Falls &amp; Pain</x:v>
      </x:c>
      <x:c r="I227" s="90" t="str">
        <x:v>80% quiz plus safe-care return demonstrations</x:v>
      </x:c>
      <x:c r="J227" s="90" t="str">
        <x:v>By day 14; before independent duty if earlier</x:v>
      </x:c>
      <x:c r="K227" s="90" t="str">
        <x:v>At hire; then on material revision</x:v>
      </x:c>
      <x:c r="L227" s="90" t="str">
        <x:v>Ready</x:v>
      </x:c>
      <x:c r="M227" s="90" t="str">
        <x:v>Aides observe and report medication, pain, fall, and infection concerns while reinforcing—not independently changing—the plan.</x:v>
      </x:c>
      <x:c r="N227" s="90" t="str">
        <x:v>12-allPoliciesContent.generated.ts — CL-PR-004</x:v>
      </x:c>
      <x:c r="O227" s="90" t="str">
        <x:v>https://www.ecfr.gov/current/title-42/part-484/section-484.50</x:v>
      </x:c>
      <x:c r="P227" s="90" t="str"/>
    </x:row>
    <x:row r="228" ht="42" customHeight="1">
      <x:c r="A228" s="90" t="str">
        <x:v>HHA-04</x:v>
      </x:c>
      <x:c r="B228" s="90" t="str">
        <x:v>HHA</x:v>
      </x:c>
      <x:c r="C228" s="90" t="str">
        <x:v>CL-PR-005</x:v>
      </x:c>
      <x:c r="D228" s="90" t="str">
        <x:v>Emergency Preparedness — Clinical</x:v>
      </x:c>
      <x:c r="E228" s="90" t="str">
        <x:v>Core</x:v>
      </x:c>
      <x:c r="F228" s="90" t="str">
        <x:v>Yes</x:v>
      </x:c>
      <x:c r="G228" s="90" t="str">
        <x:v>Yes — bundled</x:v>
      </x:c>
      <x:c r="H228" s="90" t="str">
        <x:v>Personal Care Safety, Med Reporting, IPC, Falls &amp; Pain</x:v>
      </x:c>
      <x:c r="I228" s="90" t="str">
        <x:v>80% quiz plus safe-care return demonstrations</x:v>
      </x:c>
      <x:c r="J228" s="90" t="str">
        <x:v>By day 14; before independent duty if earlier</x:v>
      </x:c>
      <x:c r="K228" s="90" t="str">
        <x:v>At hire; then on material revision</x:v>
      </x:c>
      <x:c r="L228" s="90" t="str">
        <x:v>Ready</x:v>
      </x:c>
      <x:c r="M228" s="90" t="str">
        <x:v>Aides observe and report medication, pain, fall, and infection concerns while reinforcing—not independently changing—the plan.</x:v>
      </x:c>
      <x:c r="N228" s="90" t="str">
        <x:v>12-allPoliciesContent.generated.ts — CL-PR-005</x:v>
      </x:c>
      <x:c r="O228" s="90" t="str">
        <x:v>https://www.ecfr.gov/current/title-42/part-484/section-484.50</x:v>
      </x:c>
      <x:c r="P228" s="90" t="str"/>
    </x:row>
    <x:row r="229" ht="42" customHeight="1">
      <x:c r="A229" s="90" t="str">
        <x:v>HHA-04</x:v>
      </x:c>
      <x:c r="B229" s="90" t="str">
        <x:v>HHA</x:v>
      </x:c>
      <x:c r="C229" s="90" t="str">
        <x:v>OP-PA-002</x:v>
      </x:c>
      <x:c r="D229" s="90" t="str">
        <x:v>Patient Identification &amp; Verification</x:v>
      </x:c>
      <x:c r="E229" s="90" t="str">
        <x:v>Core</x:v>
      </x:c>
      <x:c r="F229" s="90" t="str">
        <x:v>Yes</x:v>
      </x:c>
      <x:c r="G229" s="90" t="str">
        <x:v>Yes — bundled</x:v>
      </x:c>
      <x:c r="H229" s="90" t="str">
        <x:v>Personal Care Safety, Med Reporting, IPC, Falls &amp; Pain</x:v>
      </x:c>
      <x:c r="I229" s="90" t="str">
        <x:v>80% quiz plus safe-care return demonstrations</x:v>
      </x:c>
      <x:c r="J229" s="90" t="str">
        <x:v>By day 14; before independent duty if earlier</x:v>
      </x:c>
      <x:c r="K229" s="90" t="str">
        <x:v>At hire; then on material revision</x:v>
      </x:c>
      <x:c r="L229" s="90" t="str">
        <x:v>Ready</x:v>
      </x:c>
      <x:c r="M229" s="90" t="str">
        <x:v>Aides observe and report medication, pain, fall, and infection concerns while reinforcing—not independently changing—the plan.</x:v>
      </x:c>
      <x:c r="N229" s="90" t="str">
        <x:v>12-allPoliciesContent.generated.ts — OP-PA-002</x:v>
      </x:c>
      <x:c r="O229" s="90" t="str"/>
      <x:c r="P229" s="90" t="str"/>
    </x:row>
    <x:row r="230" ht="42" customHeight="1">
      <x:c r="A230" s="90" t="str">
        <x:v>HHA-04</x:v>
      </x:c>
      <x:c r="B230" s="90" t="str">
        <x:v>HHA</x:v>
      </x:c>
      <x:c r="C230" s="90" t="str">
        <x:v>OP-PA-003</x:v>
      </x:c>
      <x:c r="D230" s="90" t="str">
        <x:v>Interpreter &amp; Language Access Services</x:v>
      </x:c>
      <x:c r="E230" s="90" t="str">
        <x:v>Core</x:v>
      </x:c>
      <x:c r="F230" s="90" t="str">
        <x:v>Yes</x:v>
      </x:c>
      <x:c r="G230" s="90" t="str">
        <x:v>Yes — bundled</x:v>
      </x:c>
      <x:c r="H230" s="90" t="str">
        <x:v>Personal Care Safety, Med Reporting, IPC, Falls &amp; Pain</x:v>
      </x:c>
      <x:c r="I230" s="90" t="str">
        <x:v>80% quiz plus safe-care return demonstrations</x:v>
      </x:c>
      <x:c r="J230" s="90" t="str">
        <x:v>By day 14; before independent duty if earlier</x:v>
      </x:c>
      <x:c r="K230" s="90" t="str">
        <x:v>At hire; then on material revision</x:v>
      </x:c>
      <x:c r="L230" s="90" t="str">
        <x:v>Ready</x:v>
      </x:c>
      <x:c r="M230" s="90" t="str">
        <x:v>Aides observe and report medication, pain, fall, and infection concerns while reinforcing—not independently changing—the plan.</x:v>
      </x:c>
      <x:c r="N230" s="90" t="str">
        <x:v>12-allPoliciesContent.generated.ts — OP-PA-003</x:v>
      </x:c>
      <x:c r="O230" s="90" t="str"/>
      <x:c r="P230" s="90" t="str"/>
    </x:row>
    <x:row r="231" ht="42" customHeight="1">
      <x:c r="A231" s="90" t="str">
        <x:v>HHA-04</x:v>
      </x:c>
      <x:c r="B231" s="90" t="str">
        <x:v>HHA</x:v>
      </x:c>
      <x:c r="C231" s="90" t="str">
        <x:v>OP-PA-004</x:v>
      </x:c>
      <x:c r="D231" s="90" t="str">
        <x:v>Cultural Competency in Service Delivery</x:v>
      </x:c>
      <x:c r="E231" s="90" t="str">
        <x:v>Core</x:v>
      </x:c>
      <x:c r="F231" s="90" t="str">
        <x:v>Yes</x:v>
      </x:c>
      <x:c r="G231" s="90" t="str">
        <x:v>Yes — bundled</x:v>
      </x:c>
      <x:c r="H231" s="90" t="str">
        <x:v>Personal Care Safety, Med Reporting, IPC, Falls &amp; Pain</x:v>
      </x:c>
      <x:c r="I231" s="90" t="str">
        <x:v>80% quiz plus safe-care return demonstrations</x:v>
      </x:c>
      <x:c r="J231" s="90" t="str">
        <x:v>By day 14; before independent duty if earlier</x:v>
      </x:c>
      <x:c r="K231" s="90" t="str">
        <x:v>At hire; then on material revision</x:v>
      </x:c>
      <x:c r="L231" s="90" t="str">
        <x:v>Ready</x:v>
      </x:c>
      <x:c r="M231" s="90" t="str">
        <x:v>Aides observe and report medication, pain, fall, and infection concerns while reinforcing—not independently changing—the plan.</x:v>
      </x:c>
      <x:c r="N231" s="90" t="str">
        <x:v>12-allPoliciesContent.generated.ts — OP-PA-004</x:v>
      </x:c>
      <x:c r="O231" s="90" t="str"/>
      <x:c r="P231" s="90" t="str"/>
    </x:row>
    <x:row r="232" ht="42" customHeight="1">
      <x:c r="A232" s="90" t="str">
        <x:v>HHA-04</x:v>
      </x:c>
      <x:c r="B232" s="90" t="str">
        <x:v>HHA</x:v>
      </x:c>
      <x:c r="C232" s="90" t="str">
        <x:v>OP-PA-005</x:v>
      </x:c>
      <x:c r="D232" s="90" t="str">
        <x:v>Patient Property &amp; Belongings</x:v>
      </x:c>
      <x:c r="E232" s="90" t="str">
        <x:v>Core</x:v>
      </x:c>
      <x:c r="F232" s="90" t="str">
        <x:v>Yes</x:v>
      </x:c>
      <x:c r="G232" s="90" t="str">
        <x:v>Yes — bundled</x:v>
      </x:c>
      <x:c r="H232" s="90" t="str">
        <x:v>Personal Care Safety, Med Reporting, IPC, Falls &amp; Pain</x:v>
      </x:c>
      <x:c r="I232" s="90" t="str">
        <x:v>80% quiz plus safe-care return demonstrations</x:v>
      </x:c>
      <x:c r="J232" s="90" t="str">
        <x:v>By day 14; before independent duty if earlier</x:v>
      </x:c>
      <x:c r="K232" s="90" t="str">
        <x:v>At hire; then on material revision</x:v>
      </x:c>
      <x:c r="L232" s="90" t="str">
        <x:v>Ready</x:v>
      </x:c>
      <x:c r="M232" s="90" t="str">
        <x:v>Aides observe and report medication, pain, fall, and infection concerns while reinforcing—not independently changing—the plan.</x:v>
      </x:c>
      <x:c r="N232" s="90" t="str">
        <x:v>12-allPoliciesContent.generated.ts — OP-PA-005</x:v>
      </x:c>
      <x:c r="O232" s="90" t="str"/>
      <x:c r="P232" s="90" t="str"/>
    </x:row>
    <x:row r="233" ht="42" customHeight="1">
      <x:c r="A233" s="90" t="str">
        <x:v>HHA-05</x:v>
      </x:c>
      <x:c r="B233" s="90" t="str">
        <x:v>HHA</x:v>
      </x:c>
      <x:c r="C233" s="90" t="str">
        <x:v>CL-SD-021</x:v>
      </x:c>
      <x:c r="D233" s="90" t="str">
        <x:v>Pediatric Home Health Services</x:v>
      </x:c>
      <x:c r="E233" s="90" t="str">
        <x:v>Conditional</x:v>
      </x:c>
      <x:c r="F233" s="90" t="str">
        <x:v>Yes</x:v>
      </x:c>
      <x:c r="G233" s="90" t="str">
        <x:v>Yes — bundled</x:v>
      </x:c>
      <x:c r="H233" s="90" t="str">
        <x:v>Annual 12-Hour In-Service &amp; Field Safety</x:v>
      </x:c>
      <x:c r="I233" s="90" t="str">
        <x:v>Track ≥12 hours; quiz plus hands-on/simulation elements</x:v>
      </x:c>
      <x:c r="J233" s="90" t="str">
        <x:v>By day 14; before independent duty if earlier</x:v>
      </x:c>
      <x:c r="K233" s="90" t="str">
        <x:v>At least 12 in-service hours each 12-month period</x:v>
      </x:c>
      <x:c r="L233" s="90" t="str">
        <x:v>Ready</x:v>
      </x:c>
      <x:c r="M233" s="90" t="str">
        <x:v>Federal HHA in-service hours must be documented; specialty, exposure, equipment, driving, and weather modules are assigned by work performed.</x:v>
      </x:c>
      <x:c r="N233" s="90" t="str">
        <x:v>12-allPoliciesContent.generated.ts — CL-SD-021</x:v>
      </x:c>
      <x:c r="O233" s="90" t="str">
        <x:v>https://www.ecfr.gov/current/title-42/part-484/section-484.75</x:v>
      </x:c>
      <x:c r="P233" s="90" t="str"/>
    </x:row>
    <x:row r="234" ht="42" customHeight="1">
      <x:c r="A234" s="90" t="str">
        <x:v>HHA-05</x:v>
      </x:c>
      <x:c r="B234" s="90" t="str">
        <x:v>HHA</x:v>
      </x:c>
      <x:c r="C234" s="90" t="str">
        <x:v>CL-SD-022</x:v>
      </x:c>
      <x:c r="D234" s="90" t="str">
        <x:v>Behavioral Health Screening &amp; Referral</x:v>
      </x:c>
      <x:c r="E234" s="90" t="str">
        <x:v>Conditional</x:v>
      </x:c>
      <x:c r="F234" s="90" t="str">
        <x:v>Yes</x:v>
      </x:c>
      <x:c r="G234" s="90" t="str">
        <x:v>Yes — bundled</x:v>
      </x:c>
      <x:c r="H234" s="90" t="str">
        <x:v>Annual 12-Hour In-Service &amp; Field Safety</x:v>
      </x:c>
      <x:c r="I234" s="90" t="str">
        <x:v>Track ≥12 hours; quiz plus hands-on/simulation elements</x:v>
      </x:c>
      <x:c r="J234" s="90" t="str">
        <x:v>By day 14; before independent duty if earlier</x:v>
      </x:c>
      <x:c r="K234" s="90" t="str">
        <x:v>At least 12 in-service hours each 12-month period</x:v>
      </x:c>
      <x:c r="L234" s="90" t="str">
        <x:v>Ready</x:v>
      </x:c>
      <x:c r="M234" s="90" t="str">
        <x:v>Federal HHA in-service hours must be documented; specialty, exposure, equipment, driving, and weather modules are assigned by work performed.</x:v>
      </x:c>
      <x:c r="N234" s="90" t="str">
        <x:v>12-allPoliciesContent.generated.ts — CL-SD-022</x:v>
      </x:c>
      <x:c r="O234" s="90" t="str">
        <x:v>https://www.ecfr.gov/current/title-42/part-484/section-484.75</x:v>
      </x:c>
      <x:c r="P234" s="90" t="str"/>
    </x:row>
    <x:row r="235" ht="42" customHeight="1">
      <x:c r="A235" s="90" t="str">
        <x:v>HHA-05</x:v>
      </x:c>
      <x:c r="B235" s="90" t="str">
        <x:v>HHA</x:v>
      </x:c>
      <x:c r="C235" s="90" t="str">
        <x:v>CL-SD-023</x:v>
      </x:c>
      <x:c r="D235" s="90" t="str">
        <x:v>Palliative &amp; End-of-Life Care</x:v>
      </x:c>
      <x:c r="E235" s="90" t="str">
        <x:v>Conditional</x:v>
      </x:c>
      <x:c r="F235" s="90" t="str">
        <x:v>Yes</x:v>
      </x:c>
      <x:c r="G235" s="90" t="str">
        <x:v>Yes — bundled</x:v>
      </x:c>
      <x:c r="H235" s="90" t="str">
        <x:v>Annual 12-Hour In-Service &amp; Field Safety</x:v>
      </x:c>
      <x:c r="I235" s="90" t="str">
        <x:v>Track ≥12 hours; quiz plus hands-on/simulation elements</x:v>
      </x:c>
      <x:c r="J235" s="90" t="str">
        <x:v>By day 14; before independent duty if earlier</x:v>
      </x:c>
      <x:c r="K235" s="90" t="str">
        <x:v>At least 12 in-service hours each 12-month period</x:v>
      </x:c>
      <x:c r="L235" s="90" t="str">
        <x:v>Ready</x:v>
      </x:c>
      <x:c r="M235" s="90" t="str">
        <x:v>Federal HHA in-service hours must be documented; specialty, exposure, equipment, driving, and weather modules are assigned by work performed.</x:v>
      </x:c>
      <x:c r="N235" s="90" t="str">
        <x:v>12-allPoliciesContent.generated.ts — CL-SD-023</x:v>
      </x:c>
      <x:c r="O235" s="90" t="str">
        <x:v>https://www.ecfr.gov/current/title-42/part-484/section-484.75</x:v>
      </x:c>
      <x:c r="P235" s="90" t="str"/>
    </x:row>
    <x:row r="236" ht="42" customHeight="1">
      <x:c r="A236" s="90" t="str">
        <x:v>HHA-05</x:v>
      </x:c>
      <x:c r="B236" s="90" t="str">
        <x:v>HHA</x:v>
      </x:c>
      <x:c r="C236" s="90" t="str">
        <x:v>RM-OS-002</x:v>
      </x:c>
      <x:c r="D236" s="90" t="str">
        <x:v>Aerosol Transmissible Disease (ATD) Exposure Control Plan</x:v>
      </x:c>
      <x:c r="E236" s="90" t="str">
        <x:v>Core</x:v>
      </x:c>
      <x:c r="F236" s="90" t="str">
        <x:v>Yes</x:v>
      </x:c>
      <x:c r="G236" s="90" t="str">
        <x:v>Yes — bundled</x:v>
      </x:c>
      <x:c r="H236" s="90" t="str">
        <x:v>Annual 12-Hour In-Service &amp; Field Safety</x:v>
      </x:c>
      <x:c r="I236" s="90" t="str">
        <x:v>Track ≥12 hours; quiz plus hands-on/simulation elements</x:v>
      </x:c>
      <x:c r="J236" s="90" t="str">
        <x:v>By day 14; before independent duty if earlier</x:v>
      </x:c>
      <x:c r="K236" s="90" t="str">
        <x:v>At least 12 in-service hours each 12-month period</x:v>
      </x:c>
      <x:c r="L236" s="90" t="str">
        <x:v>Ready</x:v>
      </x:c>
      <x:c r="M236" s="90" t="str">
        <x:v>Federal HHA in-service hours must be documented; specialty, exposure, equipment, driving, and weather modules are assigned by work performed.</x:v>
      </x:c>
      <x:c r="N236" s="90" t="str">
        <x:v>12-allPoliciesContent.generated.ts — RM-OS-002</x:v>
      </x:c>
      <x:c r="O236" s="90" t="str">
        <x:v>https://www.dir.ca.gov/title8/5199.html</x:v>
      </x:c>
      <x:c r="P236" s="90" t="str"/>
    </x:row>
    <x:row r="237" ht="42" customHeight="1">
      <x:c r="A237" s="90" t="str">
        <x:v>HHA-05</x:v>
      </x:c>
      <x:c r="B237" s="90" t="str">
        <x:v>HHA</x:v>
      </x:c>
      <x:c r="C237" s="90" t="str">
        <x:v>RM-OS-003</x:v>
      </x:c>
      <x:c r="D237" s="90" t="str">
        <x:v>Bloodborne Pathogen (BBP) Exposure Control Plan</x:v>
      </x:c>
      <x:c r="E237" s="90" t="str">
        <x:v>Core</x:v>
      </x:c>
      <x:c r="F237" s="90" t="str">
        <x:v>Yes</x:v>
      </x:c>
      <x:c r="G237" s="90" t="str">
        <x:v>Yes — bundled</x:v>
      </x:c>
      <x:c r="H237" s="90" t="str">
        <x:v>Annual 12-Hour In-Service &amp; Field Safety</x:v>
      </x:c>
      <x:c r="I237" s="90" t="str">
        <x:v>Track ≥12 hours; quiz plus hands-on/simulation elements</x:v>
      </x:c>
      <x:c r="J237" s="90" t="str">
        <x:v>By day 14; before independent duty if earlier</x:v>
      </x:c>
      <x:c r="K237" s="90" t="str">
        <x:v>At least 12 in-service hours each 12-month period</x:v>
      </x:c>
      <x:c r="L237" s="90" t="str">
        <x:v>Ready</x:v>
      </x:c>
      <x:c r="M237" s="90" t="str">
        <x:v>Federal HHA in-service hours must be documented; specialty, exposure, equipment, driving, and weather modules are assigned by work performed.</x:v>
      </x:c>
      <x:c r="N237" s="90" t="str">
        <x:v>12-allPoliciesContent.generated.ts — RM-OS-003</x:v>
      </x:c>
      <x:c r="O237" s="90" t="str">
        <x:v>https://www.dir.ca.gov/title8/5193.html</x:v>
      </x:c>
      <x:c r="P237" s="90" t="str"/>
    </x:row>
    <x:row r="238" ht="42" customHeight="1">
      <x:c r="A238" s="90" t="str">
        <x:v>HHA-05</x:v>
      </x:c>
      <x:c r="B238" s="90" t="str">
        <x:v>HHA</x:v>
      </x:c>
      <x:c r="C238" s="90" t="str">
        <x:v>RM-OS-004</x:v>
      </x:c>
      <x:c r="D238" s="90" t="str">
        <x:v>Heat Illness Prevention Program</x:v>
      </x:c>
      <x:c r="E238" s="90" t="str">
        <x:v>Conditional</x:v>
      </x:c>
      <x:c r="F238" s="90" t="str">
        <x:v>Yes</x:v>
      </x:c>
      <x:c r="G238" s="90" t="str">
        <x:v>Yes — bundled</x:v>
      </x:c>
      <x:c r="H238" s="90" t="str">
        <x:v>Annual 12-Hour In-Service &amp; Field Safety</x:v>
      </x:c>
      <x:c r="I238" s="90" t="str">
        <x:v>Track ≥12 hours; quiz plus hands-on/simulation elements</x:v>
      </x:c>
      <x:c r="J238" s="90" t="str">
        <x:v>By day 14; before independent duty if earlier</x:v>
      </x:c>
      <x:c r="K238" s="90" t="str">
        <x:v>At least 12 in-service hours each 12-month period</x:v>
      </x:c>
      <x:c r="L238" s="90" t="str">
        <x:v>Ready</x:v>
      </x:c>
      <x:c r="M238" s="90" t="str">
        <x:v>Federal HHA in-service hours must be documented; specialty, exposure, equipment, driving, and weather modules are assigned by work performed.</x:v>
      </x:c>
      <x:c r="N238" s="90" t="str">
        <x:v>12-allPoliciesContent.generated.ts — RM-OS-004</x:v>
      </x:c>
      <x:c r="O238" s="90" t="str"/>
      <x:c r="P238" s="90" t="str"/>
    </x:row>
    <x:row r="239" ht="42" customHeight="1">
      <x:c r="A239" s="90" t="str">
        <x:v>HHA-05</x:v>
      </x:c>
      <x:c r="B239" s="90" t="str">
        <x:v>HHA</x:v>
      </x:c>
      <x:c r="C239" s="90" t="str">
        <x:v>RM-PS-001</x:v>
      </x:c>
      <x:c r="D239" s="90" t="str">
        <x:v>Environmental Safety Assessment</x:v>
      </x:c>
      <x:c r="E239" s="90" t="str">
        <x:v>Core</x:v>
      </x:c>
      <x:c r="F239" s="90" t="str">
        <x:v>Yes</x:v>
      </x:c>
      <x:c r="G239" s="90" t="str">
        <x:v>Yes — bundled</x:v>
      </x:c>
      <x:c r="H239" s="90" t="str">
        <x:v>Annual 12-Hour In-Service &amp; Field Safety</x:v>
      </x:c>
      <x:c r="I239" s="90" t="str">
        <x:v>Track ≥12 hours; quiz plus hands-on/simulation elements</x:v>
      </x:c>
      <x:c r="J239" s="90" t="str">
        <x:v>By day 14; before independent duty if earlier</x:v>
      </x:c>
      <x:c r="K239" s="90" t="str">
        <x:v>At least 12 in-service hours each 12-month period</x:v>
      </x:c>
      <x:c r="L239" s="90" t="str">
        <x:v>Ready</x:v>
      </x:c>
      <x:c r="M239" s="90" t="str">
        <x:v>Federal HHA in-service hours must be documented; specialty, exposure, equipment, driving, and weather modules are assigned by work performed.</x:v>
      </x:c>
      <x:c r="N239" s="90" t="str">
        <x:v>12-allPoliciesContent.generated.ts — RM-PS-001</x:v>
      </x:c>
      <x:c r="O239" s="90" t="str"/>
      <x:c r="P239" s="90" t="str"/>
    </x:row>
    <x:row r="240" ht="42" customHeight="1">
      <x:c r="A240" s="90" t="str">
        <x:v>HHA-05</x:v>
      </x:c>
      <x:c r="B240" s="90" t="str">
        <x:v>HHA</x:v>
      </x:c>
      <x:c r="C240" s="90" t="str">
        <x:v>RM-PS-002</x:v>
      </x:c>
      <x:c r="D240" s="90" t="str">
        <x:v>Hazardous Materials &amp; Waste Management</x:v>
      </x:c>
      <x:c r="E240" s="90" t="str">
        <x:v>Conditional</x:v>
      </x:c>
      <x:c r="F240" s="90" t="str">
        <x:v>Yes</x:v>
      </x:c>
      <x:c r="G240" s="90" t="str">
        <x:v>Yes — bundled</x:v>
      </x:c>
      <x:c r="H240" s="90" t="str">
        <x:v>Annual 12-Hour In-Service &amp; Field Safety</x:v>
      </x:c>
      <x:c r="I240" s="90" t="str">
        <x:v>Track ≥12 hours; quiz plus hands-on/simulation elements</x:v>
      </x:c>
      <x:c r="J240" s="90" t="str">
        <x:v>By day 14; before independent duty if earlier</x:v>
      </x:c>
      <x:c r="K240" s="90" t="str">
        <x:v>At least 12 in-service hours each 12-month period</x:v>
      </x:c>
      <x:c r="L240" s="90" t="str">
        <x:v>Ready</x:v>
      </x:c>
      <x:c r="M240" s="90" t="str">
        <x:v>Federal HHA in-service hours must be documented; specialty, exposure, equipment, driving, and weather modules are assigned by work performed.</x:v>
      </x:c>
      <x:c r="N240" s="90" t="str">
        <x:v>12-allPoliciesContent.generated.ts — RM-PS-002</x:v>
      </x:c>
      <x:c r="O240" s="90" t="str"/>
      <x:c r="P240" s="90" t="str"/>
    </x:row>
    <x:row r="241" ht="42" customHeight="1">
      <x:c r="A241" s="90" t="str">
        <x:v>HHA-05</x:v>
      </x:c>
      <x:c r="B241" s="90" t="str">
        <x:v>HHA</x:v>
      </x:c>
      <x:c r="C241" s="90" t="str">
        <x:v>RM-PS-003</x:v>
      </x:c>
      <x:c r="D241" s="90" t="str">
        <x:v>Product &amp; Equipment Safety Recall Management</x:v>
      </x:c>
      <x:c r="E241" s="90" t="str">
        <x:v>Conditional</x:v>
      </x:c>
      <x:c r="F241" s="90" t="str">
        <x:v>Yes</x:v>
      </x:c>
      <x:c r="G241" s="90" t="str">
        <x:v>Yes — bundled</x:v>
      </x:c>
      <x:c r="H241" s="90" t="str">
        <x:v>Annual 12-Hour In-Service &amp; Field Safety</x:v>
      </x:c>
      <x:c r="I241" s="90" t="str">
        <x:v>Track ≥12 hours; quiz plus hands-on/simulation elements</x:v>
      </x:c>
      <x:c r="J241" s="90" t="str">
        <x:v>By day 14; before independent duty if earlier</x:v>
      </x:c>
      <x:c r="K241" s="90" t="str">
        <x:v>At least 12 in-service hours each 12-month period</x:v>
      </x:c>
      <x:c r="L241" s="90" t="str">
        <x:v>Ready</x:v>
      </x:c>
      <x:c r="M241" s="90" t="str">
        <x:v>Federal HHA in-service hours must be documented; specialty, exposure, equipment, driving, and weather modules are assigned by work performed.</x:v>
      </x:c>
      <x:c r="N241" s="90" t="str">
        <x:v>12-allPoliciesContent.generated.ts — RM-PS-003</x:v>
      </x:c>
      <x:c r="O241" s="90" t="str"/>
      <x:c r="P241" s="90" t="str"/>
    </x:row>
    <x:row r="242" ht="42" customHeight="1">
      <x:c r="A242" s="90" t="str">
        <x:v>HHA-05</x:v>
      </x:c>
      <x:c r="B242" s="90" t="str">
        <x:v>HHA</x:v>
      </x:c>
      <x:c r="C242" s="90" t="str">
        <x:v>RM-SS-001</x:v>
      </x:c>
      <x:c r="D242" s="90" t="str">
        <x:v>Staff Safety &amp; Personal Security</x:v>
      </x:c>
      <x:c r="E242" s="90" t="str">
        <x:v>Core</x:v>
      </x:c>
      <x:c r="F242" s="90" t="str">
        <x:v>Yes</x:v>
      </x:c>
      <x:c r="G242" s="90" t="str">
        <x:v>Yes — bundled</x:v>
      </x:c>
      <x:c r="H242" s="90" t="str">
        <x:v>Annual 12-Hour In-Service &amp; Field Safety</x:v>
      </x:c>
      <x:c r="I242" s="90" t="str">
        <x:v>Track ≥12 hours; quiz plus hands-on/simulation elements</x:v>
      </x:c>
      <x:c r="J242" s="90" t="str">
        <x:v>By day 14; before independent duty if earlier</x:v>
      </x:c>
      <x:c r="K242" s="90" t="str">
        <x:v>At least 12 in-service hours each 12-month period</x:v>
      </x:c>
      <x:c r="L242" s="90" t="str">
        <x:v>Ready</x:v>
      </x:c>
      <x:c r="M242" s="90" t="str">
        <x:v>Federal HHA in-service hours must be documented; specialty, exposure, equipment, driving, and weather modules are assigned by work performed.</x:v>
      </x:c>
      <x:c r="N242" s="90" t="str">
        <x:v>12-allPoliciesContent.generated.ts — RM-SS-001</x:v>
      </x:c>
      <x:c r="O242" s="90" t="str"/>
      <x:c r="P242" s="90" t="str"/>
    </x:row>
    <x:row r="243" ht="42" customHeight="1">
      <x:c r="A243" s="90" t="str">
        <x:v>HHA-05</x:v>
      </x:c>
      <x:c r="B243" s="90" t="str">
        <x:v>HHA</x:v>
      </x:c>
      <x:c r="C243" s="90" t="str">
        <x:v>RM-SS-003</x:v>
      </x:c>
      <x:c r="D243" s="90" t="str">
        <x:v>Motor Vehicle Safety &amp; Accident Reporting</x:v>
      </x:c>
      <x:c r="E243" s="90" t="str">
        <x:v>Conditional</x:v>
      </x:c>
      <x:c r="F243" s="90" t="str">
        <x:v>Yes</x:v>
      </x:c>
      <x:c r="G243" s="90" t="str">
        <x:v>Yes — bundled</x:v>
      </x:c>
      <x:c r="H243" s="90" t="str">
        <x:v>Annual 12-Hour In-Service &amp; Field Safety</x:v>
      </x:c>
      <x:c r="I243" s="90" t="str">
        <x:v>Track ≥12 hours; quiz plus hands-on/simulation elements</x:v>
      </x:c>
      <x:c r="J243" s="90" t="str">
        <x:v>By day 14; before independent duty if earlier</x:v>
      </x:c>
      <x:c r="K243" s="90" t="str">
        <x:v>At least 12 in-service hours each 12-month period</x:v>
      </x:c>
      <x:c r="L243" s="90" t="str">
        <x:v>Ready</x:v>
      </x:c>
      <x:c r="M243" s="90" t="str">
        <x:v>Federal HHA in-service hours must be documented; specialty, exposure, equipment, driving, and weather modules are assigned by work performed.</x:v>
      </x:c>
      <x:c r="N243" s="90" t="str">
        <x:v>12-allPoliciesContent.generated.ts — RM-SS-003</x:v>
      </x:c>
      <x:c r="O243" s="90" t="str"/>
      <x:c r="P243" s="90" t="str"/>
    </x:row>
    <x:row r="244" ht="42" customHeight="1">
      <x:c r="A244" s="90" t="str">
        <x:v>HHA-05</x:v>
      </x:c>
      <x:c r="B244" s="90" t="str">
        <x:v>HHA</x:v>
      </x:c>
      <x:c r="C244" s="90" t="str">
        <x:v>OP-SL-003</x:v>
      </x:c>
      <x:c r="D244" s="90" t="str">
        <x:v>Vehicle &amp; Transportation Safety</x:v>
      </x:c>
      <x:c r="E244" s="90" t="str">
        <x:v>Conditional</x:v>
      </x:c>
      <x:c r="F244" s="90" t="str">
        <x:v>Yes</x:v>
      </x:c>
      <x:c r="G244" s="90" t="str">
        <x:v>Yes — bundled</x:v>
      </x:c>
      <x:c r="H244" s="90" t="str">
        <x:v>Annual 12-Hour In-Service &amp; Field Safety</x:v>
      </x:c>
      <x:c r="I244" s="90" t="str">
        <x:v>Track ≥12 hours; quiz plus hands-on/simulation elements</x:v>
      </x:c>
      <x:c r="J244" s="90" t="str">
        <x:v>By day 14; before independent duty if earlier</x:v>
      </x:c>
      <x:c r="K244" s="90" t="str">
        <x:v>At least 12 in-service hours each 12-month period</x:v>
      </x:c>
      <x:c r="L244" s="90" t="str">
        <x:v>Ready</x:v>
      </x:c>
      <x:c r="M244" s="90" t="str">
        <x:v>Federal HHA in-service hours must be documented; specialty, exposure, equipment, driving, and weather modules are assigned by work performed.</x:v>
      </x:c>
      <x:c r="N244" s="90" t="str">
        <x:v>12-allPoliciesContent.generated.ts — OP-SL-003</x:v>
      </x:c>
      <x:c r="O244" s="90" t="str"/>
      <x:c r="P244" s="90" t="str"/>
    </x:row>
    <x:row r="245" ht="42" customHeight="1">
      <x:c r="A245" s="90" t="str">
        <x:v>HHA-05</x:v>
      </x:c>
      <x:c r="B245" s="90" t="str">
        <x:v>HHA</x:v>
      </x:c>
      <x:c r="C245" s="90" t="str">
        <x:v>OP-SL-004</x:v>
      </x:c>
      <x:c r="D245" s="90" t="str">
        <x:v>Equipment &amp; Supply Management</x:v>
      </x:c>
      <x:c r="E245" s="90" t="str">
        <x:v>Core</x:v>
      </x:c>
      <x:c r="F245" s="90" t="str">
        <x:v>Yes</x:v>
      </x:c>
      <x:c r="G245" s="90" t="str">
        <x:v>Yes — bundled</x:v>
      </x:c>
      <x:c r="H245" s="90" t="str">
        <x:v>Annual 12-Hour In-Service &amp; Field Safety</x:v>
      </x:c>
      <x:c r="I245" s="90" t="str">
        <x:v>Track ≥12 hours; quiz plus hands-on/simulation elements</x:v>
      </x:c>
      <x:c r="J245" s="90" t="str">
        <x:v>By day 14; before independent duty if earlier</x:v>
      </x:c>
      <x:c r="K245" s="90" t="str">
        <x:v>At least 12 in-service hours each 12-month period</x:v>
      </x:c>
      <x:c r="L245" s="90" t="str">
        <x:v>Ready</x:v>
      </x:c>
      <x:c r="M245" s="90" t="str">
        <x:v>Federal HHA in-service hours must be documented; specialty, exposure, equipment, driving, and weather modules are assigned by work performed.</x:v>
      </x:c>
      <x:c r="N245" s="90" t="str">
        <x:v>12-allPoliciesContent.generated.ts — OP-SL-004</x:v>
      </x:c>
      <x:c r="O245" s="90" t="str"/>
      <x:c r="P245" s="90" t="str"/>
    </x:row>
    <x:row r="246" ht="42" customHeight="1">
      <x:c r="A246" s="90" t="str">
        <x:v>HHA-05</x:v>
      </x:c>
      <x:c r="B246" s="90" t="str">
        <x:v>HHA</x:v>
      </x:c>
      <x:c r="C246" s="90" t="str">
        <x:v>OP-SL-007</x:v>
      </x:c>
      <x:c r="D246" s="90" t="str">
        <x:v>Inclement Weather &amp; Hazardous Conditions</x:v>
      </x:c>
      <x:c r="E246" s="90" t="str">
        <x:v>Core</x:v>
      </x:c>
      <x:c r="F246" s="90" t="str">
        <x:v>Yes</x:v>
      </x:c>
      <x:c r="G246" s="90" t="str">
        <x:v>Yes — bundled</x:v>
      </x:c>
      <x:c r="H246" s="90" t="str">
        <x:v>Annual 12-Hour In-Service &amp; Field Safety</x:v>
      </x:c>
      <x:c r="I246" s="90" t="str">
        <x:v>Track ≥12 hours; quiz plus hands-on/simulation elements</x:v>
      </x:c>
      <x:c r="J246" s="90" t="str">
        <x:v>By day 14; before independent duty if earlier</x:v>
      </x:c>
      <x:c r="K246" s="90" t="str">
        <x:v>At least 12 in-service hours each 12-month period</x:v>
      </x:c>
      <x:c r="L246" s="90" t="str">
        <x:v>Ready</x:v>
      </x:c>
      <x:c r="M246" s="90" t="str">
        <x:v>Federal HHA in-service hours must be documented; specialty, exposure, equipment, driving, and weather modules are assigned by work performed.</x:v>
      </x:c>
      <x:c r="N246" s="90" t="str">
        <x:v>12-allPoliciesContent.generated.ts — OP-SL-007</x:v>
      </x:c>
      <x:c r="O246" s="90" t="str"/>
      <x:c r="P246" s="90" t="str"/>
    </x:row>
    <x:row r="247" ht="42" customHeight="1">
      <x:c r="A247" s="90" t="str">
        <x:v>PT-01</x:v>
      </x:c>
      <x:c r="B247" s="90" t="str">
        <x:v>PT</x:v>
      </x:c>
      <x:c r="C247" s="90" t="str">
        <x:v>HR-JD-008</x:v>
      </x:c>
      <x:c r="D247" s="90" t="str">
        <x:v>Physical Therapist — Job Description (full policy body missing)</x:v>
      </x:c>
      <x:c r="E247" s="90" t="str">
        <x:v>Hold</x:v>
      </x:c>
      <x:c r="F247" s="90" t="str">
        <x:v>Yes</x:v>
      </x:c>
      <x:c r="G247" s="90" t="str">
        <x:v>Yes — bundled</x:v>
      </x:c>
      <x:c r="H247" s="90" t="str">
        <x:v>PT Job Duties, Scope, Supervision &amp; Competency</x:v>
      </x:c>
      <x:c r="I247" s="90" t="str">
        <x:v>80% quiz plus discipline competency validation</x:v>
      </x:c>
      <x:c r="J247" s="90" t="str">
        <x:v>By day 14; before independent duty if earlier</x:v>
      </x:c>
      <x:c r="K247" s="90" t="str">
        <x:v>At hire; then on material revision</x:v>
      </x:c>
      <x:c r="L247" s="90" t="str">
        <x:v>Hold</x:v>
      </x:c>
      <x:c r="M247" s="90" t="str">
        <x:v>Defines PT evaluation/treatment scope and PTA supervision duties.</x:v>
      </x:c>
      <x:c r="N247" s="90" t="str">
        <x:v>Source gap: referenced in taxonomy/crosswalk, but full generated policy body is absent</x:v>
      </x:c>
      <x:c r="O247" s="90" t="str">
        <x:v>https://www.ecfr.gov/current/title-42/part-484/section-484.105</x:v>
      </x:c>
      <x:c r="P247" s="90" t="str"/>
    </x:row>
    <x:row r="248" ht="42" customHeight="1">
      <x:c r="A248" s="90" t="str">
        <x:v>PT-01</x:v>
      </x:c>
      <x:c r="B248" s="90" t="str">
        <x:v>PT</x:v>
      </x:c>
      <x:c r="C248" s="90" t="str">
        <x:v>HR-JD-000</x:v>
      </x:c>
      <x:c r="D248" s="90" t="str">
        <x:v>Job Description Framework &amp; Organizational Chart</x:v>
      </x:c>
      <x:c r="E248" s="90" t="str">
        <x:v>Core</x:v>
      </x:c>
      <x:c r="F248" s="90" t="str">
        <x:v>Yes</x:v>
      </x:c>
      <x:c r="G248" s="90" t="str">
        <x:v>Yes — bundled</x:v>
      </x:c>
      <x:c r="H248" s="90" t="str">
        <x:v>PT Job Duties, Scope, Supervision &amp; Competency</x:v>
      </x:c>
      <x:c r="I248" s="90" t="str">
        <x:v>80% quiz plus discipline competency validation</x:v>
      </x:c>
      <x:c r="J248" s="90" t="str">
        <x:v>By day 14; before independent duty if earlier</x:v>
      </x:c>
      <x:c r="K248" s="90" t="str">
        <x:v>At hire; then on material revision</x:v>
      </x:c>
      <x:c r="L248" s="90" t="str">
        <x:v>Partial hold</x:v>
      </x:c>
      <x:c r="M248" s="90" t="str">
        <x:v>Defines PT evaluation/treatment scope and PTA supervision duties.</x:v>
      </x:c>
      <x:c r="N248" s="90" t="str">
        <x:v>12-allPoliciesContent.generated.ts — HR-JD-000</x:v>
      </x:c>
      <x:c r="O248" s="90" t="str">
        <x:v>https://www.ecfr.gov/current/title-42/part-484/section-484.105</x:v>
      </x:c>
      <x:c r="P248" s="90" t="str"/>
    </x:row>
    <x:row r="249" ht="42" customHeight="1">
      <x:c r="A249" s="90" t="str">
        <x:v>PT-01</x:v>
      </x:c>
      <x:c r="B249" s="90" t="str">
        <x:v>PT</x:v>
      </x:c>
      <x:c r="C249" s="90" t="str">
        <x:v>CL-SD-002</x:v>
      </x:c>
      <x:c r="D249" s="90" t="str">
        <x:v>Physical Therapy Services</x:v>
      </x:c>
      <x:c r="E249" s="90" t="str">
        <x:v>Core</x:v>
      </x:c>
      <x:c r="F249" s="90" t="str">
        <x:v>Yes</x:v>
      </x:c>
      <x:c r="G249" s="90" t="str">
        <x:v>Yes — bundled</x:v>
      </x:c>
      <x:c r="H249" s="90" t="str">
        <x:v>PT Job Duties, Scope, Supervision &amp; Competency</x:v>
      </x:c>
      <x:c r="I249" s="90" t="str">
        <x:v>80% quiz plus discipline competency validation</x:v>
      </x:c>
      <x:c r="J249" s="90" t="str">
        <x:v>By day 14; before independent duty if earlier</x:v>
      </x:c>
      <x:c r="K249" s="90" t="str">
        <x:v>At hire; then on material revision</x:v>
      </x:c>
      <x:c r="L249" s="90" t="str">
        <x:v>Partial hold</x:v>
      </x:c>
      <x:c r="M249" s="90" t="str">
        <x:v>Defines PT evaluation/treatment scope and PTA supervision duties.</x:v>
      </x:c>
      <x:c r="N249" s="90" t="str">
        <x:v>12-allPoliciesContent.generated.ts — CL-SD-002</x:v>
      </x:c>
      <x:c r="O249" s="90" t="str">
        <x:v>https://www.ecfr.gov/current/title-42/part-484/section-484.75</x:v>
      </x:c>
      <x:c r="P249" s="90" t="str"/>
    </x:row>
    <x:row r="250" ht="42" customHeight="1">
      <x:c r="A250" s="90" t="str">
        <x:v>PT-01</x:v>
      </x:c>
      <x:c r="B250" s="90" t="str">
        <x:v>PT</x:v>
      </x:c>
      <x:c r="C250" s="90" t="str">
        <x:v>CL-SD-008</x:v>
      </x:c>
      <x:c r="D250" s="90" t="str">
        <x:v>Clinical Supervision &amp; Oversight</x:v>
      </x:c>
      <x:c r="E250" s="90" t="str">
        <x:v>Core</x:v>
      </x:c>
      <x:c r="F250" s="90" t="str">
        <x:v>Yes</x:v>
      </x:c>
      <x:c r="G250" s="90" t="str">
        <x:v>Yes — bundled</x:v>
      </x:c>
      <x:c r="H250" s="90" t="str">
        <x:v>PT Job Duties, Scope, Supervision &amp; Competency</x:v>
      </x:c>
      <x:c r="I250" s="90" t="str">
        <x:v>80% quiz plus discipline competency validation</x:v>
      </x:c>
      <x:c r="J250" s="90" t="str">
        <x:v>By day 14; before independent duty if earlier</x:v>
      </x:c>
      <x:c r="K250" s="90" t="str">
        <x:v>At hire; then on material revision</x:v>
      </x:c>
      <x:c r="L250" s="90" t="str">
        <x:v>Partial hold</x:v>
      </x:c>
      <x:c r="M250" s="90" t="str">
        <x:v>Defines PT evaluation/treatment scope and PTA supervision duties.</x:v>
      </x:c>
      <x:c r="N250" s="90" t="str">
        <x:v>12-allPoliciesContent.generated.ts — CL-SD-008</x:v>
      </x:c>
      <x:c r="O250" s="90" t="str">
        <x:v>https://www.ecfr.gov/current/title-42/part-484/section-484.75</x:v>
      </x:c>
      <x:c r="P250" s="90" t="str"/>
    </x:row>
    <x:row r="251" ht="42" customHeight="1">
      <x:c r="A251" s="90" t="str">
        <x:v>PT-01</x:v>
      </x:c>
      <x:c r="B251" s="90" t="str">
        <x:v>PT</x:v>
      </x:c>
      <x:c r="C251" s="90" t="str">
        <x:v>HR-TA-006</x:v>
      </x:c>
      <x:c r="D251" s="90" t="str">
        <x:v>Job Description &amp; Role Definition</x:v>
      </x:c>
      <x:c r="E251" s="90" t="str">
        <x:v>Core</x:v>
      </x:c>
      <x:c r="F251" s="90" t="str">
        <x:v>Yes</x:v>
      </x:c>
      <x:c r="G251" s="90" t="str">
        <x:v>Yes — bundled</x:v>
      </x:c>
      <x:c r="H251" s="90" t="str">
        <x:v>PT Job Duties, Scope, Supervision &amp; Competency</x:v>
      </x:c>
      <x:c r="I251" s="90" t="str">
        <x:v>80% quiz plus discipline competency validation</x:v>
      </x:c>
      <x:c r="J251" s="90" t="str">
        <x:v>By day 14; before independent duty if earlier</x:v>
      </x:c>
      <x:c r="K251" s="90" t="str">
        <x:v>At hire; then on material revision</x:v>
      </x:c>
      <x:c r="L251" s="90" t="str">
        <x:v>Partial hold</x:v>
      </x:c>
      <x:c r="M251" s="90" t="str">
        <x:v>Defines PT evaluation/treatment scope and PTA supervision duties.</x:v>
      </x:c>
      <x:c r="N251" s="90" t="str">
        <x:v>12-allPoliciesContent.generated.ts — HR-TA-006</x:v>
      </x:c>
      <x:c r="O251" s="90" t="str"/>
      <x:c r="P251" s="90" t="str"/>
    </x:row>
    <x:row r="252" ht="42" customHeight="1">
      <x:c r="A252" s="90" t="str">
        <x:v>PT-01</x:v>
      </x:c>
      <x:c r="B252" s="90" t="str">
        <x:v>PT</x:v>
      </x:c>
      <x:c r="C252" s="90" t="str">
        <x:v>HR-TD-003</x:v>
      </x:c>
      <x:c r="D252" s="90" t="str">
        <x:v>Clinical Staff Competency Evaluation</x:v>
      </x:c>
      <x:c r="E252" s="90" t="str">
        <x:v>Core</x:v>
      </x:c>
      <x:c r="F252" s="90" t="str">
        <x:v>Yes</x:v>
      </x:c>
      <x:c r="G252" s="90" t="str">
        <x:v>Yes — bundled</x:v>
      </x:c>
      <x:c r="H252" s="90" t="str">
        <x:v>PT Job Duties, Scope, Supervision &amp; Competency</x:v>
      </x:c>
      <x:c r="I252" s="90" t="str">
        <x:v>80% quiz plus discipline competency validation</x:v>
      </x:c>
      <x:c r="J252" s="90" t="str">
        <x:v>By day 14; before independent duty if earlier</x:v>
      </x:c>
      <x:c r="K252" s="90" t="str">
        <x:v>At hire; then on material revision</x:v>
      </x:c>
      <x:c r="L252" s="90" t="str">
        <x:v>Partial hold</x:v>
      </x:c>
      <x:c r="M252" s="90" t="str">
        <x:v>Defines PT evaluation/treatment scope and PTA supervision duties.</x:v>
      </x:c>
      <x:c r="N252" s="90" t="str">
        <x:v>12-allPoliciesContent.generated.ts — HR-TD-003</x:v>
      </x:c>
      <x:c r="O252" s="90" t="str"/>
      <x:c r="P252" s="90" t="str"/>
    </x:row>
    <x:row r="253" ht="42" customHeight="1">
      <x:c r="A253" s="90" t="str">
        <x:v>PT-02</x:v>
      </x:c>
      <x:c r="B253" s="90" t="str">
        <x:v>PT</x:v>
      </x:c>
      <x:c r="C253" s="90" t="str">
        <x:v>CL-CD-001</x:v>
      </x:c>
      <x:c r="D253" s="90" t="str">
        <x:v>Clinical Documentation Standards</x:v>
      </x:c>
      <x:c r="E253" s="90" t="str">
        <x:v>Core</x:v>
      </x:c>
      <x:c r="F253" s="90" t="str">
        <x:v>Yes</x:v>
      </x:c>
      <x:c r="G253" s="90" t="str">
        <x:v>Yes — bundled</x:v>
      </x:c>
      <x:c r="H253" s="90" t="str">
        <x:v>Therapy Documentation, Coordination &amp; Field Safety</x:v>
      </x:c>
      <x:c r="I253" s="90" t="str">
        <x:v>80% quiz plus documentation/field-safety scenarios</x:v>
      </x:c>
      <x:c r="J253" s="90" t="str">
        <x:v>By day 14; before independent duty if earlier</x:v>
      </x:c>
      <x:c r="K253" s="90" t="str">
        <x:v>At hire; then on material revision</x:v>
      </x:c>
      <x:c r="L253" s="90" t="str">
        <x:v>Ready</x:v>
      </x:c>
      <x:c r="M253" s="90" t="str">
        <x:v>Common professional therapy duties for documentation, orders, transitions, patient safeguards, and field safety.</x:v>
      </x:c>
      <x:c r="N253" s="90" t="str">
        <x:v>12-allPoliciesContent.generated.ts — CL-CD-001</x:v>
      </x:c>
      <x:c r="O253" s="90" t="str">
        <x:v>https://www.ecfr.gov/current/title-42/part-484/section-484.110</x:v>
      </x:c>
      <x:c r="P253" s="90" t="str"/>
    </x:row>
    <x:row r="254" ht="42" customHeight="1">
      <x:c r="A254" s="90" t="str">
        <x:v>PT-02</x:v>
      </x:c>
      <x:c r="B254" s="90" t="str">
        <x:v>PT</x:v>
      </x:c>
      <x:c r="C254" s="90" t="str">
        <x:v>CL-CD-002</x:v>
      </x:c>
      <x:c r="D254" s="90" t="str">
        <x:v>Clinical Record Content &amp; Organization</x:v>
      </x:c>
      <x:c r="E254" s="90" t="str">
        <x:v>Core</x:v>
      </x:c>
      <x:c r="F254" s="90" t="str">
        <x:v>Yes</x:v>
      </x:c>
      <x:c r="G254" s="90" t="str">
        <x:v>Yes — bundled</x:v>
      </x:c>
      <x:c r="H254" s="90" t="str">
        <x:v>Therapy Documentation, Coordination &amp; Field Safety</x:v>
      </x:c>
      <x:c r="I254" s="90" t="str">
        <x:v>80% quiz plus documentation/field-safety scenarios</x:v>
      </x:c>
      <x:c r="J254" s="90" t="str">
        <x:v>By day 14; before independent duty if earlier</x:v>
      </x:c>
      <x:c r="K254" s="90" t="str">
        <x:v>At hire; then on material revision</x:v>
      </x:c>
      <x:c r="L254" s="90" t="str">
        <x:v>Ready</x:v>
      </x:c>
      <x:c r="M254" s="90" t="str">
        <x:v>Common professional therapy duties for documentation, orders, transitions, patient safeguards, and field safety.</x:v>
      </x:c>
      <x:c r="N254" s="90" t="str">
        <x:v>12-allPoliciesContent.generated.ts — CL-CD-002</x:v>
      </x:c>
      <x:c r="O254" s="90" t="str">
        <x:v>https://www.ecfr.gov/current/title-42/part-484/section-484.110</x:v>
      </x:c>
      <x:c r="P254" s="90" t="str"/>
    </x:row>
    <x:row r="255" ht="42" customHeight="1">
      <x:c r="A255" s="90" t="str">
        <x:v>PT-02</x:v>
      </x:c>
      <x:c r="B255" s="90" t="str">
        <x:v>PT</x:v>
      </x:c>
      <x:c r="C255" s="90" t="str">
        <x:v>CL-CD-003</x:v>
      </x:c>
      <x:c r="D255" s="90" t="str">
        <x:v>Clinical Record Authentication &amp; Signature Requirements</x:v>
      </x:c>
      <x:c r="E255" s="90" t="str">
        <x:v>Core</x:v>
      </x:c>
      <x:c r="F255" s="90" t="str">
        <x:v>Yes</x:v>
      </x:c>
      <x:c r="G255" s="90" t="str">
        <x:v>Yes — bundled</x:v>
      </x:c>
      <x:c r="H255" s="90" t="str">
        <x:v>Therapy Documentation, Coordination &amp; Field Safety</x:v>
      </x:c>
      <x:c r="I255" s="90" t="str">
        <x:v>80% quiz plus documentation/field-safety scenarios</x:v>
      </x:c>
      <x:c r="J255" s="90" t="str">
        <x:v>By day 14; before independent duty if earlier</x:v>
      </x:c>
      <x:c r="K255" s="90" t="str">
        <x:v>At hire; then on material revision</x:v>
      </x:c>
      <x:c r="L255" s="90" t="str">
        <x:v>Ready</x:v>
      </x:c>
      <x:c r="M255" s="90" t="str">
        <x:v>Common professional therapy duties for documentation, orders, transitions, patient safeguards, and field safety.</x:v>
      </x:c>
      <x:c r="N255" s="90" t="str">
        <x:v>12-allPoliciesContent.generated.ts — CL-CD-003</x:v>
      </x:c>
      <x:c r="O255" s="90" t="str">
        <x:v>https://www.ecfr.gov/current/title-42/part-484/section-484.110</x:v>
      </x:c>
      <x:c r="P255" s="90" t="str"/>
    </x:row>
    <x:row r="256" ht="42" customHeight="1">
      <x:c r="A256" s="90" t="str">
        <x:v>PT-02</x:v>
      </x:c>
      <x:c r="B256" s="90" t="str">
        <x:v>PT</x:v>
      </x:c>
      <x:c r="C256" s="90" t="str">
        <x:v>CL-CD-004</x:v>
      </x:c>
      <x:c r="D256" s="90" t="str">
        <x:v>Timely Documentation Completion &amp; Lock Requirements</x:v>
      </x:c>
      <x:c r="E256" s="90" t="str">
        <x:v>Core</x:v>
      </x:c>
      <x:c r="F256" s="90" t="str">
        <x:v>Yes</x:v>
      </x:c>
      <x:c r="G256" s="90" t="str">
        <x:v>Yes — bundled</x:v>
      </x:c>
      <x:c r="H256" s="90" t="str">
        <x:v>Therapy Documentation, Coordination &amp; Field Safety</x:v>
      </x:c>
      <x:c r="I256" s="90" t="str">
        <x:v>80% quiz plus documentation/field-safety scenarios</x:v>
      </x:c>
      <x:c r="J256" s="90" t="str">
        <x:v>By day 14; before independent duty if earlier</x:v>
      </x:c>
      <x:c r="K256" s="90" t="str">
        <x:v>At hire; then on material revision</x:v>
      </x:c>
      <x:c r="L256" s="90" t="str">
        <x:v>Ready</x:v>
      </x:c>
      <x:c r="M256" s="90" t="str">
        <x:v>Common professional therapy duties for documentation, orders, transitions, patient safeguards, and field safety.</x:v>
      </x:c>
      <x:c r="N256" s="90" t="str">
        <x:v>12-allPoliciesContent.generated.ts — CL-CD-004</x:v>
      </x:c>
      <x:c r="O256" s="90" t="str">
        <x:v>https://www.ecfr.gov/current/title-42/part-484/section-484.110</x:v>
      </x:c>
      <x:c r="P256" s="90" t="str"/>
    </x:row>
    <x:row r="257" ht="42" customHeight="1">
      <x:c r="A257" s="90" t="str">
        <x:v>PT-02</x:v>
      </x:c>
      <x:c r="B257" s="90" t="str">
        <x:v>PT</x:v>
      </x:c>
      <x:c r="C257" s="90" t="str">
        <x:v>CO-DC-003</x:v>
      </x:c>
      <x:c r="D257" s="90" t="str">
        <x:v>Late Entry, Correction &amp; Amendment Standards</x:v>
      </x:c>
      <x:c r="E257" s="90" t="str">
        <x:v>Core</x:v>
      </x:c>
      <x:c r="F257" s="90" t="str">
        <x:v>Yes</x:v>
      </x:c>
      <x:c r="G257" s="90" t="str">
        <x:v>Yes — bundled</x:v>
      </x:c>
      <x:c r="H257" s="90" t="str">
        <x:v>Therapy Documentation, Coordination &amp; Field Safety</x:v>
      </x:c>
      <x:c r="I257" s="90" t="str">
        <x:v>80% quiz plus documentation/field-safety scenarios</x:v>
      </x:c>
      <x:c r="J257" s="90" t="str">
        <x:v>By day 14; before independent duty if earlier</x:v>
      </x:c>
      <x:c r="K257" s="90" t="str">
        <x:v>At hire; then on material revision</x:v>
      </x:c>
      <x:c r="L257" s="90" t="str">
        <x:v>Ready</x:v>
      </x:c>
      <x:c r="M257" s="90" t="str">
        <x:v>Common professional therapy duties for documentation, orders, transitions, patient safeguards, and field safety.</x:v>
      </x:c>
      <x:c r="N257" s="90" t="str">
        <x:v>12-allPoliciesContent.generated.ts — CO-DC-003</x:v>
      </x:c>
      <x:c r="O257" s="90" t="str">
        <x:v>https://www.ecfr.gov/current/title-42/part-484/section-484.110</x:v>
      </x:c>
      <x:c r="P257" s="90" t="str"/>
    </x:row>
    <x:row r="258" ht="42" customHeight="1">
      <x:c r="A258" s="90" t="str">
        <x:v>PT-02</x:v>
      </x:c>
      <x:c r="B258" s="90" t="str">
        <x:v>PT</x:v>
      </x:c>
      <x:c r="C258" s="90" t="str">
        <x:v>CL-CP-001</x:v>
      </x:c>
      <x:c r="D258" s="90" t="str">
        <x:v>Plan of Care Development &amp; Approval</x:v>
      </x:c>
      <x:c r="E258" s="90" t="str">
        <x:v>Core</x:v>
      </x:c>
      <x:c r="F258" s="90" t="str">
        <x:v>Yes</x:v>
      </x:c>
      <x:c r="G258" s="90" t="str">
        <x:v>Yes — bundled</x:v>
      </x:c>
      <x:c r="H258" s="90" t="str">
        <x:v>Therapy Documentation, Coordination &amp; Field Safety</x:v>
      </x:c>
      <x:c r="I258" s="90" t="str">
        <x:v>80% quiz plus documentation/field-safety scenarios</x:v>
      </x:c>
      <x:c r="J258" s="90" t="str">
        <x:v>By day 14; before independent duty if earlier</x:v>
      </x:c>
      <x:c r="K258" s="90" t="str">
        <x:v>At hire; then on material revision</x:v>
      </x:c>
      <x:c r="L258" s="90" t="str">
        <x:v>Ready</x:v>
      </x:c>
      <x:c r="M258" s="90" t="str">
        <x:v>Common professional therapy duties for documentation, orders, transitions, patient safeguards, and field safety.</x:v>
      </x:c>
      <x:c r="N258" s="90" t="str">
        <x:v>12-allPoliciesContent.generated.ts — CL-CP-001</x:v>
      </x:c>
      <x:c r="O258" s="90" t="str">
        <x:v>https://www.ecfr.gov/current/title-42/part-484/section-484.60</x:v>
      </x:c>
      <x:c r="P258" s="90" t="str"/>
    </x:row>
    <x:row r="259" ht="42" customHeight="1">
      <x:c r="A259" s="90" t="str">
        <x:v>PT-02</x:v>
      </x:c>
      <x:c r="B259" s="90" t="str">
        <x:v>PT</x:v>
      </x:c>
      <x:c r="C259" s="90" t="str">
        <x:v>CL-CP-002</x:v>
      </x:c>
      <x:c r="D259" s="90" t="str">
        <x:v>Plan of Care Review &amp; Update</x:v>
      </x:c>
      <x:c r="E259" s="90" t="str">
        <x:v>Core</x:v>
      </x:c>
      <x:c r="F259" s="90" t="str">
        <x:v>Yes</x:v>
      </x:c>
      <x:c r="G259" s="90" t="str">
        <x:v>Yes — bundled</x:v>
      </x:c>
      <x:c r="H259" s="90" t="str">
        <x:v>Therapy Documentation, Coordination &amp; Field Safety</x:v>
      </x:c>
      <x:c r="I259" s="90" t="str">
        <x:v>80% quiz plus documentation/field-safety scenarios</x:v>
      </x:c>
      <x:c r="J259" s="90" t="str">
        <x:v>By day 14; before independent duty if earlier</x:v>
      </x:c>
      <x:c r="K259" s="90" t="str">
        <x:v>At hire; then on material revision</x:v>
      </x:c>
      <x:c r="L259" s="90" t="str">
        <x:v>Ready</x:v>
      </x:c>
      <x:c r="M259" s="90" t="str">
        <x:v>Common professional therapy duties for documentation, orders, transitions, patient safeguards, and field safety.</x:v>
      </x:c>
      <x:c r="N259" s="90" t="str">
        <x:v>12-allPoliciesContent.generated.ts — CL-CP-002</x:v>
      </x:c>
      <x:c r="O259" s="90" t="str">
        <x:v>https://www.ecfr.gov/current/title-42/part-484/section-484.60</x:v>
      </x:c>
      <x:c r="P259" s="90" t="str"/>
    </x:row>
    <x:row r="260" ht="42" customHeight="1">
      <x:c r="A260" s="90" t="str">
        <x:v>PT-02</x:v>
      </x:c>
      <x:c r="B260" s="90" t="str">
        <x:v>PT</x:v>
      </x:c>
      <x:c r="C260" s="90" t="str">
        <x:v>CL-CP-003</x:v>
      </x:c>
      <x:c r="D260" s="90" t="str">
        <x:v>Physician Orders &amp; Order Management</x:v>
      </x:c>
      <x:c r="E260" s="90" t="str">
        <x:v>Core</x:v>
      </x:c>
      <x:c r="F260" s="90" t="str">
        <x:v>Yes</x:v>
      </x:c>
      <x:c r="G260" s="90" t="str">
        <x:v>Yes — bundled</x:v>
      </x:c>
      <x:c r="H260" s="90" t="str">
        <x:v>Therapy Documentation, Coordination &amp; Field Safety</x:v>
      </x:c>
      <x:c r="I260" s="90" t="str">
        <x:v>80% quiz plus documentation/field-safety scenarios</x:v>
      </x:c>
      <x:c r="J260" s="90" t="str">
        <x:v>By day 14; before independent duty if earlier</x:v>
      </x:c>
      <x:c r="K260" s="90" t="str">
        <x:v>At hire; then on material revision</x:v>
      </x:c>
      <x:c r="L260" s="90" t="str">
        <x:v>Ready</x:v>
      </x:c>
      <x:c r="M260" s="90" t="str">
        <x:v>Common professional therapy duties for documentation, orders, transitions, patient safeguards, and field safety.</x:v>
      </x:c>
      <x:c r="N260" s="90" t="str">
        <x:v>12-allPoliciesContent.generated.ts — CL-CP-003</x:v>
      </x:c>
      <x:c r="O260" s="90" t="str">
        <x:v>https://www.ecfr.gov/current/title-42/part-484/section-484.60</x:v>
      </x:c>
      <x:c r="P260" s="90" t="str"/>
    </x:row>
    <x:row r="261" ht="42" customHeight="1">
      <x:c r="A261" s="90" t="str">
        <x:v>PT-02</x:v>
      </x:c>
      <x:c r="B261" s="90" t="str">
        <x:v>PT</x:v>
      </x:c>
      <x:c r="C261" s="90" t="str">
        <x:v>CL-CP-005</x:v>
      </x:c>
      <x:c r="D261" s="90" t="str">
        <x:v>Coordination of Care</x:v>
      </x:c>
      <x:c r="E261" s="90" t="str">
        <x:v>Core</x:v>
      </x:c>
      <x:c r="F261" s="90" t="str">
        <x:v>Yes</x:v>
      </x:c>
      <x:c r="G261" s="90" t="str">
        <x:v>Yes — bundled</x:v>
      </x:c>
      <x:c r="H261" s="90" t="str">
        <x:v>Therapy Documentation, Coordination &amp; Field Safety</x:v>
      </x:c>
      <x:c r="I261" s="90" t="str">
        <x:v>80% quiz plus documentation/field-safety scenarios</x:v>
      </x:c>
      <x:c r="J261" s="90" t="str">
        <x:v>By day 14; before independent duty if earlier</x:v>
      </x:c>
      <x:c r="K261" s="90" t="str">
        <x:v>At hire; then on material revision</x:v>
      </x:c>
      <x:c r="L261" s="90" t="str">
        <x:v>Ready</x:v>
      </x:c>
      <x:c r="M261" s="90" t="str">
        <x:v>Common professional therapy duties for documentation, orders, transitions, patient safeguards, and field safety.</x:v>
      </x:c>
      <x:c r="N261" s="90" t="str">
        <x:v>12-allPoliciesContent.generated.ts — CL-CP-005</x:v>
      </x:c>
      <x:c r="O261" s="90" t="str">
        <x:v>https://www.ecfr.gov/current/title-42/part-484/section-484.60</x:v>
      </x:c>
      <x:c r="P261" s="90" t="str"/>
    </x:row>
    <x:row r="262" ht="42" customHeight="1">
      <x:c r="A262" s="90" t="str">
        <x:v>PT-02</x:v>
      </x:c>
      <x:c r="B262" s="90" t="str">
        <x:v>PT</x:v>
      </x:c>
      <x:c r="C262" s="90" t="str">
        <x:v>CL-CP-006</x:v>
      </x:c>
      <x:c r="D262" s="90" t="str">
        <x:v>Discharge Planning &amp; Criteria</x:v>
      </x:c>
      <x:c r="E262" s="90" t="str">
        <x:v>Core</x:v>
      </x:c>
      <x:c r="F262" s="90" t="str">
        <x:v>Yes</x:v>
      </x:c>
      <x:c r="G262" s="90" t="str">
        <x:v>Yes — bundled</x:v>
      </x:c>
      <x:c r="H262" s="90" t="str">
        <x:v>Therapy Documentation, Coordination &amp; Field Safety</x:v>
      </x:c>
      <x:c r="I262" s="90" t="str">
        <x:v>80% quiz plus documentation/field-safety scenarios</x:v>
      </x:c>
      <x:c r="J262" s="90" t="str">
        <x:v>By day 14; before independent duty if earlier</x:v>
      </x:c>
      <x:c r="K262" s="90" t="str">
        <x:v>At hire; then on material revision</x:v>
      </x:c>
      <x:c r="L262" s="90" t="str">
        <x:v>Ready</x:v>
      </x:c>
      <x:c r="M262" s="90" t="str">
        <x:v>Common professional therapy duties for documentation, orders, transitions, patient safeguards, and field safety.</x:v>
      </x:c>
      <x:c r="N262" s="90" t="str">
        <x:v>12-allPoliciesContent.generated.ts — CL-CP-006</x:v>
      </x:c>
      <x:c r="O262" s="90" t="str">
        <x:v>https://www.ecfr.gov/current/title-42/part-484/section-484.60</x:v>
      </x:c>
      <x:c r="P262" s="90" t="str"/>
    </x:row>
    <x:row r="263" ht="42" customHeight="1">
      <x:c r="A263" s="90" t="str">
        <x:v>PT-02</x:v>
      </x:c>
      <x:c r="B263" s="90" t="str">
        <x:v>PT</x:v>
      </x:c>
      <x:c r="C263" s="90" t="str">
        <x:v>CL-CP-007</x:v>
      </x:c>
      <x:c r="D263" s="90" t="str">
        <x:v>Transfer &amp; Referral Procedures</x:v>
      </x:c>
      <x:c r="E263" s="90" t="str">
        <x:v>Core</x:v>
      </x:c>
      <x:c r="F263" s="90" t="str">
        <x:v>Yes</x:v>
      </x:c>
      <x:c r="G263" s="90" t="str">
        <x:v>Yes — bundled</x:v>
      </x:c>
      <x:c r="H263" s="90" t="str">
        <x:v>Therapy Documentation, Coordination &amp; Field Safety</x:v>
      </x:c>
      <x:c r="I263" s="90" t="str">
        <x:v>80% quiz plus documentation/field-safety scenarios</x:v>
      </x:c>
      <x:c r="J263" s="90" t="str">
        <x:v>By day 14; before independent duty if earlier</x:v>
      </x:c>
      <x:c r="K263" s="90" t="str">
        <x:v>At hire; then on material revision</x:v>
      </x:c>
      <x:c r="L263" s="90" t="str">
        <x:v>Ready</x:v>
      </x:c>
      <x:c r="M263" s="90" t="str">
        <x:v>Common professional therapy duties for documentation, orders, transitions, patient safeguards, and field safety.</x:v>
      </x:c>
      <x:c r="N263" s="90" t="str">
        <x:v>12-allPoliciesContent.generated.ts — CL-CP-007</x:v>
      </x:c>
      <x:c r="O263" s="90" t="str">
        <x:v>https://www.ecfr.gov/current/title-42/part-484/section-484.60</x:v>
      </x:c>
      <x:c r="P263" s="90" t="str"/>
    </x:row>
    <x:row r="264" ht="42" customHeight="1">
      <x:c r="A264" s="90" t="str">
        <x:v>PT-02</x:v>
      </x:c>
      <x:c r="B264" s="90" t="str">
        <x:v>PT</x:v>
      </x:c>
      <x:c r="C264" s="90" t="str">
        <x:v>CL-CC-101</x:v>
      </x:c>
      <x:c r="D264" s="90" t="str">
        <x:v>Care Coordination &amp; SDOH Management</x:v>
      </x:c>
      <x:c r="E264" s="90" t="str">
        <x:v>Core</x:v>
      </x:c>
      <x:c r="F264" s="90" t="str">
        <x:v>Yes</x:v>
      </x:c>
      <x:c r="G264" s="90" t="str">
        <x:v>Yes — bundled</x:v>
      </x:c>
      <x:c r="H264" s="90" t="str">
        <x:v>Therapy Documentation, Coordination &amp; Field Safety</x:v>
      </x:c>
      <x:c r="I264" s="90" t="str">
        <x:v>80% quiz plus documentation/field-safety scenarios</x:v>
      </x:c>
      <x:c r="J264" s="90" t="str">
        <x:v>By day 14; before independent duty if earlier</x:v>
      </x:c>
      <x:c r="K264" s="90" t="str">
        <x:v>At hire; then on material revision</x:v>
      </x:c>
      <x:c r="L264" s="90" t="str">
        <x:v>Ready</x:v>
      </x:c>
      <x:c r="M264" s="90" t="str">
        <x:v>Common professional therapy duties for documentation, orders, transitions, patient safeguards, and field safety.</x:v>
      </x:c>
      <x:c r="N264" s="90" t="str">
        <x:v>12-allPoliciesContent.generated.ts — CL-CC-101</x:v>
      </x:c>
      <x:c r="O264" s="90" t="str">
        <x:v>https://www.ecfr.gov/current/title-42/part-484/section-484.60</x:v>
      </x:c>
      <x:c r="P264" s="90" t="str"/>
    </x:row>
    <x:row r="265" ht="42" customHeight="1">
      <x:c r="A265" s="90" t="str">
        <x:v>PT-02</x:v>
      </x:c>
      <x:c r="B265" s="90" t="str">
        <x:v>PT</x:v>
      </x:c>
      <x:c r="C265" s="90" t="str">
        <x:v>CL-PR-002</x:v>
      </x:c>
      <x:c r="D265" s="90" t="str">
        <x:v>Advance Directive Compliance</x:v>
      </x:c>
      <x:c r="E265" s="90" t="str">
        <x:v>Core</x:v>
      </x:c>
      <x:c r="F265" s="90" t="str">
        <x:v>Yes</x:v>
      </x:c>
      <x:c r="G265" s="90" t="str">
        <x:v>Yes — bundled</x:v>
      </x:c>
      <x:c r="H265" s="90" t="str">
        <x:v>Therapy Documentation, Coordination &amp; Field Safety</x:v>
      </x:c>
      <x:c r="I265" s="90" t="str">
        <x:v>80% quiz plus documentation/field-safety scenarios</x:v>
      </x:c>
      <x:c r="J265" s="90" t="str">
        <x:v>By day 14; before independent duty if earlier</x:v>
      </x:c>
      <x:c r="K265" s="90" t="str">
        <x:v>At hire; then on material revision</x:v>
      </x:c>
      <x:c r="L265" s="90" t="str">
        <x:v>Ready</x:v>
      </x:c>
      <x:c r="M265" s="90" t="str">
        <x:v>Common professional therapy duties for documentation, orders, transitions, patient safeguards, and field safety.</x:v>
      </x:c>
      <x:c r="N265" s="90" t="str">
        <x:v>12-allPoliciesContent.generated.ts — CL-PR-002</x:v>
      </x:c>
      <x:c r="O265" s="90" t="str">
        <x:v>https://www.ecfr.gov/current/title-42/part-484/section-484.50</x:v>
      </x:c>
      <x:c r="P265" s="90" t="str"/>
    </x:row>
    <x:row r="266" ht="42" customHeight="1">
      <x:c r="A266" s="90" t="str">
        <x:v>PT-02</x:v>
      </x:c>
      <x:c r="B266" s="90" t="str">
        <x:v>PT</x:v>
      </x:c>
      <x:c r="C266" s="90" t="str">
        <x:v>CL-PR-003</x:v>
      </x:c>
      <x:c r="D266" s="90" t="str">
        <x:v>Informed Consent</x:v>
      </x:c>
      <x:c r="E266" s="90" t="str">
        <x:v>Core</x:v>
      </x:c>
      <x:c r="F266" s="90" t="str">
        <x:v>Yes</x:v>
      </x:c>
      <x:c r="G266" s="90" t="str">
        <x:v>Yes — bundled</x:v>
      </x:c>
      <x:c r="H266" s="90" t="str">
        <x:v>Therapy Documentation, Coordination &amp; Field Safety</x:v>
      </x:c>
      <x:c r="I266" s="90" t="str">
        <x:v>80% quiz plus documentation/field-safety scenarios</x:v>
      </x:c>
      <x:c r="J266" s="90" t="str">
        <x:v>By day 14; before independent duty if earlier</x:v>
      </x:c>
      <x:c r="K266" s="90" t="str">
        <x:v>At hire; then on material revision</x:v>
      </x:c>
      <x:c r="L266" s="90" t="str">
        <x:v>Ready</x:v>
      </x:c>
      <x:c r="M266" s="90" t="str">
        <x:v>Common professional therapy duties for documentation, orders, transitions, patient safeguards, and field safety.</x:v>
      </x:c>
      <x:c r="N266" s="90" t="str">
        <x:v>12-allPoliciesContent.generated.ts — CL-PR-003</x:v>
      </x:c>
      <x:c r="O266" s="90" t="str">
        <x:v>https://www.ecfr.gov/current/title-42/part-484/section-484.50</x:v>
      </x:c>
      <x:c r="P266" s="90" t="str"/>
    </x:row>
    <x:row r="267" ht="42" customHeight="1">
      <x:c r="A267" s="90" t="str">
        <x:v>PT-02</x:v>
      </x:c>
      <x:c r="B267" s="90" t="str">
        <x:v>PT</x:v>
      </x:c>
      <x:c r="C267" s="90" t="str">
        <x:v>CL-PR-004</x:v>
      </x:c>
      <x:c r="D267" s="90" t="str">
        <x:v>Restraint &amp; Seclusion Prohibition</x:v>
      </x:c>
      <x:c r="E267" s="90" t="str">
        <x:v>Core</x:v>
      </x:c>
      <x:c r="F267" s="90" t="str">
        <x:v>Yes</x:v>
      </x:c>
      <x:c r="G267" s="90" t="str">
        <x:v>Yes — bundled</x:v>
      </x:c>
      <x:c r="H267" s="90" t="str">
        <x:v>Therapy Documentation, Coordination &amp; Field Safety</x:v>
      </x:c>
      <x:c r="I267" s="90" t="str">
        <x:v>80% quiz plus documentation/field-safety scenarios</x:v>
      </x:c>
      <x:c r="J267" s="90" t="str">
        <x:v>By day 14; before independent duty if earlier</x:v>
      </x:c>
      <x:c r="K267" s="90" t="str">
        <x:v>At hire; then on material revision</x:v>
      </x:c>
      <x:c r="L267" s="90" t="str">
        <x:v>Ready</x:v>
      </x:c>
      <x:c r="M267" s="90" t="str">
        <x:v>Common professional therapy duties for documentation, orders, transitions, patient safeguards, and field safety.</x:v>
      </x:c>
      <x:c r="N267" s="90" t="str">
        <x:v>12-allPoliciesContent.generated.ts — CL-PR-004</x:v>
      </x:c>
      <x:c r="O267" s="90" t="str">
        <x:v>https://www.ecfr.gov/current/title-42/part-484/section-484.50</x:v>
      </x:c>
      <x:c r="P267" s="90" t="str"/>
    </x:row>
    <x:row r="268" ht="42" customHeight="1">
      <x:c r="A268" s="90" t="str">
        <x:v>PT-02</x:v>
      </x:c>
      <x:c r="B268" s="90" t="str">
        <x:v>PT</x:v>
      </x:c>
      <x:c r="C268" s="90" t="str">
        <x:v>CL-PR-005</x:v>
      </x:c>
      <x:c r="D268" s="90" t="str">
        <x:v>Emergency Preparedness — Clinical</x:v>
      </x:c>
      <x:c r="E268" s="90" t="str">
        <x:v>Core</x:v>
      </x:c>
      <x:c r="F268" s="90" t="str">
        <x:v>Yes</x:v>
      </x:c>
      <x:c r="G268" s="90" t="str">
        <x:v>Yes — bundled</x:v>
      </x:c>
      <x:c r="H268" s="90" t="str">
        <x:v>Therapy Documentation, Coordination &amp; Field Safety</x:v>
      </x:c>
      <x:c r="I268" s="90" t="str">
        <x:v>80% quiz plus documentation/field-safety scenarios</x:v>
      </x:c>
      <x:c r="J268" s="90" t="str">
        <x:v>By day 14; before independent duty if earlier</x:v>
      </x:c>
      <x:c r="K268" s="90" t="str">
        <x:v>At hire; then on material revision</x:v>
      </x:c>
      <x:c r="L268" s="90" t="str">
        <x:v>Ready</x:v>
      </x:c>
      <x:c r="M268" s="90" t="str">
        <x:v>Common professional therapy duties for documentation, orders, transitions, patient safeguards, and field safety.</x:v>
      </x:c>
      <x:c r="N268" s="90" t="str">
        <x:v>12-allPoliciesContent.generated.ts — CL-PR-005</x:v>
      </x:c>
      <x:c r="O268" s="90" t="str">
        <x:v>https://www.ecfr.gov/current/title-42/part-484/section-484.50</x:v>
      </x:c>
      <x:c r="P268" s="90" t="str"/>
    </x:row>
    <x:row r="269" ht="42" customHeight="1">
      <x:c r="A269" s="90" t="str">
        <x:v>PT-02</x:v>
      </x:c>
      <x:c r="B269" s="90" t="str">
        <x:v>PT</x:v>
      </x:c>
      <x:c r="C269" s="90" t="str">
        <x:v>OP-PA-002</x:v>
      </x:c>
      <x:c r="D269" s="90" t="str">
        <x:v>Patient Identification &amp; Verification</x:v>
      </x:c>
      <x:c r="E269" s="90" t="str">
        <x:v>Core</x:v>
      </x:c>
      <x:c r="F269" s="90" t="str">
        <x:v>Yes</x:v>
      </x:c>
      <x:c r="G269" s="90" t="str">
        <x:v>Yes — bundled</x:v>
      </x:c>
      <x:c r="H269" s="90" t="str">
        <x:v>Therapy Documentation, Coordination &amp; Field Safety</x:v>
      </x:c>
      <x:c r="I269" s="90" t="str">
        <x:v>80% quiz plus documentation/field-safety scenarios</x:v>
      </x:c>
      <x:c r="J269" s="90" t="str">
        <x:v>By day 14; before independent duty if earlier</x:v>
      </x:c>
      <x:c r="K269" s="90" t="str">
        <x:v>At hire; then on material revision</x:v>
      </x:c>
      <x:c r="L269" s="90" t="str">
        <x:v>Ready</x:v>
      </x:c>
      <x:c r="M269" s="90" t="str">
        <x:v>Common professional therapy duties for documentation, orders, transitions, patient safeguards, and field safety.</x:v>
      </x:c>
      <x:c r="N269" s="90" t="str">
        <x:v>12-allPoliciesContent.generated.ts — OP-PA-002</x:v>
      </x:c>
      <x:c r="O269" s="90" t="str"/>
      <x:c r="P269" s="90" t="str"/>
    </x:row>
    <x:row r="270" ht="42" customHeight="1">
      <x:c r="A270" s="90" t="str">
        <x:v>PT-02</x:v>
      </x:c>
      <x:c r="B270" s="90" t="str">
        <x:v>PT</x:v>
      </x:c>
      <x:c r="C270" s="90" t="str">
        <x:v>OP-PA-003</x:v>
      </x:c>
      <x:c r="D270" s="90" t="str">
        <x:v>Interpreter &amp; Language Access Services</x:v>
      </x:c>
      <x:c r="E270" s="90" t="str">
        <x:v>Core</x:v>
      </x:c>
      <x:c r="F270" s="90" t="str">
        <x:v>Yes</x:v>
      </x:c>
      <x:c r="G270" s="90" t="str">
        <x:v>Yes — bundled</x:v>
      </x:c>
      <x:c r="H270" s="90" t="str">
        <x:v>Therapy Documentation, Coordination &amp; Field Safety</x:v>
      </x:c>
      <x:c r="I270" s="90" t="str">
        <x:v>80% quiz plus documentation/field-safety scenarios</x:v>
      </x:c>
      <x:c r="J270" s="90" t="str">
        <x:v>By day 14; before independent duty if earlier</x:v>
      </x:c>
      <x:c r="K270" s="90" t="str">
        <x:v>At hire; then on material revision</x:v>
      </x:c>
      <x:c r="L270" s="90" t="str">
        <x:v>Ready</x:v>
      </x:c>
      <x:c r="M270" s="90" t="str">
        <x:v>Common professional therapy duties for documentation, orders, transitions, patient safeguards, and field safety.</x:v>
      </x:c>
      <x:c r="N270" s="90" t="str">
        <x:v>12-allPoliciesContent.generated.ts — OP-PA-003</x:v>
      </x:c>
      <x:c r="O270" s="90" t="str"/>
      <x:c r="P270" s="90" t="str"/>
    </x:row>
    <x:row r="271" ht="42" customHeight="1">
      <x:c r="A271" s="90" t="str">
        <x:v>PT-02</x:v>
      </x:c>
      <x:c r="B271" s="90" t="str">
        <x:v>PT</x:v>
      </x:c>
      <x:c r="C271" s="90" t="str">
        <x:v>OP-PA-004</x:v>
      </x:c>
      <x:c r="D271" s="90" t="str">
        <x:v>Cultural Competency in Service Delivery</x:v>
      </x:c>
      <x:c r="E271" s="90" t="str">
        <x:v>Core</x:v>
      </x:c>
      <x:c r="F271" s="90" t="str">
        <x:v>Yes</x:v>
      </x:c>
      <x:c r="G271" s="90" t="str">
        <x:v>Yes — bundled</x:v>
      </x:c>
      <x:c r="H271" s="90" t="str">
        <x:v>Therapy Documentation, Coordination &amp; Field Safety</x:v>
      </x:c>
      <x:c r="I271" s="90" t="str">
        <x:v>80% quiz plus documentation/field-safety scenarios</x:v>
      </x:c>
      <x:c r="J271" s="90" t="str">
        <x:v>By day 14; before independent duty if earlier</x:v>
      </x:c>
      <x:c r="K271" s="90" t="str">
        <x:v>At hire; then on material revision</x:v>
      </x:c>
      <x:c r="L271" s="90" t="str">
        <x:v>Ready</x:v>
      </x:c>
      <x:c r="M271" s="90" t="str">
        <x:v>Common professional therapy duties for documentation, orders, transitions, patient safeguards, and field safety.</x:v>
      </x:c>
      <x:c r="N271" s="90" t="str">
        <x:v>12-allPoliciesContent.generated.ts — OP-PA-004</x:v>
      </x:c>
      <x:c r="O271" s="90" t="str"/>
      <x:c r="P271" s="90" t="str"/>
    </x:row>
    <x:row r="272" ht="42" customHeight="1">
      <x:c r="A272" s="90" t="str">
        <x:v>PT-02</x:v>
      </x:c>
      <x:c r="B272" s="90" t="str">
        <x:v>PT</x:v>
      </x:c>
      <x:c r="C272" s="90" t="str">
        <x:v>OP-PA-005</x:v>
      </x:c>
      <x:c r="D272" s="90" t="str">
        <x:v>Patient Property &amp; Belongings</x:v>
      </x:c>
      <x:c r="E272" s="90" t="str">
        <x:v>Core</x:v>
      </x:c>
      <x:c r="F272" s="90" t="str">
        <x:v>Yes</x:v>
      </x:c>
      <x:c r="G272" s="90" t="str">
        <x:v>Yes — bundled</x:v>
      </x:c>
      <x:c r="H272" s="90" t="str">
        <x:v>Therapy Documentation, Coordination &amp; Field Safety</x:v>
      </x:c>
      <x:c r="I272" s="90" t="str">
        <x:v>80% quiz plus documentation/field-safety scenarios</x:v>
      </x:c>
      <x:c r="J272" s="90" t="str">
        <x:v>By day 14; before independent duty if earlier</x:v>
      </x:c>
      <x:c r="K272" s="90" t="str">
        <x:v>At hire; then on material revision</x:v>
      </x:c>
      <x:c r="L272" s="90" t="str">
        <x:v>Ready</x:v>
      </x:c>
      <x:c r="M272" s="90" t="str">
        <x:v>Common professional therapy duties for documentation, orders, transitions, patient safeguards, and field safety.</x:v>
      </x:c>
      <x:c r="N272" s="90" t="str">
        <x:v>12-allPoliciesContent.generated.ts — OP-PA-005</x:v>
      </x:c>
      <x:c r="O272" s="90" t="str"/>
      <x:c r="P272" s="90" t="str"/>
    </x:row>
    <x:row r="273" ht="42" customHeight="1">
      <x:c r="A273" s="90" t="str">
        <x:v>PT-02</x:v>
      </x:c>
      <x:c r="B273" s="90" t="str">
        <x:v>PT</x:v>
      </x:c>
      <x:c r="C273" s="90" t="str">
        <x:v>OP-SL-001</x:v>
      </x:c>
      <x:c r="D273" s="90" t="str">
        <x:v>Scheduling &amp; Visit Management</x:v>
      </x:c>
      <x:c r="E273" s="90" t="str">
        <x:v>Core</x:v>
      </x:c>
      <x:c r="F273" s="90" t="str">
        <x:v>Yes</x:v>
      </x:c>
      <x:c r="G273" s="90" t="str">
        <x:v>Yes — bundled</x:v>
      </x:c>
      <x:c r="H273" s="90" t="str">
        <x:v>Therapy Documentation, Coordination &amp; Field Safety</x:v>
      </x:c>
      <x:c r="I273" s="90" t="str">
        <x:v>80% quiz plus documentation/field-safety scenarios</x:v>
      </x:c>
      <x:c r="J273" s="90" t="str">
        <x:v>By day 14; before independent duty if earlier</x:v>
      </x:c>
      <x:c r="K273" s="90" t="str">
        <x:v>At hire; then on material revision</x:v>
      </x:c>
      <x:c r="L273" s="90" t="str">
        <x:v>Ready</x:v>
      </x:c>
      <x:c r="M273" s="90" t="str">
        <x:v>Common professional therapy duties for documentation, orders, transitions, patient safeguards, and field safety.</x:v>
      </x:c>
      <x:c r="N273" s="90" t="str">
        <x:v>12-allPoliciesContent.generated.ts — OP-SL-001</x:v>
      </x:c>
      <x:c r="O273" s="90" t="str"/>
      <x:c r="P273" s="90" t="str"/>
    </x:row>
    <x:row r="274" ht="42" customHeight="1">
      <x:c r="A274" s="90" t="str">
        <x:v>PT-02</x:v>
      </x:c>
      <x:c r="B274" s="90" t="str">
        <x:v>PT</x:v>
      </x:c>
      <x:c r="C274" s="90" t="str">
        <x:v>OP-SL-004</x:v>
      </x:c>
      <x:c r="D274" s="90" t="str">
        <x:v>Equipment &amp; Supply Management</x:v>
      </x:c>
      <x:c r="E274" s="90" t="str">
        <x:v>Core</x:v>
      </x:c>
      <x:c r="F274" s="90" t="str">
        <x:v>Yes</x:v>
      </x:c>
      <x:c r="G274" s="90" t="str">
        <x:v>Yes — bundled</x:v>
      </x:c>
      <x:c r="H274" s="90" t="str">
        <x:v>Therapy Documentation, Coordination &amp; Field Safety</x:v>
      </x:c>
      <x:c r="I274" s="90" t="str">
        <x:v>80% quiz plus documentation/field-safety scenarios</x:v>
      </x:c>
      <x:c r="J274" s="90" t="str">
        <x:v>By day 14; before independent duty if earlier</x:v>
      </x:c>
      <x:c r="K274" s="90" t="str">
        <x:v>At hire; then on material revision</x:v>
      </x:c>
      <x:c r="L274" s="90" t="str">
        <x:v>Ready</x:v>
      </x:c>
      <x:c r="M274" s="90" t="str">
        <x:v>Common professional therapy duties for documentation, orders, transitions, patient safeguards, and field safety.</x:v>
      </x:c>
      <x:c r="N274" s="90" t="str">
        <x:v>12-allPoliciesContent.generated.ts — OP-SL-004</x:v>
      </x:c>
      <x:c r="O274" s="90" t="str"/>
      <x:c r="P274" s="90" t="str"/>
    </x:row>
    <x:row r="275" ht="42" customHeight="1">
      <x:c r="A275" s="90" t="str">
        <x:v>PT-02</x:v>
      </x:c>
      <x:c r="B275" s="90" t="str">
        <x:v>PT</x:v>
      </x:c>
      <x:c r="C275" s="90" t="str">
        <x:v>OP-SL-007</x:v>
      </x:c>
      <x:c r="D275" s="90" t="str">
        <x:v>Inclement Weather &amp; Hazardous Conditions</x:v>
      </x:c>
      <x:c r="E275" s="90" t="str">
        <x:v>Core</x:v>
      </x:c>
      <x:c r="F275" s="90" t="str">
        <x:v>Yes</x:v>
      </x:c>
      <x:c r="G275" s="90" t="str">
        <x:v>Yes — bundled</x:v>
      </x:c>
      <x:c r="H275" s="90" t="str">
        <x:v>Therapy Documentation, Coordination &amp; Field Safety</x:v>
      </x:c>
      <x:c r="I275" s="90" t="str">
        <x:v>80% quiz plus documentation/field-safety scenarios</x:v>
      </x:c>
      <x:c r="J275" s="90" t="str">
        <x:v>By day 14; before independent duty if earlier</x:v>
      </x:c>
      <x:c r="K275" s="90" t="str">
        <x:v>At hire; then on material revision</x:v>
      </x:c>
      <x:c r="L275" s="90" t="str">
        <x:v>Ready</x:v>
      </x:c>
      <x:c r="M275" s="90" t="str">
        <x:v>Common professional therapy duties for documentation, orders, transitions, patient safeguards, and field safety.</x:v>
      </x:c>
      <x:c r="N275" s="90" t="str">
        <x:v>12-allPoliciesContent.generated.ts — OP-SL-007</x:v>
      </x:c>
      <x:c r="O275" s="90" t="str"/>
      <x:c r="P275" s="90" t="str"/>
    </x:row>
    <x:row r="276" ht="42" customHeight="1">
      <x:c r="A276" s="90" t="str">
        <x:v>PT-02</x:v>
      </x:c>
      <x:c r="B276" s="90" t="str">
        <x:v>PT</x:v>
      </x:c>
      <x:c r="C276" s="90" t="str">
        <x:v>RM-OS-002</x:v>
      </x:c>
      <x:c r="D276" s="90" t="str">
        <x:v>Aerosol Transmissible Disease (ATD) Exposure Control Plan</x:v>
      </x:c>
      <x:c r="E276" s="90" t="str">
        <x:v>Core</x:v>
      </x:c>
      <x:c r="F276" s="90" t="str">
        <x:v>Yes</x:v>
      </x:c>
      <x:c r="G276" s="90" t="str">
        <x:v>Yes — bundled</x:v>
      </x:c>
      <x:c r="H276" s="90" t="str">
        <x:v>Therapy Documentation, Coordination &amp; Field Safety</x:v>
      </x:c>
      <x:c r="I276" s="90" t="str">
        <x:v>80% quiz plus documentation/field-safety scenarios</x:v>
      </x:c>
      <x:c r="J276" s="90" t="str">
        <x:v>By day 14; before independent duty if earlier</x:v>
      </x:c>
      <x:c r="K276" s="90" t="str">
        <x:v>At hire; then on material revision</x:v>
      </x:c>
      <x:c r="L276" s="90" t="str">
        <x:v>Ready</x:v>
      </x:c>
      <x:c r="M276" s="90" t="str">
        <x:v>Common professional therapy duties for documentation, orders, transitions, patient safeguards, and field safety.</x:v>
      </x:c>
      <x:c r="N276" s="90" t="str">
        <x:v>12-allPoliciesContent.generated.ts — RM-OS-002</x:v>
      </x:c>
      <x:c r="O276" s="90" t="str">
        <x:v>https://www.dir.ca.gov/title8/5199.html</x:v>
      </x:c>
      <x:c r="P276" s="90" t="str"/>
    </x:row>
    <x:row r="277" ht="42" customHeight="1">
      <x:c r="A277" s="90" t="str">
        <x:v>PT-02</x:v>
      </x:c>
      <x:c r="B277" s="90" t="str">
        <x:v>PT</x:v>
      </x:c>
      <x:c r="C277" s="90" t="str">
        <x:v>RM-OS-003</x:v>
      </x:c>
      <x:c r="D277" s="90" t="str">
        <x:v>Bloodborne Pathogen (BBP) Exposure Control Plan</x:v>
      </x:c>
      <x:c r="E277" s="90" t="str">
        <x:v>Core</x:v>
      </x:c>
      <x:c r="F277" s="90" t="str">
        <x:v>Yes</x:v>
      </x:c>
      <x:c r="G277" s="90" t="str">
        <x:v>Yes — bundled</x:v>
      </x:c>
      <x:c r="H277" s="90" t="str">
        <x:v>Therapy Documentation, Coordination &amp; Field Safety</x:v>
      </x:c>
      <x:c r="I277" s="90" t="str">
        <x:v>80% quiz plus documentation/field-safety scenarios</x:v>
      </x:c>
      <x:c r="J277" s="90" t="str">
        <x:v>By day 14; before independent duty if earlier</x:v>
      </x:c>
      <x:c r="K277" s="90" t="str">
        <x:v>At hire; then on material revision</x:v>
      </x:c>
      <x:c r="L277" s="90" t="str">
        <x:v>Ready</x:v>
      </x:c>
      <x:c r="M277" s="90" t="str">
        <x:v>Common professional therapy duties for documentation, orders, transitions, patient safeguards, and field safety.</x:v>
      </x:c>
      <x:c r="N277" s="90" t="str">
        <x:v>12-allPoliciesContent.generated.ts — RM-OS-003</x:v>
      </x:c>
      <x:c r="O277" s="90" t="str">
        <x:v>https://www.dir.ca.gov/title8/5193.html</x:v>
      </x:c>
      <x:c r="P277" s="90" t="str"/>
    </x:row>
    <x:row r="278" ht="42" customHeight="1">
      <x:c r="A278" s="90" t="str">
        <x:v>PT-02</x:v>
      </x:c>
      <x:c r="B278" s="90" t="str">
        <x:v>PT</x:v>
      </x:c>
      <x:c r="C278" s="90" t="str">
        <x:v>RM-OS-004</x:v>
      </x:c>
      <x:c r="D278" s="90" t="str">
        <x:v>Heat Illness Prevention Program</x:v>
      </x:c>
      <x:c r="E278" s="90" t="str">
        <x:v>Conditional</x:v>
      </x:c>
      <x:c r="F278" s="90" t="str">
        <x:v>Yes</x:v>
      </x:c>
      <x:c r="G278" s="90" t="str">
        <x:v>Yes — bundled</x:v>
      </x:c>
      <x:c r="H278" s="90" t="str">
        <x:v>Therapy Documentation, Coordination &amp; Field Safety</x:v>
      </x:c>
      <x:c r="I278" s="90" t="str">
        <x:v>80% quiz plus documentation/field-safety scenarios</x:v>
      </x:c>
      <x:c r="J278" s="90" t="str">
        <x:v>By day 14; before independent duty if earlier</x:v>
      </x:c>
      <x:c r="K278" s="90" t="str">
        <x:v>At hire; then on material revision</x:v>
      </x:c>
      <x:c r="L278" s="90" t="str">
        <x:v>Ready</x:v>
      </x:c>
      <x:c r="M278" s="90" t="str">
        <x:v>Common professional therapy duties for documentation, orders, transitions, patient safeguards, and field safety.</x:v>
      </x:c>
      <x:c r="N278" s="90" t="str">
        <x:v>12-allPoliciesContent.generated.ts — RM-OS-004</x:v>
      </x:c>
      <x:c r="O278" s="90" t="str"/>
      <x:c r="P278" s="90" t="str"/>
    </x:row>
    <x:row r="279" ht="42" customHeight="1">
      <x:c r="A279" s="90" t="str">
        <x:v>PT-02</x:v>
      </x:c>
      <x:c r="B279" s="90" t="str">
        <x:v>PT</x:v>
      </x:c>
      <x:c r="C279" s="90" t="str">
        <x:v>RM-PS-001</x:v>
      </x:c>
      <x:c r="D279" s="90" t="str">
        <x:v>Environmental Safety Assessment</x:v>
      </x:c>
      <x:c r="E279" s="90" t="str">
        <x:v>Core</x:v>
      </x:c>
      <x:c r="F279" s="90" t="str">
        <x:v>Yes</x:v>
      </x:c>
      <x:c r="G279" s="90" t="str">
        <x:v>Yes — bundled</x:v>
      </x:c>
      <x:c r="H279" s="90" t="str">
        <x:v>Therapy Documentation, Coordination &amp; Field Safety</x:v>
      </x:c>
      <x:c r="I279" s="90" t="str">
        <x:v>80% quiz plus documentation/field-safety scenarios</x:v>
      </x:c>
      <x:c r="J279" s="90" t="str">
        <x:v>By day 14; before independent duty if earlier</x:v>
      </x:c>
      <x:c r="K279" s="90" t="str">
        <x:v>At hire; then on material revision</x:v>
      </x:c>
      <x:c r="L279" s="90" t="str">
        <x:v>Ready</x:v>
      </x:c>
      <x:c r="M279" s="90" t="str">
        <x:v>Common professional therapy duties for documentation, orders, transitions, patient safeguards, and field safety.</x:v>
      </x:c>
      <x:c r="N279" s="90" t="str">
        <x:v>12-allPoliciesContent.generated.ts — RM-PS-001</x:v>
      </x:c>
      <x:c r="O279" s="90" t="str"/>
      <x:c r="P279" s="90" t="str"/>
    </x:row>
    <x:row r="280" ht="42" customHeight="1">
      <x:c r="A280" s="90" t="str">
        <x:v>PT-02</x:v>
      </x:c>
      <x:c r="B280" s="90" t="str">
        <x:v>PT</x:v>
      </x:c>
      <x:c r="C280" s="90" t="str">
        <x:v>RM-PS-003</x:v>
      </x:c>
      <x:c r="D280" s="90" t="str">
        <x:v>Product &amp; Equipment Safety Recall Management</x:v>
      </x:c>
      <x:c r="E280" s="90" t="str">
        <x:v>Core</x:v>
      </x:c>
      <x:c r="F280" s="90" t="str">
        <x:v>Yes</x:v>
      </x:c>
      <x:c r="G280" s="90" t="str">
        <x:v>Yes — bundled</x:v>
      </x:c>
      <x:c r="H280" s="90" t="str">
        <x:v>Therapy Documentation, Coordination &amp; Field Safety</x:v>
      </x:c>
      <x:c r="I280" s="90" t="str">
        <x:v>80% quiz plus documentation/field-safety scenarios</x:v>
      </x:c>
      <x:c r="J280" s="90" t="str">
        <x:v>By day 14; before independent duty if earlier</x:v>
      </x:c>
      <x:c r="K280" s="90" t="str">
        <x:v>At hire; then on material revision</x:v>
      </x:c>
      <x:c r="L280" s="90" t="str">
        <x:v>Ready</x:v>
      </x:c>
      <x:c r="M280" s="90" t="str">
        <x:v>Common professional therapy duties for documentation, orders, transitions, patient safeguards, and field safety.</x:v>
      </x:c>
      <x:c r="N280" s="90" t="str">
        <x:v>12-allPoliciesContent.generated.ts — RM-PS-003</x:v>
      </x:c>
      <x:c r="O280" s="90" t="str"/>
      <x:c r="P280" s="90" t="str"/>
    </x:row>
    <x:row r="281" ht="42" customHeight="1">
      <x:c r="A281" s="90" t="str">
        <x:v>PT-02</x:v>
      </x:c>
      <x:c r="B281" s="90" t="str">
        <x:v>PT</x:v>
      </x:c>
      <x:c r="C281" s="90" t="str">
        <x:v>RM-SS-001</x:v>
      </x:c>
      <x:c r="D281" s="90" t="str">
        <x:v>Staff Safety &amp; Personal Security</x:v>
      </x:c>
      <x:c r="E281" s="90" t="str">
        <x:v>Core</x:v>
      </x:c>
      <x:c r="F281" s="90" t="str">
        <x:v>Yes</x:v>
      </x:c>
      <x:c r="G281" s="90" t="str">
        <x:v>Yes — bundled</x:v>
      </x:c>
      <x:c r="H281" s="90" t="str">
        <x:v>Therapy Documentation, Coordination &amp; Field Safety</x:v>
      </x:c>
      <x:c r="I281" s="90" t="str">
        <x:v>80% quiz plus documentation/field-safety scenarios</x:v>
      </x:c>
      <x:c r="J281" s="90" t="str">
        <x:v>By day 14; before independent duty if earlier</x:v>
      </x:c>
      <x:c r="K281" s="90" t="str">
        <x:v>At hire; then on material revision</x:v>
      </x:c>
      <x:c r="L281" s="90" t="str">
        <x:v>Ready</x:v>
      </x:c>
      <x:c r="M281" s="90" t="str">
        <x:v>Common professional therapy duties for documentation, orders, transitions, patient safeguards, and field safety.</x:v>
      </x:c>
      <x:c r="N281" s="90" t="str">
        <x:v>12-allPoliciesContent.generated.ts — RM-SS-001</x:v>
      </x:c>
      <x:c r="O281" s="90" t="str"/>
      <x:c r="P281" s="90" t="str"/>
    </x:row>
    <x:row r="282" ht="42" customHeight="1">
      <x:c r="A282" s="90" t="str">
        <x:v>PT-02</x:v>
      </x:c>
      <x:c r="B282" s="90" t="str">
        <x:v>PT</x:v>
      </x:c>
      <x:c r="C282" s="90" t="str">
        <x:v>RM-SS-003</x:v>
      </x:c>
      <x:c r="D282" s="90" t="str">
        <x:v>Motor Vehicle Safety &amp; Accident Reporting</x:v>
      </x:c>
      <x:c r="E282" s="90" t="str">
        <x:v>Conditional</x:v>
      </x:c>
      <x:c r="F282" s="90" t="str">
        <x:v>Yes</x:v>
      </x:c>
      <x:c r="G282" s="90" t="str">
        <x:v>Yes — bundled</x:v>
      </x:c>
      <x:c r="H282" s="90" t="str">
        <x:v>Therapy Documentation, Coordination &amp; Field Safety</x:v>
      </x:c>
      <x:c r="I282" s="90" t="str">
        <x:v>80% quiz plus documentation/field-safety scenarios</x:v>
      </x:c>
      <x:c r="J282" s="90" t="str">
        <x:v>By day 14; before independent duty if earlier</x:v>
      </x:c>
      <x:c r="K282" s="90" t="str">
        <x:v>At hire; then on material revision</x:v>
      </x:c>
      <x:c r="L282" s="90" t="str">
        <x:v>Ready</x:v>
      </x:c>
      <x:c r="M282" s="90" t="str">
        <x:v>Common professional therapy duties for documentation, orders, transitions, patient safeguards, and field safety.</x:v>
      </x:c>
      <x:c r="N282" s="90" t="str">
        <x:v>12-allPoliciesContent.generated.ts — RM-SS-003</x:v>
      </x:c>
      <x:c r="O282" s="90" t="str"/>
      <x:c r="P282" s="90" t="str"/>
    </x:row>
    <x:row r="283" ht="42" customHeight="1">
      <x:c r="A283" s="90" t="str">
        <x:v>PT-02</x:v>
      </x:c>
      <x:c r="B283" s="90" t="str">
        <x:v>PT</x:v>
      </x:c>
      <x:c r="C283" s="90" t="str">
        <x:v>OP-SL-003</x:v>
      </x:c>
      <x:c r="D283" s="90" t="str">
        <x:v>Vehicle &amp; Transportation Safety</x:v>
      </x:c>
      <x:c r="E283" s="90" t="str">
        <x:v>Conditional</x:v>
      </x:c>
      <x:c r="F283" s="90" t="str">
        <x:v>Yes</x:v>
      </x:c>
      <x:c r="G283" s="90" t="str">
        <x:v>Yes — bundled</x:v>
      </x:c>
      <x:c r="H283" s="90" t="str">
        <x:v>Therapy Documentation, Coordination &amp; Field Safety</x:v>
      </x:c>
      <x:c r="I283" s="90" t="str">
        <x:v>80% quiz plus documentation/field-safety scenarios</x:v>
      </x:c>
      <x:c r="J283" s="90" t="str">
        <x:v>By day 14; before independent duty if earlier</x:v>
      </x:c>
      <x:c r="K283" s="90" t="str">
        <x:v>At hire; then on material revision</x:v>
      </x:c>
      <x:c r="L283" s="90" t="str">
        <x:v>Ready</x:v>
      </x:c>
      <x:c r="M283" s="90" t="str">
        <x:v>Common professional therapy duties for documentation, orders, transitions, patient safeguards, and field safety.</x:v>
      </x:c>
      <x:c r="N283" s="90" t="str">
        <x:v>12-allPoliciesContent.generated.ts — OP-SL-003</x:v>
      </x:c>
      <x:c r="O283" s="90" t="str"/>
      <x:c r="P283" s="90" t="str"/>
    </x:row>
    <x:row r="284" ht="42" customHeight="1">
      <x:c r="A284" s="90" t="str">
        <x:v>PT-03</x:v>
      </x:c>
      <x:c r="B284" s="90" t="str">
        <x:v>PT</x:v>
      </x:c>
      <x:c r="C284" s="90" t="str">
        <x:v>CL-CA-001</x:v>
      </x:c>
      <x:c r="D284" s="90" t="str">
        <x:v>Patient Assessment — Comprehensive</x:v>
      </x:c>
      <x:c r="E284" s="90" t="str">
        <x:v>Hold</x:v>
      </x:c>
      <x:c r="F284" s="90" t="str">
        <x:v>Yes</x:v>
      </x:c>
      <x:c r="G284" s="90" t="str">
        <x:v>Yes — bundled</x:v>
      </x:c>
      <x:c r="H284" s="90" t="str">
        <x:v>Therapy-Only OASIS &amp; Specialty PT Services</x:v>
      </x:c>
      <x:c r="I284" s="90" t="str">
        <x:v>85% OASIS exam/coding exercise if authorized; skill checks for specialty care</x:v>
      </x:c>
      <x:c r="J284" s="90" t="str">
        <x:v>By day 14; before independent duty if earlier</x:v>
      </x:c>
      <x:c r="K284" s="90" t="str">
        <x:v>At hire; then on material revision</x:v>
      </x:c>
      <x:c r="L284" s="90" t="str">
        <x:v>Hold</x:v>
      </x:c>
      <x:c r="M284" s="90" t="str">
        <x:v>Federal rules permit PT assessment in therapy-only cases, but the supplied RN-only policy text must be corrected before this module is released.</x:v>
      </x:c>
      <x:c r="N284" s="90" t="str">
        <x:v>12-allPoliciesContent.generated.ts — CL-CA-001</x:v>
      </x:c>
      <x:c r="O284" s="90" t="str">
        <x:v>https://www.ecfr.gov/current/title-42/part-484/section-484.55</x:v>
      </x:c>
      <x:c r="P284" s="90" t="str"/>
    </x:row>
    <x:row r="285" ht="42" customHeight="1">
      <x:c r="A285" s="90" t="str">
        <x:v>PT-03</x:v>
      </x:c>
      <x:c r="B285" s="90" t="str">
        <x:v>PT</x:v>
      </x:c>
      <x:c r="C285" s="90" t="str">
        <x:v>CL-CA-002</x:v>
      </x:c>
      <x:c r="D285" s="90" t="str">
        <x:v>OASIS Data Collection &amp; Accuracy</x:v>
      </x:c>
      <x:c r="E285" s="90" t="str">
        <x:v>Hold</x:v>
      </x:c>
      <x:c r="F285" s="90" t="str">
        <x:v>Yes</x:v>
      </x:c>
      <x:c r="G285" s="90" t="str">
        <x:v>Yes — bundled</x:v>
      </x:c>
      <x:c r="H285" s="90" t="str">
        <x:v>Therapy-Only OASIS &amp; Specialty PT Services</x:v>
      </x:c>
      <x:c r="I285" s="90" t="str">
        <x:v>85% OASIS exam/coding exercise if authorized; skill checks for specialty care</x:v>
      </x:c>
      <x:c r="J285" s="90" t="str">
        <x:v>By day 14; before independent duty if earlier</x:v>
      </x:c>
      <x:c r="K285" s="90" t="str">
        <x:v>At hire; then on material revision</x:v>
      </x:c>
      <x:c r="L285" s="90" t="str">
        <x:v>Hold</x:v>
      </x:c>
      <x:c r="M285" s="90" t="str">
        <x:v>Federal rules permit PT assessment in therapy-only cases, but the supplied RN-only policy text must be corrected before this module is released.</x:v>
      </x:c>
      <x:c r="N285" s="90" t="str">
        <x:v>12-allPoliciesContent.generated.ts — CL-CA-002</x:v>
      </x:c>
      <x:c r="O285" s="90" t="str">
        <x:v>https://www.ecfr.gov/current/title-42/part-484/section-484.55</x:v>
      </x:c>
      <x:c r="P285" s="90" t="str"/>
    </x:row>
    <x:row r="286" ht="42" customHeight="1">
      <x:c r="A286" s="90" t="str">
        <x:v>PT-03</x:v>
      </x:c>
      <x:c r="B286" s="90" t="str">
        <x:v>PT</x:v>
      </x:c>
      <x:c r="C286" s="90" t="str">
        <x:v>CL-CA-004</x:v>
      </x:c>
      <x:c r="D286" s="90" t="str">
        <x:v>Recertification Assessment &amp; Process</x:v>
      </x:c>
      <x:c r="E286" s="90" t="str">
        <x:v>Hold</x:v>
      </x:c>
      <x:c r="F286" s="90" t="str">
        <x:v>Yes</x:v>
      </x:c>
      <x:c r="G286" s="90" t="str">
        <x:v>Yes — bundled</x:v>
      </x:c>
      <x:c r="H286" s="90" t="str">
        <x:v>Therapy-Only OASIS &amp; Specialty PT Services</x:v>
      </x:c>
      <x:c r="I286" s="90" t="str">
        <x:v>85% OASIS exam/coding exercise if authorized; skill checks for specialty care</x:v>
      </x:c>
      <x:c r="J286" s="90" t="str">
        <x:v>By day 14; before independent duty if earlier</x:v>
      </x:c>
      <x:c r="K286" s="90" t="str">
        <x:v>At hire; then on material revision</x:v>
      </x:c>
      <x:c r="L286" s="90" t="str">
        <x:v>Hold</x:v>
      </x:c>
      <x:c r="M286" s="90" t="str">
        <x:v>Federal rules permit PT assessment in therapy-only cases, but the supplied RN-only policy text must be corrected before this module is released.</x:v>
      </x:c>
      <x:c r="N286" s="90" t="str">
        <x:v>12-allPoliciesContent.generated.ts — CL-CA-004</x:v>
      </x:c>
      <x:c r="O286" s="90" t="str">
        <x:v>https://www.ecfr.gov/current/title-42/part-484/section-484.55</x:v>
      </x:c>
      <x:c r="P286" s="90" t="str"/>
    </x:row>
    <x:row r="287" ht="42" customHeight="1">
      <x:c r="A287" s="90" t="str">
        <x:v>PT-03</x:v>
      </x:c>
      <x:c r="B287" s="90" t="str">
        <x:v>PT</x:v>
      </x:c>
      <x:c r="C287" s="90" t="str">
        <x:v>CL-CA-005</x:v>
      </x:c>
      <x:c r="D287" s="90" t="str">
        <x:v>Homebound Status Determination &amp; Documentation</x:v>
      </x:c>
      <x:c r="E287" s="90" t="str">
        <x:v>Hold</x:v>
      </x:c>
      <x:c r="F287" s="90" t="str">
        <x:v>Yes</x:v>
      </x:c>
      <x:c r="G287" s="90" t="str">
        <x:v>Yes — bundled</x:v>
      </x:c>
      <x:c r="H287" s="90" t="str">
        <x:v>Therapy-Only OASIS &amp; Specialty PT Services</x:v>
      </x:c>
      <x:c r="I287" s="90" t="str">
        <x:v>85% OASIS exam/coding exercise if authorized; skill checks for specialty care</x:v>
      </x:c>
      <x:c r="J287" s="90" t="str">
        <x:v>By day 14; before independent duty if earlier</x:v>
      </x:c>
      <x:c r="K287" s="90" t="str">
        <x:v>At hire; then on material revision</x:v>
      </x:c>
      <x:c r="L287" s="90" t="str">
        <x:v>Hold</x:v>
      </x:c>
      <x:c r="M287" s="90" t="str">
        <x:v>Federal rules permit PT assessment in therapy-only cases, but the supplied RN-only policy text must be corrected before this module is released.</x:v>
      </x:c>
      <x:c r="N287" s="90" t="str">
        <x:v>12-allPoliciesContent.generated.ts — CL-CA-005</x:v>
      </x:c>
      <x:c r="O287" s="90" t="str">
        <x:v>https://www.ecfr.gov/current/title-42/part-484/section-484.55</x:v>
      </x:c>
      <x:c r="P287" s="90" t="str"/>
    </x:row>
    <x:row r="288" ht="42" customHeight="1">
      <x:c r="A288" s="90" t="str">
        <x:v>PT-03</x:v>
      </x:c>
      <x:c r="B288" s="90" t="str">
        <x:v>PT</x:v>
      </x:c>
      <x:c r="C288" s="90" t="str">
        <x:v>CL-OA-001</x:v>
      </x:c>
      <x:c r="D288" s="90" t="str">
        <x:v>OASIS Completion Timeliness &amp; Accountability</x:v>
      </x:c>
      <x:c r="E288" s="90" t="str">
        <x:v>Hold</x:v>
      </x:c>
      <x:c r="F288" s="90" t="str">
        <x:v>Yes</x:v>
      </x:c>
      <x:c r="G288" s="90" t="str">
        <x:v>Yes — bundled</x:v>
      </x:c>
      <x:c r="H288" s="90" t="str">
        <x:v>Therapy-Only OASIS &amp; Specialty PT Services</x:v>
      </x:c>
      <x:c r="I288" s="90" t="str">
        <x:v>85% OASIS exam/coding exercise if authorized; skill checks for specialty care</x:v>
      </x:c>
      <x:c r="J288" s="90" t="str">
        <x:v>By day 14; before independent duty if earlier</x:v>
      </x:c>
      <x:c r="K288" s="90" t="str">
        <x:v>At hire; then on material revision</x:v>
      </x:c>
      <x:c r="L288" s="90" t="str">
        <x:v>Hold</x:v>
      </x:c>
      <x:c r="M288" s="90" t="str">
        <x:v>Federal rules permit PT assessment in therapy-only cases, but the supplied RN-only policy text must be corrected before this module is released.</x:v>
      </x:c>
      <x:c r="N288" s="90" t="str">
        <x:v>12-allPoliciesContent.generated.ts — CL-OA-001</x:v>
      </x:c>
      <x:c r="O288" s="90" t="str">
        <x:v>https://www.ecfr.gov/current/title-42/part-484/section-484.55</x:v>
      </x:c>
      <x:c r="P288" s="90" t="str"/>
    </x:row>
    <x:row r="289" ht="42" customHeight="1">
      <x:c r="A289" s="90" t="str">
        <x:v>PT-03</x:v>
      </x:c>
      <x:c r="B289" s="90" t="str">
        <x:v>PT</x:v>
      </x:c>
      <x:c r="C289" s="90" t="str">
        <x:v>CL-OA-002</x:v>
      </x:c>
      <x:c r="D289" s="90" t="str">
        <x:v>OASIS Quality Review &amp; Error Correction</x:v>
      </x:c>
      <x:c r="E289" s="90" t="str">
        <x:v>Hold</x:v>
      </x:c>
      <x:c r="F289" s="90" t="str">
        <x:v>Yes</x:v>
      </x:c>
      <x:c r="G289" s="90" t="str">
        <x:v>Yes — bundled</x:v>
      </x:c>
      <x:c r="H289" s="90" t="str">
        <x:v>Therapy-Only OASIS &amp; Specialty PT Services</x:v>
      </x:c>
      <x:c r="I289" s="90" t="str">
        <x:v>85% OASIS exam/coding exercise if authorized; skill checks for specialty care</x:v>
      </x:c>
      <x:c r="J289" s="90" t="str">
        <x:v>By day 14; before independent duty if earlier</x:v>
      </x:c>
      <x:c r="K289" s="90" t="str">
        <x:v>At hire; then on material revision</x:v>
      </x:c>
      <x:c r="L289" s="90" t="str">
        <x:v>Hold</x:v>
      </x:c>
      <x:c r="M289" s="90" t="str">
        <x:v>Federal rules permit PT assessment in therapy-only cases, but the supplied RN-only policy text must be corrected before this module is released.</x:v>
      </x:c>
      <x:c r="N289" s="90" t="str">
        <x:v>12-allPoliciesContent.generated.ts — CL-OA-002</x:v>
      </x:c>
      <x:c r="O289" s="90" t="str">
        <x:v>https://www.ecfr.gov/current/title-42/part-484/section-484.55</x:v>
      </x:c>
      <x:c r="P289" s="90" t="str"/>
    </x:row>
    <x:row r="290" ht="42" customHeight="1">
      <x:c r="A290" s="90" t="str">
        <x:v>PT-03</x:v>
      </x:c>
      <x:c r="B290" s="90" t="str">
        <x:v>PT</x:v>
      </x:c>
      <x:c r="C290" s="90" t="str">
        <x:v>CL-OA-003</x:v>
      </x:c>
      <x:c r="D290" s="90" t="str">
        <x:v>OASIS Clinician Authorization &amp; Competency</x:v>
      </x:c>
      <x:c r="E290" s="90" t="str">
        <x:v>Hold</x:v>
      </x:c>
      <x:c r="F290" s="90" t="str">
        <x:v>Yes</x:v>
      </x:c>
      <x:c r="G290" s="90" t="str">
        <x:v>Yes — bundled</x:v>
      </x:c>
      <x:c r="H290" s="90" t="str">
        <x:v>Therapy-Only OASIS &amp; Specialty PT Services</x:v>
      </x:c>
      <x:c r="I290" s="90" t="str">
        <x:v>85% OASIS exam/coding exercise if authorized; skill checks for specialty care</x:v>
      </x:c>
      <x:c r="J290" s="90" t="str">
        <x:v>By day 14; before independent duty if earlier</x:v>
      </x:c>
      <x:c r="K290" s="90" t="str">
        <x:v>At hire; then on material revision</x:v>
      </x:c>
      <x:c r="L290" s="90" t="str">
        <x:v>Hold</x:v>
      </x:c>
      <x:c r="M290" s="90" t="str">
        <x:v>Federal rules permit PT assessment in therapy-only cases, but the supplied RN-only policy text must be corrected before this module is released.</x:v>
      </x:c>
      <x:c r="N290" s="90" t="str">
        <x:v>12-allPoliciesContent.generated.ts — CL-OA-003</x:v>
      </x:c>
      <x:c r="O290" s="90" t="str">
        <x:v>https://www.ecfr.gov/current/title-42/part-484/section-484.55</x:v>
      </x:c>
      <x:c r="P290" s="90" t="str"/>
    </x:row>
    <x:row r="291" ht="42" customHeight="1">
      <x:c r="A291" s="90" t="str">
        <x:v>PT-03</x:v>
      </x:c>
      <x:c r="B291" s="90" t="str">
        <x:v>PT</x:v>
      </x:c>
      <x:c r="C291" s="90" t="str">
        <x:v>CL-OA-004</x:v>
      </x:c>
      <x:c r="D291" s="90" t="str">
        <x:v>OASIS Item-Level Guidance Compliance</x:v>
      </x:c>
      <x:c r="E291" s="90" t="str">
        <x:v>Hold</x:v>
      </x:c>
      <x:c r="F291" s="90" t="str">
        <x:v>Yes</x:v>
      </x:c>
      <x:c r="G291" s="90" t="str">
        <x:v>Yes — bundled</x:v>
      </x:c>
      <x:c r="H291" s="90" t="str">
        <x:v>Therapy-Only OASIS &amp; Specialty PT Services</x:v>
      </x:c>
      <x:c r="I291" s="90" t="str">
        <x:v>85% OASIS exam/coding exercise if authorized; skill checks for specialty care</x:v>
      </x:c>
      <x:c r="J291" s="90" t="str">
        <x:v>By day 14; before independent duty if earlier</x:v>
      </x:c>
      <x:c r="K291" s="90" t="str">
        <x:v>At hire; then on material revision</x:v>
      </x:c>
      <x:c r="L291" s="90" t="str">
        <x:v>Hold</x:v>
      </x:c>
      <x:c r="M291" s="90" t="str">
        <x:v>Federal rules permit PT assessment in therapy-only cases, but the supplied RN-only policy text must be corrected before this module is released.</x:v>
      </x:c>
      <x:c r="N291" s="90" t="str">
        <x:v>12-allPoliciesContent.generated.ts — CL-OA-004</x:v>
      </x:c>
      <x:c r="O291" s="90" t="str">
        <x:v>https://www.ecfr.gov/current/title-42/part-484/section-484.55</x:v>
      </x:c>
      <x:c r="P291" s="90" t="str"/>
    </x:row>
    <x:row r="292" ht="42" customHeight="1">
      <x:c r="A292" s="90" t="str">
        <x:v>PT-03</x:v>
      </x:c>
      <x:c r="B292" s="90" t="str">
        <x:v>PT</x:v>
      </x:c>
      <x:c r="C292" s="90" t="str">
        <x:v>CL-OA-005</x:v>
      </x:c>
      <x:c r="D292" s="90" t="str">
        <x:v>OASIS Data Integrity &amp; Security</x:v>
      </x:c>
      <x:c r="E292" s="90" t="str">
        <x:v>Hold</x:v>
      </x:c>
      <x:c r="F292" s="90" t="str">
        <x:v>Yes</x:v>
      </x:c>
      <x:c r="G292" s="90" t="str">
        <x:v>Yes — bundled</x:v>
      </x:c>
      <x:c r="H292" s="90" t="str">
        <x:v>Therapy-Only OASIS &amp; Specialty PT Services</x:v>
      </x:c>
      <x:c r="I292" s="90" t="str">
        <x:v>85% OASIS exam/coding exercise if authorized; skill checks for specialty care</x:v>
      </x:c>
      <x:c r="J292" s="90" t="str">
        <x:v>By day 14; before independent duty if earlier</x:v>
      </x:c>
      <x:c r="K292" s="90" t="str">
        <x:v>At hire; then on material revision</x:v>
      </x:c>
      <x:c r="L292" s="90" t="str">
        <x:v>Hold</x:v>
      </x:c>
      <x:c r="M292" s="90" t="str">
        <x:v>Federal rules permit PT assessment in therapy-only cases, but the supplied RN-only policy text must be corrected before this module is released.</x:v>
      </x:c>
      <x:c r="N292" s="90" t="str">
        <x:v>12-allPoliciesContent.generated.ts — CL-OA-005</x:v>
      </x:c>
      <x:c r="O292" s="90" t="str">
        <x:v>https://www.ecfr.gov/current/title-42/part-484/section-484.55</x:v>
      </x:c>
      <x:c r="P292" s="90" t="str"/>
    </x:row>
    <x:row r="293" ht="42" customHeight="1">
      <x:c r="A293" s="90" t="str">
        <x:v>PT-03</x:v>
      </x:c>
      <x:c r="B293" s="90" t="str">
        <x:v>PT</x:v>
      </x:c>
      <x:c r="C293" s="90" t="str">
        <x:v>CL-OA-006</x:v>
      </x:c>
      <x:c r="D293" s="90" t="str">
        <x:v>Documentation Hierarchy and Evidence Source Prioritization</x:v>
      </x:c>
      <x:c r="E293" s="90" t="str">
        <x:v>Hold</x:v>
      </x:c>
      <x:c r="F293" s="90" t="str">
        <x:v>Yes</x:v>
      </x:c>
      <x:c r="G293" s="90" t="str">
        <x:v>Yes — bundled</x:v>
      </x:c>
      <x:c r="H293" s="90" t="str">
        <x:v>Therapy-Only OASIS &amp; Specialty PT Services</x:v>
      </x:c>
      <x:c r="I293" s="90" t="str">
        <x:v>85% OASIS exam/coding exercise if authorized; skill checks for specialty care</x:v>
      </x:c>
      <x:c r="J293" s="90" t="str">
        <x:v>By day 14; before independent duty if earlier</x:v>
      </x:c>
      <x:c r="K293" s="90" t="str">
        <x:v>At hire; then on material revision</x:v>
      </x:c>
      <x:c r="L293" s="90" t="str">
        <x:v>Hold</x:v>
      </x:c>
      <x:c r="M293" s="90" t="str">
        <x:v>Federal rules permit PT assessment in therapy-only cases, but the supplied RN-only policy text must be corrected before this module is released.</x:v>
      </x:c>
      <x:c r="N293" s="90" t="str">
        <x:v>12-allPoliciesContent.generated.ts — CL-OA-006</x:v>
      </x:c>
      <x:c r="O293" s="90" t="str">
        <x:v>https://www.ecfr.gov/current/title-42/part-484/section-484.55</x:v>
      </x:c>
      <x:c r="P293" s="90" t="str"/>
    </x:row>
    <x:row r="294" ht="42" customHeight="1">
      <x:c r="A294" s="90" t="str">
        <x:v>PT-03</x:v>
      </x:c>
      <x:c r="B294" s="90" t="str">
        <x:v>PT</x:v>
      </x:c>
      <x:c r="C294" s="90" t="str">
        <x:v>CL-OA-007</x:v>
      </x:c>
      <x:c r="D294" s="90" t="str">
        <x:v>Evidence-Based OASIS Coding Substantiation</x:v>
      </x:c>
      <x:c r="E294" s="90" t="str">
        <x:v>Hold</x:v>
      </x:c>
      <x:c r="F294" s="90" t="str">
        <x:v>Yes</x:v>
      </x:c>
      <x:c r="G294" s="90" t="str">
        <x:v>Yes — bundled</x:v>
      </x:c>
      <x:c r="H294" s="90" t="str">
        <x:v>Therapy-Only OASIS &amp; Specialty PT Services</x:v>
      </x:c>
      <x:c r="I294" s="90" t="str">
        <x:v>85% OASIS exam/coding exercise if authorized; skill checks for specialty care</x:v>
      </x:c>
      <x:c r="J294" s="90" t="str">
        <x:v>By day 14; before independent duty if earlier</x:v>
      </x:c>
      <x:c r="K294" s="90" t="str">
        <x:v>At hire; then on material revision</x:v>
      </x:c>
      <x:c r="L294" s="90" t="str">
        <x:v>Hold</x:v>
      </x:c>
      <x:c r="M294" s="90" t="str">
        <x:v>Federal rules permit PT assessment in therapy-only cases, but the supplied RN-only policy text must be corrected before this module is released.</x:v>
      </x:c>
      <x:c r="N294" s="90" t="str">
        <x:v>12-allPoliciesContent.generated.ts — CL-OA-007</x:v>
      </x:c>
      <x:c r="O294" s="90" t="str">
        <x:v>https://www.ecfr.gov/current/title-42/part-484/section-484.55</x:v>
      </x:c>
      <x:c r="P294" s="90" t="str"/>
    </x:row>
    <x:row r="295" ht="42" customHeight="1">
      <x:c r="A295" s="90" t="str">
        <x:v>PT-03</x:v>
      </x:c>
      <x:c r="B295" s="90" t="str">
        <x:v>PT</x:v>
      </x:c>
      <x:c r="C295" s="90" t="str">
        <x:v>CL-OA-008</x:v>
      </x:c>
      <x:c r="D295" s="90" t="str">
        <x:v>Conflicting Documentation Source Resolution</x:v>
      </x:c>
      <x:c r="E295" s="90" t="str">
        <x:v>Hold</x:v>
      </x:c>
      <x:c r="F295" s="90" t="str">
        <x:v>Yes</x:v>
      </x:c>
      <x:c r="G295" s="90" t="str">
        <x:v>Yes — bundled</x:v>
      </x:c>
      <x:c r="H295" s="90" t="str">
        <x:v>Therapy-Only OASIS &amp; Specialty PT Services</x:v>
      </x:c>
      <x:c r="I295" s="90" t="str">
        <x:v>85% OASIS exam/coding exercise if authorized; skill checks for specialty care</x:v>
      </x:c>
      <x:c r="J295" s="90" t="str">
        <x:v>By day 14; before independent duty if earlier</x:v>
      </x:c>
      <x:c r="K295" s="90" t="str">
        <x:v>At hire; then on material revision</x:v>
      </x:c>
      <x:c r="L295" s="90" t="str">
        <x:v>Hold</x:v>
      </x:c>
      <x:c r="M295" s="90" t="str">
        <x:v>Federal rules permit PT assessment in therapy-only cases, but the supplied RN-only policy text must be corrected before this module is released.</x:v>
      </x:c>
      <x:c r="N295" s="90" t="str">
        <x:v>12-allPoliciesContent.generated.ts — CL-OA-008</x:v>
      </x:c>
      <x:c r="O295" s="90" t="str">
        <x:v>https://www.ecfr.gov/current/title-42/part-484/section-484.55</x:v>
      </x:c>
      <x:c r="P295" s="90" t="str"/>
    </x:row>
    <x:row r="296" ht="42" customHeight="1">
      <x:c r="A296" s="90" t="str">
        <x:v>PT-03</x:v>
      </x:c>
      <x:c r="B296" s="90" t="str">
        <x:v>PT</x:v>
      </x:c>
      <x:c r="C296" s="90" t="str">
        <x:v>CL-OA-009</x:v>
      </x:c>
      <x:c r="D296" s="90" t="str">
        <x:v>Point-in-Time Assessment at Start of Care</x:v>
      </x:c>
      <x:c r="E296" s="90" t="str">
        <x:v>Hold</x:v>
      </x:c>
      <x:c r="F296" s="90" t="str">
        <x:v>Yes</x:v>
      </x:c>
      <x:c r="G296" s="90" t="str">
        <x:v>Yes — bundled</x:v>
      </x:c>
      <x:c r="H296" s="90" t="str">
        <x:v>Therapy-Only OASIS &amp; Specialty PT Services</x:v>
      </x:c>
      <x:c r="I296" s="90" t="str">
        <x:v>85% OASIS exam/coding exercise if authorized; skill checks for specialty care</x:v>
      </x:c>
      <x:c r="J296" s="90" t="str">
        <x:v>By day 14; before independent duty if earlier</x:v>
      </x:c>
      <x:c r="K296" s="90" t="str">
        <x:v>At hire; then on material revision</x:v>
      </x:c>
      <x:c r="L296" s="90" t="str">
        <x:v>Hold</x:v>
      </x:c>
      <x:c r="M296" s="90" t="str">
        <x:v>Federal rules permit PT assessment in therapy-only cases, but the supplied RN-only policy text must be corrected before this module is released.</x:v>
      </x:c>
      <x:c r="N296" s="90" t="str">
        <x:v>12-allPoliciesContent.generated.ts — CL-OA-009</x:v>
      </x:c>
      <x:c r="O296" s="90" t="str">
        <x:v>https://www.ecfr.gov/current/title-42/part-484/section-484.55</x:v>
      </x:c>
      <x:c r="P296" s="90" t="str"/>
    </x:row>
    <x:row r="297" ht="42" customHeight="1">
      <x:c r="A297" s="90" t="str">
        <x:v>PT-03</x:v>
      </x:c>
      <x:c r="B297" s="90" t="str">
        <x:v>PT</x:v>
      </x:c>
      <x:c r="C297" s="90" t="str">
        <x:v>CL-OA-010</x:v>
      </x:c>
      <x:c r="D297" s="90" t="str">
        <x:v>CMS Look-Back Period Compliance for Assessment Items</x:v>
      </x:c>
      <x:c r="E297" s="90" t="str">
        <x:v>Hold</x:v>
      </x:c>
      <x:c r="F297" s="90" t="str">
        <x:v>Yes</x:v>
      </x:c>
      <x:c r="G297" s="90" t="str">
        <x:v>Yes — bundled</x:v>
      </x:c>
      <x:c r="H297" s="90" t="str">
        <x:v>Therapy-Only OASIS &amp; Specialty PT Services</x:v>
      </x:c>
      <x:c r="I297" s="90" t="str">
        <x:v>85% OASIS exam/coding exercise if authorized; skill checks for specialty care</x:v>
      </x:c>
      <x:c r="J297" s="90" t="str">
        <x:v>By day 14; before independent duty if earlier</x:v>
      </x:c>
      <x:c r="K297" s="90" t="str">
        <x:v>At hire; then on material revision</x:v>
      </x:c>
      <x:c r="L297" s="90" t="str">
        <x:v>Hold</x:v>
      </x:c>
      <x:c r="M297" s="90" t="str">
        <x:v>Federal rules permit PT assessment in therapy-only cases, but the supplied RN-only policy text must be corrected before this module is released.</x:v>
      </x:c>
      <x:c r="N297" s="90" t="str">
        <x:v>12-allPoliciesContent.generated.ts — CL-OA-010</x:v>
      </x:c>
      <x:c r="O297" s="90" t="str">
        <x:v>https://www.ecfr.gov/current/title-42/part-484/section-484.55</x:v>
      </x:c>
      <x:c r="P297" s="90" t="str"/>
    </x:row>
    <x:row r="298" ht="42" customHeight="1">
      <x:c r="A298" s="90" t="str">
        <x:v>PT-03</x:v>
      </x:c>
      <x:c r="B298" s="90" t="str">
        <x:v>PT</x:v>
      </x:c>
      <x:c r="C298" s="90" t="str">
        <x:v>CL-OA-011</x:v>
      </x:c>
      <x:c r="D298" s="90" t="str">
        <x:v>Standardized Assessment Tool Administration and Validity</x:v>
      </x:c>
      <x:c r="E298" s="90" t="str">
        <x:v>Hold</x:v>
      </x:c>
      <x:c r="F298" s="90" t="str">
        <x:v>Yes</x:v>
      </x:c>
      <x:c r="G298" s="90" t="str">
        <x:v>Yes — bundled</x:v>
      </x:c>
      <x:c r="H298" s="90" t="str">
        <x:v>Therapy-Only OASIS &amp; Specialty PT Services</x:v>
      </x:c>
      <x:c r="I298" s="90" t="str">
        <x:v>85% OASIS exam/coding exercise if authorized; skill checks for specialty care</x:v>
      </x:c>
      <x:c r="J298" s="90" t="str">
        <x:v>By day 14; before independent duty if earlier</x:v>
      </x:c>
      <x:c r="K298" s="90" t="str">
        <x:v>At hire; then on material revision</x:v>
      </x:c>
      <x:c r="L298" s="90" t="str">
        <x:v>Hold</x:v>
      </x:c>
      <x:c r="M298" s="90" t="str">
        <x:v>Federal rules permit PT assessment in therapy-only cases, but the supplied RN-only policy text must be corrected before this module is released.</x:v>
      </x:c>
      <x:c r="N298" s="90" t="str">
        <x:v>12-allPoliciesContent.generated.ts — CL-OA-011</x:v>
      </x:c>
      <x:c r="O298" s="90" t="str">
        <x:v>https://www.ecfr.gov/current/title-42/part-484/section-484.55</x:v>
      </x:c>
      <x:c r="P298" s="90" t="str"/>
    </x:row>
    <x:row r="299" ht="42" customHeight="1">
      <x:c r="A299" s="90" t="str">
        <x:v>PT-03</x:v>
      </x:c>
      <x:c r="B299" s="90" t="str">
        <x:v>PT</x:v>
      </x:c>
      <x:c r="C299" s="90" t="str">
        <x:v>CL-OA-012</x:v>
      </x:c>
      <x:c r="D299" s="90" t="str">
        <x:v>Clinical Reasoning Documentation for Coding Decisions</x:v>
      </x:c>
      <x:c r="E299" s="90" t="str">
        <x:v>Hold</x:v>
      </x:c>
      <x:c r="F299" s="90" t="str">
        <x:v>Yes</x:v>
      </x:c>
      <x:c r="G299" s="90" t="str">
        <x:v>Yes — bundled</x:v>
      </x:c>
      <x:c r="H299" s="90" t="str">
        <x:v>Therapy-Only OASIS &amp; Specialty PT Services</x:v>
      </x:c>
      <x:c r="I299" s="90" t="str">
        <x:v>85% OASIS exam/coding exercise if authorized; skill checks for specialty care</x:v>
      </x:c>
      <x:c r="J299" s="90" t="str">
        <x:v>By day 14; before independent duty if earlier</x:v>
      </x:c>
      <x:c r="K299" s="90" t="str">
        <x:v>At hire; then on material revision</x:v>
      </x:c>
      <x:c r="L299" s="90" t="str">
        <x:v>Hold</x:v>
      </x:c>
      <x:c r="M299" s="90" t="str">
        <x:v>Federal rules permit PT assessment in therapy-only cases, but the supplied RN-only policy text must be corrected before this module is released.</x:v>
      </x:c>
      <x:c r="N299" s="90" t="str">
        <x:v>12-allPoliciesContent.generated.ts — CL-OA-012</x:v>
      </x:c>
      <x:c r="O299" s="90" t="str">
        <x:v>https://www.ecfr.gov/current/title-42/part-484/section-484.55</x:v>
      </x:c>
      <x:c r="P299" s="90" t="str"/>
    </x:row>
    <x:row r="300" ht="42" customHeight="1">
      <x:c r="A300" s="90" t="str">
        <x:v>PT-03</x:v>
      </x:c>
      <x:c r="B300" s="90" t="str">
        <x:v>PT</x:v>
      </x:c>
      <x:c r="C300" s="90" t="str">
        <x:v>CL-OA-013</x:v>
      </x:c>
      <x:c r="D300" s="90" t="str">
        <x:v>Cross-Document Verification Prior to Assessment Finalization</x:v>
      </x:c>
      <x:c r="E300" s="90" t="str">
        <x:v>Hold</x:v>
      </x:c>
      <x:c r="F300" s="90" t="str">
        <x:v>Yes</x:v>
      </x:c>
      <x:c r="G300" s="90" t="str">
        <x:v>Yes — bundled</x:v>
      </x:c>
      <x:c r="H300" s="90" t="str">
        <x:v>Therapy-Only OASIS &amp; Specialty PT Services</x:v>
      </x:c>
      <x:c r="I300" s="90" t="str">
        <x:v>85% OASIS exam/coding exercise if authorized; skill checks for specialty care</x:v>
      </x:c>
      <x:c r="J300" s="90" t="str">
        <x:v>By day 14; before independent duty if earlier</x:v>
      </x:c>
      <x:c r="K300" s="90" t="str">
        <x:v>At hire; then on material revision</x:v>
      </x:c>
      <x:c r="L300" s="90" t="str">
        <x:v>Hold</x:v>
      </x:c>
      <x:c r="M300" s="90" t="str">
        <x:v>Federal rules permit PT assessment in therapy-only cases, but the supplied RN-only policy text must be corrected before this module is released.</x:v>
      </x:c>
      <x:c r="N300" s="90" t="str">
        <x:v>12-allPoliciesContent.generated.ts — CL-OA-013</x:v>
      </x:c>
      <x:c r="O300" s="90" t="str">
        <x:v>https://www.ecfr.gov/current/title-42/part-484/section-484.55</x:v>
      </x:c>
      <x:c r="P300" s="90" t="str"/>
    </x:row>
    <x:row r="301" ht="42" customHeight="1">
      <x:c r="A301" s="90" t="str">
        <x:v>PT-03</x:v>
      </x:c>
      <x:c r="B301" s="90" t="str">
        <x:v>PT</x:v>
      </x:c>
      <x:c r="C301" s="90" t="str">
        <x:v>CL-OA-014</x:v>
      </x:c>
      <x:c r="D301" s="90" t="str">
        <x:v>Medication Reconciliation — Prescribed Regimen vs. Actual Patient Behavior</x:v>
      </x:c>
      <x:c r="E301" s="90" t="str">
        <x:v>Hold</x:v>
      </x:c>
      <x:c r="F301" s="90" t="str">
        <x:v>Yes</x:v>
      </x:c>
      <x:c r="G301" s="90" t="str">
        <x:v>Yes — bundled</x:v>
      </x:c>
      <x:c r="H301" s="90" t="str">
        <x:v>Therapy-Only OASIS &amp; Specialty PT Services</x:v>
      </x:c>
      <x:c r="I301" s="90" t="str">
        <x:v>85% OASIS exam/coding exercise if authorized; skill checks for specialty care</x:v>
      </x:c>
      <x:c r="J301" s="90" t="str">
        <x:v>By day 14; before independent duty if earlier</x:v>
      </x:c>
      <x:c r="K301" s="90" t="str">
        <x:v>At hire; then on material revision</x:v>
      </x:c>
      <x:c r="L301" s="90" t="str">
        <x:v>Hold</x:v>
      </x:c>
      <x:c r="M301" s="90" t="str">
        <x:v>Federal rules permit PT assessment in therapy-only cases, but the supplied RN-only policy text must be corrected before this module is released.</x:v>
      </x:c>
      <x:c r="N301" s="90" t="str">
        <x:v>12-allPoliciesContent.generated.ts — CL-OA-014</x:v>
      </x:c>
      <x:c r="O301" s="90" t="str">
        <x:v>https://www.ecfr.gov/current/title-42/part-484/section-484.55</x:v>
      </x:c>
      <x:c r="P301" s="90" t="str"/>
    </x:row>
    <x:row r="302" ht="42" customHeight="1">
      <x:c r="A302" s="90" t="str">
        <x:v>PT-03</x:v>
      </x:c>
      <x:c r="B302" s="90" t="str">
        <x:v>PT</x:v>
      </x:c>
      <x:c r="C302" s="90" t="str">
        <x:v>CL-OA-015</x:v>
      </x:c>
      <x:c r="D302" s="90" t="str">
        <x:v>Assessment Completion Timeframe Compliance</x:v>
      </x:c>
      <x:c r="E302" s="90" t="str">
        <x:v>Hold</x:v>
      </x:c>
      <x:c r="F302" s="90" t="str">
        <x:v>Yes</x:v>
      </x:c>
      <x:c r="G302" s="90" t="str">
        <x:v>Yes — bundled</x:v>
      </x:c>
      <x:c r="H302" s="90" t="str">
        <x:v>Therapy-Only OASIS &amp; Specialty PT Services</x:v>
      </x:c>
      <x:c r="I302" s="90" t="str">
        <x:v>85% OASIS exam/coding exercise if authorized; skill checks for specialty care</x:v>
      </x:c>
      <x:c r="J302" s="90" t="str">
        <x:v>By day 14; before independent duty if earlier</x:v>
      </x:c>
      <x:c r="K302" s="90" t="str">
        <x:v>At hire; then on material revision</x:v>
      </x:c>
      <x:c r="L302" s="90" t="str">
        <x:v>Hold</x:v>
      </x:c>
      <x:c r="M302" s="90" t="str">
        <x:v>Federal rules permit PT assessment in therapy-only cases, but the supplied RN-only policy text must be corrected before this module is released.</x:v>
      </x:c>
      <x:c r="N302" s="90" t="str">
        <x:v>12-allPoliciesContent.generated.ts — CL-OA-015</x:v>
      </x:c>
      <x:c r="O302" s="90" t="str">
        <x:v>https://www.ecfr.gov/current/title-42/part-484/section-484.55</x:v>
      </x:c>
      <x:c r="P302" s="90" t="str"/>
    </x:row>
    <x:row r="303" ht="42" customHeight="1">
      <x:c r="A303" s="90" t="str">
        <x:v>PT-03</x:v>
      </x:c>
      <x:c r="B303" s="90" t="str">
        <x:v>PT</x:v>
      </x:c>
      <x:c r="C303" s="90" t="str">
        <x:v>CL-OA-016</x:v>
      </x:c>
      <x:c r="D303" s="90" t="str">
        <x:v>Scoring Methodology Integrity for Multi-Item Assessments</x:v>
      </x:c>
      <x:c r="E303" s="90" t="str">
        <x:v>Hold</x:v>
      </x:c>
      <x:c r="F303" s="90" t="str">
        <x:v>Yes</x:v>
      </x:c>
      <x:c r="G303" s="90" t="str">
        <x:v>Yes — bundled</x:v>
      </x:c>
      <x:c r="H303" s="90" t="str">
        <x:v>Therapy-Only OASIS &amp; Specialty PT Services</x:v>
      </x:c>
      <x:c r="I303" s="90" t="str">
        <x:v>85% OASIS exam/coding exercise if authorized; skill checks for specialty care</x:v>
      </x:c>
      <x:c r="J303" s="90" t="str">
        <x:v>By day 14; before independent duty if earlier</x:v>
      </x:c>
      <x:c r="K303" s="90" t="str">
        <x:v>At hire; then on material revision</x:v>
      </x:c>
      <x:c r="L303" s="90" t="str">
        <x:v>Hold</x:v>
      </x:c>
      <x:c r="M303" s="90" t="str">
        <x:v>Federal rules permit PT assessment in therapy-only cases, but the supplied RN-only policy text must be corrected before this module is released.</x:v>
      </x:c>
      <x:c r="N303" s="90" t="str">
        <x:v>12-allPoliciesContent.generated.ts — CL-OA-016</x:v>
      </x:c>
      <x:c r="O303" s="90" t="str">
        <x:v>https://www.ecfr.gov/current/title-42/part-484/section-484.55</x:v>
      </x:c>
      <x:c r="P303" s="90" t="str"/>
    </x:row>
    <x:row r="304" ht="42" customHeight="1">
      <x:c r="A304" s="90" t="str">
        <x:v>PT-03</x:v>
      </x:c>
      <x:c r="B304" s="90" t="str">
        <x:v>PT</x:v>
      </x:c>
      <x:c r="C304" s="90" t="str">
        <x:v>CL-OA-017</x:v>
      </x:c>
      <x:c r="D304" s="90" t="str">
        <x:v>Contemporaneous Documentation Requirement</x:v>
      </x:c>
      <x:c r="E304" s="90" t="str">
        <x:v>Hold</x:v>
      </x:c>
      <x:c r="F304" s="90" t="str">
        <x:v>Yes</x:v>
      </x:c>
      <x:c r="G304" s="90" t="str">
        <x:v>Yes — bundled</x:v>
      </x:c>
      <x:c r="H304" s="90" t="str">
        <x:v>Therapy-Only OASIS &amp; Specialty PT Services</x:v>
      </x:c>
      <x:c r="I304" s="90" t="str">
        <x:v>85% OASIS exam/coding exercise if authorized; skill checks for specialty care</x:v>
      </x:c>
      <x:c r="J304" s="90" t="str">
        <x:v>By day 14; before independent duty if earlier</x:v>
      </x:c>
      <x:c r="K304" s="90" t="str">
        <x:v>At hire; then on material revision</x:v>
      </x:c>
      <x:c r="L304" s="90" t="str">
        <x:v>Hold</x:v>
      </x:c>
      <x:c r="M304" s="90" t="str">
        <x:v>Federal rules permit PT assessment in therapy-only cases, but the supplied RN-only policy text must be corrected before this module is released.</x:v>
      </x:c>
      <x:c r="N304" s="90" t="str">
        <x:v>12-allPoliciesContent.generated.ts — CL-OA-017</x:v>
      </x:c>
      <x:c r="O304" s="90" t="str">
        <x:v>https://www.ecfr.gov/current/title-42/part-484/section-484.55</x:v>
      </x:c>
      <x:c r="P304" s="90" t="str"/>
    </x:row>
    <x:row r="305" ht="42" customHeight="1">
      <x:c r="A305" s="90" t="str">
        <x:v>PT-03</x:v>
      </x:c>
      <x:c r="B305" s="90" t="str">
        <x:v>PT</x:v>
      </x:c>
      <x:c r="C305" s="90" t="str">
        <x:v>CL-OA-018</x:v>
      </x:c>
      <x:c r="D305" s="90" t="str">
        <x:v>Clinician Competency Validation for OASIS Assessment</x:v>
      </x:c>
      <x:c r="E305" s="90" t="str">
        <x:v>Hold</x:v>
      </x:c>
      <x:c r="F305" s="90" t="str">
        <x:v>Yes</x:v>
      </x:c>
      <x:c r="G305" s="90" t="str">
        <x:v>Yes — bundled</x:v>
      </x:c>
      <x:c r="H305" s="90" t="str">
        <x:v>Therapy-Only OASIS &amp; Specialty PT Services</x:v>
      </x:c>
      <x:c r="I305" s="90" t="str">
        <x:v>85% OASIS exam/coding exercise if authorized; skill checks for specialty care</x:v>
      </x:c>
      <x:c r="J305" s="90" t="str">
        <x:v>By day 14; before independent duty if earlier</x:v>
      </x:c>
      <x:c r="K305" s="90" t="str">
        <x:v>At hire; then on material revision</x:v>
      </x:c>
      <x:c r="L305" s="90" t="str">
        <x:v>Hold</x:v>
      </x:c>
      <x:c r="M305" s="90" t="str">
        <x:v>Federal rules permit PT assessment in therapy-only cases, but the supplied RN-only policy text must be corrected before this module is released.</x:v>
      </x:c>
      <x:c r="N305" s="90" t="str">
        <x:v>12-allPoliciesContent.generated.ts — CL-OA-018</x:v>
      </x:c>
      <x:c r="O305" s="90" t="str">
        <x:v>https://www.ecfr.gov/current/title-42/part-484/section-484.55</x:v>
      </x:c>
      <x:c r="P305" s="90" t="str"/>
    </x:row>
    <x:row r="306" ht="42" customHeight="1">
      <x:c r="A306" s="90" t="str">
        <x:v>PT-03</x:v>
      </x:c>
      <x:c r="B306" s="90" t="str">
        <x:v>PT</x:v>
      </x:c>
      <x:c r="C306" s="90" t="str">
        <x:v>CL-OA-019</x:v>
      </x:c>
      <x:c r="D306" s="90" t="str">
        <x:v>Pre-Submission Quality Review for Comprehensive Assessments</x:v>
      </x:c>
      <x:c r="E306" s="90" t="str">
        <x:v>Hold</x:v>
      </x:c>
      <x:c r="F306" s="90" t="str">
        <x:v>Yes</x:v>
      </x:c>
      <x:c r="G306" s="90" t="str">
        <x:v>Yes — bundled</x:v>
      </x:c>
      <x:c r="H306" s="90" t="str">
        <x:v>Therapy-Only OASIS &amp; Specialty PT Services</x:v>
      </x:c>
      <x:c r="I306" s="90" t="str">
        <x:v>85% OASIS exam/coding exercise if authorized; skill checks for specialty care</x:v>
      </x:c>
      <x:c r="J306" s="90" t="str">
        <x:v>By day 14; before independent duty if earlier</x:v>
      </x:c>
      <x:c r="K306" s="90" t="str">
        <x:v>At hire; then on material revision</x:v>
      </x:c>
      <x:c r="L306" s="90" t="str">
        <x:v>Hold</x:v>
      </x:c>
      <x:c r="M306" s="90" t="str">
        <x:v>Federal rules permit PT assessment in therapy-only cases, but the supplied RN-only policy text must be corrected before this module is released.</x:v>
      </x:c>
      <x:c r="N306" s="90" t="str">
        <x:v>12-allPoliciesContent.generated.ts — CL-OA-019</x:v>
      </x:c>
      <x:c r="O306" s="90" t="str">
        <x:v>https://www.ecfr.gov/current/title-42/part-484/section-484.55</x:v>
      </x:c>
      <x:c r="P306" s="90" t="str"/>
    </x:row>
    <x:row r="307" ht="42" customHeight="1">
      <x:c r="A307" s="90" t="str">
        <x:v>PT-03</x:v>
      </x:c>
      <x:c r="B307" s="90" t="str">
        <x:v>PT</x:v>
      </x:c>
      <x:c r="C307" s="90" t="str">
        <x:v>CL-OA-101</x:v>
      </x:c>
      <x:c r="D307" s="90" t="str">
        <x:v>OASIS Data Accuracy, Validation &amp; Submission Integrity</x:v>
      </x:c>
      <x:c r="E307" s="90" t="str">
        <x:v>Hold</x:v>
      </x:c>
      <x:c r="F307" s="90" t="str">
        <x:v>Yes</x:v>
      </x:c>
      <x:c r="G307" s="90" t="str">
        <x:v>Yes — bundled</x:v>
      </x:c>
      <x:c r="H307" s="90" t="str">
        <x:v>Therapy-Only OASIS &amp; Specialty PT Services</x:v>
      </x:c>
      <x:c r="I307" s="90" t="str">
        <x:v>85% OASIS exam/coding exercise if authorized; skill checks for specialty care</x:v>
      </x:c>
      <x:c r="J307" s="90" t="str">
        <x:v>By day 14; before independent duty if earlier</x:v>
      </x:c>
      <x:c r="K307" s="90" t="str">
        <x:v>At hire; then on material revision</x:v>
      </x:c>
      <x:c r="L307" s="90" t="str">
        <x:v>Hold</x:v>
      </x:c>
      <x:c r="M307" s="90" t="str">
        <x:v>Federal rules permit PT assessment in therapy-only cases, but the supplied RN-only policy text must be corrected before this module is released.</x:v>
      </x:c>
      <x:c r="N307" s="90" t="str">
        <x:v>12-allPoliciesContent.generated.ts — CL-OA-101</x:v>
      </x:c>
      <x:c r="O307" s="90" t="str">
        <x:v>https://www.ecfr.gov/current/title-42/part-484/section-484.55</x:v>
      </x:c>
      <x:c r="P307" s="90" t="str"/>
    </x:row>
    <x:row r="308" ht="42" customHeight="1">
      <x:c r="A308" s="90" t="str">
        <x:v>PT-03</x:v>
      </x:c>
      <x:c r="B308" s="90" t="str">
        <x:v>PT</x:v>
      </x:c>
      <x:c r="C308" s="90" t="str">
        <x:v>CL-SD-009</x:v>
      </x:c>
      <x:c r="D308" s="90" t="str">
        <x:v>Telehealth &amp; Remote Monitoring Services</x:v>
      </x:c>
      <x:c r="E308" s="90" t="str">
        <x:v>Conditional</x:v>
      </x:c>
      <x:c r="F308" s="90" t="str">
        <x:v>Yes</x:v>
      </x:c>
      <x:c r="G308" s="90" t="str">
        <x:v>Yes — bundled</x:v>
      </x:c>
      <x:c r="H308" s="90" t="str">
        <x:v>Therapy-Only OASIS &amp; Specialty PT Services</x:v>
      </x:c>
      <x:c r="I308" s="90" t="str">
        <x:v>85% OASIS exam/coding exercise if authorized; skill checks for specialty care</x:v>
      </x:c>
      <x:c r="J308" s="90" t="str">
        <x:v>By day 14; before independent duty if earlier</x:v>
      </x:c>
      <x:c r="K308" s="90" t="str">
        <x:v>At hire; then on material revision</x:v>
      </x:c>
      <x:c r="L308" s="90" t="str">
        <x:v>Partial hold</x:v>
      </x:c>
      <x:c r="M308" s="90" t="str">
        <x:v>Federal rules permit PT assessment in therapy-only cases, but the supplied RN-only policy text must be corrected before this module is released.</x:v>
      </x:c>
      <x:c r="N308" s="90" t="str">
        <x:v>12-allPoliciesContent.generated.ts — CL-SD-009</x:v>
      </x:c>
      <x:c r="O308" s="90" t="str">
        <x:v>https://www.ecfr.gov/current/title-42/part-484/section-484.75</x:v>
      </x:c>
      <x:c r="P308" s="90" t="str"/>
    </x:row>
    <x:row r="309" ht="42" customHeight="1">
      <x:c r="A309" s="90" t="str">
        <x:v>PT-03</x:v>
      </x:c>
      <x:c r="B309" s="90" t="str">
        <x:v>PT</x:v>
      </x:c>
      <x:c r="C309" s="90" t="str">
        <x:v>CL-SD-011</x:v>
      </x:c>
      <x:c r="D309" s="90" t="str">
        <x:v>Wound Care Assessment &amp; Management</x:v>
      </x:c>
      <x:c r="E309" s="90" t="str">
        <x:v>Conditional</x:v>
      </x:c>
      <x:c r="F309" s="90" t="str">
        <x:v>Yes</x:v>
      </x:c>
      <x:c r="G309" s="90" t="str">
        <x:v>Yes — bundled</x:v>
      </x:c>
      <x:c r="H309" s="90" t="str">
        <x:v>Therapy-Only OASIS &amp; Specialty PT Services</x:v>
      </x:c>
      <x:c r="I309" s="90" t="str">
        <x:v>85% OASIS exam/coding exercise if authorized; skill checks for specialty care</x:v>
      </x:c>
      <x:c r="J309" s="90" t="str">
        <x:v>By day 14; before independent duty if earlier</x:v>
      </x:c>
      <x:c r="K309" s="90" t="str">
        <x:v>At hire; then on material revision</x:v>
      </x:c>
      <x:c r="L309" s="90" t="str">
        <x:v>Partial hold</x:v>
      </x:c>
      <x:c r="M309" s="90" t="str">
        <x:v>Federal rules permit PT assessment in therapy-only cases, but the supplied RN-only policy text must be corrected before this module is released.</x:v>
      </x:c>
      <x:c r="N309" s="90" t="str">
        <x:v>12-allPoliciesContent.generated.ts — CL-SD-011</x:v>
      </x:c>
      <x:c r="O309" s="90" t="str">
        <x:v>https://www.ecfr.gov/current/title-42/part-484/section-484.75</x:v>
      </x:c>
      <x:c r="P309" s="90" t="str"/>
    </x:row>
    <x:row r="310" ht="42" customHeight="1">
      <x:c r="A310" s="90" t="str">
        <x:v>PT-03</x:v>
      </x:c>
      <x:c r="B310" s="90" t="str">
        <x:v>PT</x:v>
      </x:c>
      <x:c r="C310" s="90" t="str">
        <x:v>CL-SD-014</x:v>
      </x:c>
      <x:c r="D310" s="90" t="str">
        <x:v>Pain Assessment &amp; Management</x:v>
      </x:c>
      <x:c r="E310" s="90" t="str">
        <x:v>Conditional</x:v>
      </x:c>
      <x:c r="F310" s="90" t="str">
        <x:v>Yes</x:v>
      </x:c>
      <x:c r="G310" s="90" t="str">
        <x:v>Yes — bundled</x:v>
      </x:c>
      <x:c r="H310" s="90" t="str">
        <x:v>Therapy-Only OASIS &amp; Specialty PT Services</x:v>
      </x:c>
      <x:c r="I310" s="90" t="str">
        <x:v>85% OASIS exam/coding exercise if authorized; skill checks for specialty care</x:v>
      </x:c>
      <x:c r="J310" s="90" t="str">
        <x:v>By day 14; before independent duty if earlier</x:v>
      </x:c>
      <x:c r="K310" s="90" t="str">
        <x:v>At hire; then on material revision</x:v>
      </x:c>
      <x:c r="L310" s="90" t="str">
        <x:v>Partial hold</x:v>
      </x:c>
      <x:c r="M310" s="90" t="str">
        <x:v>Federal rules permit PT assessment in therapy-only cases, but the supplied RN-only policy text must be corrected before this module is released.</x:v>
      </x:c>
      <x:c r="N310" s="90" t="str">
        <x:v>12-allPoliciesContent.generated.ts — CL-SD-014</x:v>
      </x:c>
      <x:c r="O310" s="90" t="str">
        <x:v>https://www.ecfr.gov/current/title-42/part-484/section-484.75</x:v>
      </x:c>
      <x:c r="P310" s="90" t="str"/>
    </x:row>
    <x:row r="311" ht="42" customHeight="1">
      <x:c r="A311" s="90" t="str">
        <x:v>PT-03</x:v>
      </x:c>
      <x:c r="B311" s="90" t="str">
        <x:v>PT</x:v>
      </x:c>
      <x:c r="C311" s="90" t="str">
        <x:v>CL-SD-015</x:v>
      </x:c>
      <x:c r="D311" s="90" t="str">
        <x:v>Fall Risk Assessment &amp; Prevention</x:v>
      </x:c>
      <x:c r="E311" s="90" t="str">
        <x:v>Conditional</x:v>
      </x:c>
      <x:c r="F311" s="90" t="str">
        <x:v>Yes</x:v>
      </x:c>
      <x:c r="G311" s="90" t="str">
        <x:v>Yes — bundled</x:v>
      </x:c>
      <x:c r="H311" s="90" t="str">
        <x:v>Therapy-Only OASIS &amp; Specialty PT Services</x:v>
      </x:c>
      <x:c r="I311" s="90" t="str">
        <x:v>85% OASIS exam/coding exercise if authorized; skill checks for specialty care</x:v>
      </x:c>
      <x:c r="J311" s="90" t="str">
        <x:v>By day 14; before independent duty if earlier</x:v>
      </x:c>
      <x:c r="K311" s="90" t="str">
        <x:v>At hire; then on material revision</x:v>
      </x:c>
      <x:c r="L311" s="90" t="str">
        <x:v>Partial hold</x:v>
      </x:c>
      <x:c r="M311" s="90" t="str">
        <x:v>Federal rules permit PT assessment in therapy-only cases, but the supplied RN-only policy text must be corrected before this module is released.</x:v>
      </x:c>
      <x:c r="N311" s="90" t="str">
        <x:v>12-allPoliciesContent.generated.ts — CL-SD-015</x:v>
      </x:c>
      <x:c r="O311" s="90" t="str">
        <x:v>https://www.ecfr.gov/current/title-42/part-484/section-484.75</x:v>
      </x:c>
      <x:c r="P311" s="90" t="str"/>
    </x:row>
    <x:row r="312" ht="42" customHeight="1">
      <x:c r="A312" s="90" t="str">
        <x:v>PT-03</x:v>
      </x:c>
      <x:c r="B312" s="90" t="str">
        <x:v>PT</x:v>
      </x:c>
      <x:c r="C312" s="90" t="str">
        <x:v>CL-SD-016</x:v>
      </x:c>
      <x:c r="D312" s="90" t="str">
        <x:v>Infection Prevention &amp; Control</x:v>
      </x:c>
      <x:c r="E312" s="90" t="str">
        <x:v>Conditional</x:v>
      </x:c>
      <x:c r="F312" s="90" t="str">
        <x:v>Yes</x:v>
      </x:c>
      <x:c r="G312" s="90" t="str">
        <x:v>Yes — bundled</x:v>
      </x:c>
      <x:c r="H312" s="90" t="str">
        <x:v>Therapy-Only OASIS &amp; Specialty PT Services</x:v>
      </x:c>
      <x:c r="I312" s="90" t="str">
        <x:v>85% OASIS exam/coding exercise if authorized; skill checks for specialty care</x:v>
      </x:c>
      <x:c r="J312" s="90" t="str">
        <x:v>By day 14; before independent duty if earlier</x:v>
      </x:c>
      <x:c r="K312" s="90" t="str">
        <x:v>At hire; then on material revision</x:v>
      </x:c>
      <x:c r="L312" s="90" t="str">
        <x:v>Partial hold</x:v>
      </x:c>
      <x:c r="M312" s="90" t="str">
        <x:v>Federal rules permit PT assessment in therapy-only cases, but the supplied RN-only policy text must be corrected before this module is released.</x:v>
      </x:c>
      <x:c r="N312" s="90" t="str">
        <x:v>12-allPoliciesContent.generated.ts — CL-SD-016</x:v>
      </x:c>
      <x:c r="O312" s="90" t="str">
        <x:v>https://www.ecfr.gov/current/title-42/part-484/section-484.75</x:v>
      </x:c>
      <x:c r="P312" s="90" t="str"/>
    </x:row>
    <x:row r="313" ht="42" customHeight="1">
      <x:c r="A313" s="90" t="str">
        <x:v>PT-03</x:v>
      </x:c>
      <x:c r="B313" s="90" t="str">
        <x:v>PT</x:v>
      </x:c>
      <x:c r="C313" s="90" t="str">
        <x:v>CL-SD-017</x:v>
      </x:c>
      <x:c r="D313" s="90" t="str">
        <x:v>Patient Education &amp; Self-Management</x:v>
      </x:c>
      <x:c r="E313" s="90" t="str">
        <x:v>Conditional</x:v>
      </x:c>
      <x:c r="F313" s="90" t="str">
        <x:v>Yes</x:v>
      </x:c>
      <x:c r="G313" s="90" t="str">
        <x:v>Yes — bundled</x:v>
      </x:c>
      <x:c r="H313" s="90" t="str">
        <x:v>Therapy-Only OASIS &amp; Specialty PT Services</x:v>
      </x:c>
      <x:c r="I313" s="90" t="str">
        <x:v>85% OASIS exam/coding exercise if authorized; skill checks for specialty care</x:v>
      </x:c>
      <x:c r="J313" s="90" t="str">
        <x:v>By day 14; before independent duty if earlier</x:v>
      </x:c>
      <x:c r="K313" s="90" t="str">
        <x:v>At hire; then on material revision</x:v>
      </x:c>
      <x:c r="L313" s="90" t="str">
        <x:v>Partial hold</x:v>
      </x:c>
      <x:c r="M313" s="90" t="str">
        <x:v>Federal rules permit PT assessment in therapy-only cases, but the supplied RN-only policy text must be corrected before this module is released.</x:v>
      </x:c>
      <x:c r="N313" s="90" t="str">
        <x:v>12-allPoliciesContent.generated.ts — CL-SD-017</x:v>
      </x:c>
      <x:c r="O313" s="90" t="str">
        <x:v>https://www.ecfr.gov/current/title-42/part-484/section-484.75</x:v>
      </x:c>
      <x:c r="P313" s="90" t="str"/>
    </x:row>
    <x:row r="314" ht="42" customHeight="1">
      <x:c r="A314" s="90" t="str">
        <x:v>PT-03</x:v>
      </x:c>
      <x:c r="B314" s="90" t="str">
        <x:v>PT</x:v>
      </x:c>
      <x:c r="C314" s="90" t="str">
        <x:v>CL-SD-018</x:v>
      </x:c>
      <x:c r="D314" s="90" t="str">
        <x:v>Diabetic Management &amp; Monitoring</x:v>
      </x:c>
      <x:c r="E314" s="90" t="str">
        <x:v>Conditional</x:v>
      </x:c>
      <x:c r="F314" s="90" t="str">
        <x:v>Yes</x:v>
      </x:c>
      <x:c r="G314" s="90" t="str">
        <x:v>Yes — bundled</x:v>
      </x:c>
      <x:c r="H314" s="90" t="str">
        <x:v>Therapy-Only OASIS &amp; Specialty PT Services</x:v>
      </x:c>
      <x:c r="I314" s="90" t="str">
        <x:v>85% OASIS exam/coding exercise if authorized; skill checks for specialty care</x:v>
      </x:c>
      <x:c r="J314" s="90" t="str">
        <x:v>By day 14; before independent duty if earlier</x:v>
      </x:c>
      <x:c r="K314" s="90" t="str">
        <x:v>At hire; then on material revision</x:v>
      </x:c>
      <x:c r="L314" s="90" t="str">
        <x:v>Partial hold</x:v>
      </x:c>
      <x:c r="M314" s="90" t="str">
        <x:v>Federal rules permit PT assessment in therapy-only cases, but the supplied RN-only policy text must be corrected before this module is released.</x:v>
      </x:c>
      <x:c r="N314" s="90" t="str">
        <x:v>12-allPoliciesContent.generated.ts — CL-SD-018</x:v>
      </x:c>
      <x:c r="O314" s="90" t="str">
        <x:v>https://www.ecfr.gov/current/title-42/part-484/section-484.75</x:v>
      </x:c>
      <x:c r="P314" s="90" t="str"/>
    </x:row>
    <x:row r="315" ht="42" customHeight="1">
      <x:c r="A315" s="90" t="str">
        <x:v>PT-03</x:v>
      </x:c>
      <x:c r="B315" s="90" t="str">
        <x:v>PT</x:v>
      </x:c>
      <x:c r="C315" s="90" t="str">
        <x:v>CL-SD-019</x:v>
      </x:c>
      <x:c r="D315" s="90" t="str">
        <x:v>Cardiac Care &amp; Monitoring</x:v>
      </x:c>
      <x:c r="E315" s="90" t="str">
        <x:v>Conditional</x:v>
      </x:c>
      <x:c r="F315" s="90" t="str">
        <x:v>Yes</x:v>
      </x:c>
      <x:c r="G315" s="90" t="str">
        <x:v>Yes — bundled</x:v>
      </x:c>
      <x:c r="H315" s="90" t="str">
        <x:v>Therapy-Only OASIS &amp; Specialty PT Services</x:v>
      </x:c>
      <x:c r="I315" s="90" t="str">
        <x:v>85% OASIS exam/coding exercise if authorized; skill checks for specialty care</x:v>
      </x:c>
      <x:c r="J315" s="90" t="str">
        <x:v>By day 14; before independent duty if earlier</x:v>
      </x:c>
      <x:c r="K315" s="90" t="str">
        <x:v>At hire; then on material revision</x:v>
      </x:c>
      <x:c r="L315" s="90" t="str">
        <x:v>Partial hold</x:v>
      </x:c>
      <x:c r="M315" s="90" t="str">
        <x:v>Federal rules permit PT assessment in therapy-only cases, but the supplied RN-only policy text must be corrected before this module is released.</x:v>
      </x:c>
      <x:c r="N315" s="90" t="str">
        <x:v>12-allPoliciesContent.generated.ts — CL-SD-019</x:v>
      </x:c>
      <x:c r="O315" s="90" t="str">
        <x:v>https://www.ecfr.gov/current/title-42/part-484/section-484.75</x:v>
      </x:c>
      <x:c r="P315" s="90" t="str"/>
    </x:row>
    <x:row r="316" ht="42" customHeight="1">
      <x:c r="A316" s="90" t="str">
        <x:v>PT-03</x:v>
      </x:c>
      <x:c r="B316" s="90" t="str">
        <x:v>PT</x:v>
      </x:c>
      <x:c r="C316" s="90" t="str">
        <x:v>CL-SD-020</x:v>
      </x:c>
      <x:c r="D316" s="90" t="str">
        <x:v>Respiratory Care &amp; Management</x:v>
      </x:c>
      <x:c r="E316" s="90" t="str">
        <x:v>Conditional</x:v>
      </x:c>
      <x:c r="F316" s="90" t="str">
        <x:v>Yes</x:v>
      </x:c>
      <x:c r="G316" s="90" t="str">
        <x:v>Yes — bundled</x:v>
      </x:c>
      <x:c r="H316" s="90" t="str">
        <x:v>Therapy-Only OASIS &amp; Specialty PT Services</x:v>
      </x:c>
      <x:c r="I316" s="90" t="str">
        <x:v>85% OASIS exam/coding exercise if authorized; skill checks for specialty care</x:v>
      </x:c>
      <x:c r="J316" s="90" t="str">
        <x:v>By day 14; before independent duty if earlier</x:v>
      </x:c>
      <x:c r="K316" s="90" t="str">
        <x:v>At hire; then on material revision</x:v>
      </x:c>
      <x:c r="L316" s="90" t="str">
        <x:v>Partial hold</x:v>
      </x:c>
      <x:c r="M316" s="90" t="str">
        <x:v>Federal rules permit PT assessment in therapy-only cases, but the supplied RN-only policy text must be corrected before this module is released.</x:v>
      </x:c>
      <x:c r="N316" s="90" t="str">
        <x:v>12-allPoliciesContent.generated.ts — CL-SD-020</x:v>
      </x:c>
      <x:c r="O316" s="90" t="str">
        <x:v>https://www.ecfr.gov/current/title-42/part-484/section-484.75</x:v>
      </x:c>
      <x:c r="P316" s="90" t="str"/>
    </x:row>
    <x:row r="317" ht="42" customHeight="1">
      <x:c r="A317" s="90" t="str">
        <x:v>PT-03</x:v>
      </x:c>
      <x:c r="B317" s="90" t="str">
        <x:v>PT</x:v>
      </x:c>
      <x:c r="C317" s="90" t="str">
        <x:v>CL-SD-021</x:v>
      </x:c>
      <x:c r="D317" s="90" t="str">
        <x:v>Pediatric Home Health Services</x:v>
      </x:c>
      <x:c r="E317" s="90" t="str">
        <x:v>Conditional</x:v>
      </x:c>
      <x:c r="F317" s="90" t="str">
        <x:v>Yes</x:v>
      </x:c>
      <x:c r="G317" s="90" t="str">
        <x:v>Yes — bundled</x:v>
      </x:c>
      <x:c r="H317" s="90" t="str">
        <x:v>Therapy-Only OASIS &amp; Specialty PT Services</x:v>
      </x:c>
      <x:c r="I317" s="90" t="str">
        <x:v>85% OASIS exam/coding exercise if authorized; skill checks for specialty care</x:v>
      </x:c>
      <x:c r="J317" s="90" t="str">
        <x:v>By day 14; before independent duty if earlier</x:v>
      </x:c>
      <x:c r="K317" s="90" t="str">
        <x:v>At hire; then on material revision</x:v>
      </x:c>
      <x:c r="L317" s="90" t="str">
        <x:v>Partial hold</x:v>
      </x:c>
      <x:c r="M317" s="90" t="str">
        <x:v>Federal rules permit PT assessment in therapy-only cases, but the supplied RN-only policy text must be corrected before this module is released.</x:v>
      </x:c>
      <x:c r="N317" s="90" t="str">
        <x:v>12-allPoliciesContent.generated.ts — CL-SD-021</x:v>
      </x:c>
      <x:c r="O317" s="90" t="str">
        <x:v>https://www.ecfr.gov/current/title-42/part-484/section-484.75</x:v>
      </x:c>
      <x:c r="P317" s="90" t="str"/>
    </x:row>
    <x:row r="318" ht="42" customHeight="1">
      <x:c r="A318" s="90" t="str">
        <x:v>PT-03</x:v>
      </x:c>
      <x:c r="B318" s="90" t="str">
        <x:v>PT</x:v>
      </x:c>
      <x:c r="C318" s="90" t="str">
        <x:v>CL-SD-022</x:v>
      </x:c>
      <x:c r="D318" s="90" t="str">
        <x:v>Behavioral Health Screening &amp; Referral</x:v>
      </x:c>
      <x:c r="E318" s="90" t="str">
        <x:v>Conditional</x:v>
      </x:c>
      <x:c r="F318" s="90" t="str">
        <x:v>Yes</x:v>
      </x:c>
      <x:c r="G318" s="90" t="str">
        <x:v>Yes — bundled</x:v>
      </x:c>
      <x:c r="H318" s="90" t="str">
        <x:v>Therapy-Only OASIS &amp; Specialty PT Services</x:v>
      </x:c>
      <x:c r="I318" s="90" t="str">
        <x:v>85% OASIS exam/coding exercise if authorized; skill checks for specialty care</x:v>
      </x:c>
      <x:c r="J318" s="90" t="str">
        <x:v>By day 14; before independent duty if earlier</x:v>
      </x:c>
      <x:c r="K318" s="90" t="str">
        <x:v>At hire; then on material revision</x:v>
      </x:c>
      <x:c r="L318" s="90" t="str">
        <x:v>Partial hold</x:v>
      </x:c>
      <x:c r="M318" s="90" t="str">
        <x:v>Federal rules permit PT assessment in therapy-only cases, but the supplied RN-only policy text must be corrected before this module is released.</x:v>
      </x:c>
      <x:c r="N318" s="90" t="str">
        <x:v>12-allPoliciesContent.generated.ts — CL-SD-022</x:v>
      </x:c>
      <x:c r="O318" s="90" t="str">
        <x:v>https://www.ecfr.gov/current/title-42/part-484/section-484.75</x:v>
      </x:c>
      <x:c r="P318" s="90" t="str"/>
    </x:row>
    <x:row r="319" ht="42" customHeight="1">
      <x:c r="A319" s="90" t="str">
        <x:v>PT-03</x:v>
      </x:c>
      <x:c r="B319" s="90" t="str">
        <x:v>PT</x:v>
      </x:c>
      <x:c r="C319" s="90" t="str">
        <x:v>CL-SD-023</x:v>
      </x:c>
      <x:c r="D319" s="90" t="str">
        <x:v>Palliative &amp; End-of-Life Care</x:v>
      </x:c>
      <x:c r="E319" s="90" t="str">
        <x:v>Conditional</x:v>
      </x:c>
      <x:c r="F319" s="90" t="str">
        <x:v>Yes</x:v>
      </x:c>
      <x:c r="G319" s="90" t="str">
        <x:v>Yes — bundled</x:v>
      </x:c>
      <x:c r="H319" s="90" t="str">
        <x:v>Therapy-Only OASIS &amp; Specialty PT Services</x:v>
      </x:c>
      <x:c r="I319" s="90" t="str">
        <x:v>85% OASIS exam/coding exercise if authorized; skill checks for specialty care</x:v>
      </x:c>
      <x:c r="J319" s="90" t="str">
        <x:v>By day 14; before independent duty if earlier</x:v>
      </x:c>
      <x:c r="K319" s="90" t="str">
        <x:v>At hire; then on material revision</x:v>
      </x:c>
      <x:c r="L319" s="90" t="str">
        <x:v>Partial hold</x:v>
      </x:c>
      <x:c r="M319" s="90" t="str">
        <x:v>Federal rules permit PT assessment in therapy-only cases, but the supplied RN-only policy text must be corrected before this module is released.</x:v>
      </x:c>
      <x:c r="N319" s="90" t="str">
        <x:v>12-allPoliciesContent.generated.ts — CL-SD-023</x:v>
      </x:c>
      <x:c r="O319" s="90" t="str">
        <x:v>https://www.ecfr.gov/current/title-42/part-484/section-484.75</x:v>
      </x:c>
      <x:c r="P319" s="90" t="str"/>
    </x:row>
    <x:row r="320" ht="42" customHeight="1">
      <x:c r="A320" s="90" t="str">
        <x:v>PT-03</x:v>
      </x:c>
      <x:c r="B320" s="90" t="str">
        <x:v>PT</x:v>
      </x:c>
      <x:c r="C320" s="90" t="str">
        <x:v>CL-SD-024</x:v>
      </x:c>
      <x:c r="D320" s="90" t="str">
        <x:v>Missed Visit &amp; Rescheduling</x:v>
      </x:c>
      <x:c r="E320" s="90" t="str">
        <x:v>Conditional</x:v>
      </x:c>
      <x:c r="F320" s="90" t="str">
        <x:v>Yes</x:v>
      </x:c>
      <x:c r="G320" s="90" t="str">
        <x:v>Yes — bundled</x:v>
      </x:c>
      <x:c r="H320" s="90" t="str">
        <x:v>Therapy-Only OASIS &amp; Specialty PT Services</x:v>
      </x:c>
      <x:c r="I320" s="90" t="str">
        <x:v>85% OASIS exam/coding exercise if authorized; skill checks for specialty care</x:v>
      </x:c>
      <x:c r="J320" s="90" t="str">
        <x:v>By day 14; before independent duty if earlier</x:v>
      </x:c>
      <x:c r="K320" s="90" t="str">
        <x:v>At hire; then on material revision</x:v>
      </x:c>
      <x:c r="L320" s="90" t="str">
        <x:v>Partial hold</x:v>
      </x:c>
      <x:c r="M320" s="90" t="str">
        <x:v>Federal rules permit PT assessment in therapy-only cases, but the supplied RN-only policy text must be corrected before this module is released.</x:v>
      </x:c>
      <x:c r="N320" s="90" t="str">
        <x:v>12-allPoliciesContent.generated.ts — CL-SD-024</x:v>
      </x:c>
      <x:c r="O320" s="90" t="str">
        <x:v>https://www.ecfr.gov/current/title-42/part-484/section-484.75</x:v>
      </x:c>
      <x:c r="P320" s="90" t="str"/>
    </x:row>
    <x:row r="321" ht="42" customHeight="1">
      <x:c r="A321" s="90" t="str">
        <x:v>PT-03</x:v>
      </x:c>
      <x:c r="B321" s="90" t="str">
        <x:v>PT</x:v>
      </x:c>
      <x:c r="C321" s="90" t="str">
        <x:v>CL-SD-025</x:v>
      </x:c>
      <x:c r="D321" s="90" t="str">
        <x:v>Ordered Visit Frequency Compliance &amp; Monitoring</x:v>
      </x:c>
      <x:c r="E321" s="90" t="str">
        <x:v>Conditional</x:v>
      </x:c>
      <x:c r="F321" s="90" t="str">
        <x:v>Yes</x:v>
      </x:c>
      <x:c r="G321" s="90" t="str">
        <x:v>Yes — bundled</x:v>
      </x:c>
      <x:c r="H321" s="90" t="str">
        <x:v>Therapy-Only OASIS &amp; Specialty PT Services</x:v>
      </x:c>
      <x:c r="I321" s="90" t="str">
        <x:v>85% OASIS exam/coding exercise if authorized; skill checks for specialty care</x:v>
      </x:c>
      <x:c r="J321" s="90" t="str">
        <x:v>By day 14; before independent duty if earlier</x:v>
      </x:c>
      <x:c r="K321" s="90" t="str">
        <x:v>At hire; then on material revision</x:v>
      </x:c>
      <x:c r="L321" s="90" t="str">
        <x:v>Partial hold</x:v>
      </x:c>
      <x:c r="M321" s="90" t="str">
        <x:v>Federal rules permit PT assessment in therapy-only cases, but the supplied RN-only policy text must be corrected before this module is released.</x:v>
      </x:c>
      <x:c r="N321" s="90" t="str">
        <x:v>12-allPoliciesContent.generated.ts — CL-SD-025</x:v>
      </x:c>
      <x:c r="O321" s="90" t="str">
        <x:v>https://www.ecfr.gov/current/title-42/part-484/section-484.75</x:v>
      </x:c>
      <x:c r="P321" s="90" t="str"/>
    </x:row>
    <x:row r="322" ht="42" customHeight="1">
      <x:c r="A322" s="90" t="str">
        <x:v>PT-03</x:v>
      </x:c>
      <x:c r="B322" s="90" t="str">
        <x:v>PT</x:v>
      </x:c>
      <x:c r="C322" s="90" t="str">
        <x:v>RM-PS-005</x:v>
      </x:c>
      <x:c r="D322" s="90" t="str">
        <x:v>High-Risk Medication Safety</x:v>
      </x:c>
      <x:c r="E322" s="90" t="str">
        <x:v>Conditional</x:v>
      </x:c>
      <x:c r="F322" s="90" t="str">
        <x:v>Yes</x:v>
      </x:c>
      <x:c r="G322" s="90" t="str">
        <x:v>Yes — bundled</x:v>
      </x:c>
      <x:c r="H322" s="90" t="str">
        <x:v>Therapy-Only OASIS &amp; Specialty PT Services</x:v>
      </x:c>
      <x:c r="I322" s="90" t="str">
        <x:v>85% OASIS exam/coding exercise if authorized; skill checks for specialty care</x:v>
      </x:c>
      <x:c r="J322" s="90" t="str">
        <x:v>By day 14; before independent duty if earlier</x:v>
      </x:c>
      <x:c r="K322" s="90" t="str">
        <x:v>At hire; then on material revision</x:v>
      </x:c>
      <x:c r="L322" s="90" t="str">
        <x:v>Partial hold</x:v>
      </x:c>
      <x:c r="M322" s="90" t="str">
        <x:v>Federal rules permit PT assessment in therapy-only cases, but the supplied RN-only policy text must be corrected before this module is released.</x:v>
      </x:c>
      <x:c r="N322" s="90" t="str">
        <x:v>12-allPoliciesContent.generated.ts — RM-PS-005</x:v>
      </x:c>
      <x:c r="O322" s="90" t="str"/>
      <x:c r="P322" s="90" t="str"/>
    </x:row>
    <x:row r="323" ht="42" customHeight="1">
      <x:c r="A323" s="90" t="str">
        <x:v>PTA-01</x:v>
      </x:c>
      <x:c r="B323" s="90" t="str">
        <x:v>PTA</x:v>
      </x:c>
      <x:c r="C323" s="90" t="str">
        <x:v>MISSING-PTA-JD</x:v>
      </x:c>
      <x:c r="D323" s="90" t="str">
        <x:v>Physical Therapist Assistant — dedicated job description not present</x:v>
      </x:c>
      <x:c r="E323" s="90" t="str">
        <x:v>Hold</x:v>
      </x:c>
      <x:c r="F323" s="90" t="str">
        <x:v>Yes</x:v>
      </x:c>
      <x:c r="G323" s="90" t="str">
        <x:v>Yes — bundled</x:v>
      </x:c>
      <x:c r="H323" s="90" t="str">
        <x:v>PTA Scope Under PT Supervision &amp; Competency</x:v>
      </x:c>
      <x:c r="I323" s="90" t="str">
        <x:v>80% quiz plus supervised competency validation</x:v>
      </x:c>
      <x:c r="J323" s="90" t="str">
        <x:v>By day 14; before independent duty if earlier</x:v>
      </x:c>
      <x:c r="K323" s="90" t="str">
        <x:v>At hire; then on material revision</x:v>
      </x:c>
      <x:c r="L323" s="90" t="str">
        <x:v>Hold</x:v>
      </x:c>
      <x:c r="M323" s="90" t="str">
        <x:v>PTA duties must be anchored to a dedicated job description and PT-supervised scope.</x:v>
      </x:c>
      <x:c r="N323" s="90" t="str">
        <x:v>Source gap: referenced in taxonomy/crosswalk, but full generated policy body is absent</x:v>
      </x:c>
      <x:c r="O323" s="90" t="str"/>
      <x:c r="P323" s="90" t="str"/>
    </x:row>
    <x:row r="324" ht="42" customHeight="1">
      <x:c r="A324" s="90" t="str">
        <x:v>PTA-01</x:v>
      </x:c>
      <x:c r="B324" s="90" t="str">
        <x:v>PTA</x:v>
      </x:c>
      <x:c r="C324" s="90" t="str">
        <x:v>HR-JD-000</x:v>
      </x:c>
      <x:c r="D324" s="90" t="str">
        <x:v>Job Description Framework &amp; Organizational Chart</x:v>
      </x:c>
      <x:c r="E324" s="90" t="str">
        <x:v>Core</x:v>
      </x:c>
      <x:c r="F324" s="90" t="str">
        <x:v>Yes</x:v>
      </x:c>
      <x:c r="G324" s="90" t="str">
        <x:v>Yes — bundled</x:v>
      </x:c>
      <x:c r="H324" s="90" t="str">
        <x:v>PTA Scope Under PT Supervision &amp; Competency</x:v>
      </x:c>
      <x:c r="I324" s="90" t="str">
        <x:v>80% quiz plus supervised competency validation</x:v>
      </x:c>
      <x:c r="J324" s="90" t="str">
        <x:v>By day 14; before independent duty if earlier</x:v>
      </x:c>
      <x:c r="K324" s="90" t="str">
        <x:v>At hire; then on material revision</x:v>
      </x:c>
      <x:c r="L324" s="90" t="str">
        <x:v>Partial hold</x:v>
      </x:c>
      <x:c r="M324" s="90" t="str">
        <x:v>PTA duties must be anchored to a dedicated job description and PT-supervised scope.</x:v>
      </x:c>
      <x:c r="N324" s="90" t="str">
        <x:v>12-allPoliciesContent.generated.ts — HR-JD-000</x:v>
      </x:c>
      <x:c r="O324" s="90" t="str">
        <x:v>https://www.ecfr.gov/current/title-42/part-484/section-484.105</x:v>
      </x:c>
      <x:c r="P324" s="90" t="str"/>
    </x:row>
    <x:row r="325" ht="42" customHeight="1">
      <x:c r="A325" s="90" t="str">
        <x:v>PTA-01</x:v>
      </x:c>
      <x:c r="B325" s="90" t="str">
        <x:v>PTA</x:v>
      </x:c>
      <x:c r="C325" s="90" t="str">
        <x:v>CL-SD-002</x:v>
      </x:c>
      <x:c r="D325" s="90" t="str">
        <x:v>Physical Therapy Services</x:v>
      </x:c>
      <x:c r="E325" s="90" t="str">
        <x:v>Core</x:v>
      </x:c>
      <x:c r="F325" s="90" t="str">
        <x:v>Yes</x:v>
      </x:c>
      <x:c r="G325" s="90" t="str">
        <x:v>Yes — bundled</x:v>
      </x:c>
      <x:c r="H325" s="90" t="str">
        <x:v>PTA Scope Under PT Supervision &amp; Competency</x:v>
      </x:c>
      <x:c r="I325" s="90" t="str">
        <x:v>80% quiz plus supervised competency validation</x:v>
      </x:c>
      <x:c r="J325" s="90" t="str">
        <x:v>By day 14; before independent duty if earlier</x:v>
      </x:c>
      <x:c r="K325" s="90" t="str">
        <x:v>At hire; then on material revision</x:v>
      </x:c>
      <x:c r="L325" s="90" t="str">
        <x:v>Partial hold</x:v>
      </x:c>
      <x:c r="M325" s="90" t="str">
        <x:v>PTA duties must be anchored to a dedicated job description and PT-supervised scope.</x:v>
      </x:c>
      <x:c r="N325" s="90" t="str">
        <x:v>12-allPoliciesContent.generated.ts — CL-SD-002</x:v>
      </x:c>
      <x:c r="O325" s="90" t="str">
        <x:v>https://www.ecfr.gov/current/title-42/part-484/section-484.75</x:v>
      </x:c>
      <x:c r="P325" s="90" t="str"/>
    </x:row>
    <x:row r="326" ht="42" customHeight="1">
      <x:c r="A326" s="90" t="str">
        <x:v>PTA-01</x:v>
      </x:c>
      <x:c r="B326" s="90" t="str">
        <x:v>PTA</x:v>
      </x:c>
      <x:c r="C326" s="90" t="str">
        <x:v>CL-SD-008</x:v>
      </x:c>
      <x:c r="D326" s="90" t="str">
        <x:v>Clinical Supervision &amp; Oversight</x:v>
      </x:c>
      <x:c r="E326" s="90" t="str">
        <x:v>Core</x:v>
      </x:c>
      <x:c r="F326" s="90" t="str">
        <x:v>Yes</x:v>
      </x:c>
      <x:c r="G326" s="90" t="str">
        <x:v>Yes — bundled</x:v>
      </x:c>
      <x:c r="H326" s="90" t="str">
        <x:v>PTA Scope Under PT Supervision &amp; Competency</x:v>
      </x:c>
      <x:c r="I326" s="90" t="str">
        <x:v>80% quiz plus supervised competency validation</x:v>
      </x:c>
      <x:c r="J326" s="90" t="str">
        <x:v>By day 14; before independent duty if earlier</x:v>
      </x:c>
      <x:c r="K326" s="90" t="str">
        <x:v>At hire; then on material revision</x:v>
      </x:c>
      <x:c r="L326" s="90" t="str">
        <x:v>Partial hold</x:v>
      </x:c>
      <x:c r="M326" s="90" t="str">
        <x:v>PTA duties must be anchored to a dedicated job description and PT-supervised scope.</x:v>
      </x:c>
      <x:c r="N326" s="90" t="str">
        <x:v>12-allPoliciesContent.generated.ts — CL-SD-008</x:v>
      </x:c>
      <x:c r="O326" s="90" t="str">
        <x:v>https://www.ecfr.gov/current/title-42/part-484/section-484.75</x:v>
      </x:c>
      <x:c r="P326" s="90" t="str"/>
    </x:row>
    <x:row r="327" ht="42" customHeight="1">
      <x:c r="A327" s="90" t="str">
        <x:v>PTA-01</x:v>
      </x:c>
      <x:c r="B327" s="90" t="str">
        <x:v>PTA</x:v>
      </x:c>
      <x:c r="C327" s="90" t="str">
        <x:v>HR-TA-006</x:v>
      </x:c>
      <x:c r="D327" s="90" t="str">
        <x:v>Job Description &amp; Role Definition</x:v>
      </x:c>
      <x:c r="E327" s="90" t="str">
        <x:v>Core</x:v>
      </x:c>
      <x:c r="F327" s="90" t="str">
        <x:v>Yes</x:v>
      </x:c>
      <x:c r="G327" s="90" t="str">
        <x:v>Yes — bundled</x:v>
      </x:c>
      <x:c r="H327" s="90" t="str">
        <x:v>PTA Scope Under PT Supervision &amp; Competency</x:v>
      </x:c>
      <x:c r="I327" s="90" t="str">
        <x:v>80% quiz plus supervised competency validation</x:v>
      </x:c>
      <x:c r="J327" s="90" t="str">
        <x:v>By day 14; before independent duty if earlier</x:v>
      </x:c>
      <x:c r="K327" s="90" t="str">
        <x:v>At hire; then on material revision</x:v>
      </x:c>
      <x:c r="L327" s="90" t="str">
        <x:v>Partial hold</x:v>
      </x:c>
      <x:c r="M327" s="90" t="str">
        <x:v>PTA duties must be anchored to a dedicated job description and PT-supervised scope.</x:v>
      </x:c>
      <x:c r="N327" s="90" t="str">
        <x:v>12-allPoliciesContent.generated.ts — HR-TA-006</x:v>
      </x:c>
      <x:c r="O327" s="90" t="str"/>
      <x:c r="P327" s="90" t="str"/>
    </x:row>
    <x:row r="328" ht="42" customHeight="1">
      <x:c r="A328" s="90" t="str">
        <x:v>PTA-01</x:v>
      </x:c>
      <x:c r="B328" s="90" t="str">
        <x:v>PTA</x:v>
      </x:c>
      <x:c r="C328" s="90" t="str">
        <x:v>HR-TD-003</x:v>
      </x:c>
      <x:c r="D328" s="90" t="str">
        <x:v>Clinical Staff Competency Evaluation</x:v>
      </x:c>
      <x:c r="E328" s="90" t="str">
        <x:v>Core</x:v>
      </x:c>
      <x:c r="F328" s="90" t="str">
        <x:v>Yes</x:v>
      </x:c>
      <x:c r="G328" s="90" t="str">
        <x:v>Yes — bundled</x:v>
      </x:c>
      <x:c r="H328" s="90" t="str">
        <x:v>PTA Scope Under PT Supervision &amp; Competency</x:v>
      </x:c>
      <x:c r="I328" s="90" t="str">
        <x:v>80% quiz plus supervised competency validation</x:v>
      </x:c>
      <x:c r="J328" s="90" t="str">
        <x:v>By day 14; before independent duty if earlier</x:v>
      </x:c>
      <x:c r="K328" s="90" t="str">
        <x:v>At hire; then on material revision</x:v>
      </x:c>
      <x:c r="L328" s="90" t="str">
        <x:v>Partial hold</x:v>
      </x:c>
      <x:c r="M328" s="90" t="str">
        <x:v>PTA duties must be anchored to a dedicated job description and PT-supervised scope.</x:v>
      </x:c>
      <x:c r="N328" s="90" t="str">
        <x:v>12-allPoliciesContent.generated.ts — HR-TD-003</x:v>
      </x:c>
      <x:c r="O328" s="90" t="str"/>
      <x:c r="P328" s="90" t="str"/>
    </x:row>
    <x:row r="329" ht="42" customHeight="1">
      <x:c r="A329" s="90" t="str">
        <x:v>PTA-02</x:v>
      </x:c>
      <x:c r="B329" s="90" t="str">
        <x:v>PTA</x:v>
      </x:c>
      <x:c r="C329" s="90" t="str">
        <x:v>CL-CD-001</x:v>
      </x:c>
      <x:c r="D329" s="90" t="str">
        <x:v>Clinical Documentation Standards</x:v>
      </x:c>
      <x:c r="E329" s="90" t="str">
        <x:v>Core</x:v>
      </x:c>
      <x:c r="F329" s="90" t="str">
        <x:v>Yes</x:v>
      </x:c>
      <x:c r="G329" s="90" t="str">
        <x:v>Yes — bundled</x:v>
      </x:c>
      <x:c r="H329" s="90" t="str">
        <x:v>PTA Documentation, Care-Plan Compliance &amp; Field Safety</x:v>
      </x:c>
      <x:c r="I329" s="90" t="str">
        <x:v>80% quiz plus documentation/reporting scenarios</x:v>
      </x:c>
      <x:c r="J329" s="90" t="str">
        <x:v>By day 14; before independent duty if earlier</x:v>
      </x:c>
      <x:c r="K329" s="90" t="str">
        <x:v>At hire; then on material revision</x:v>
      </x:c>
      <x:c r="L329" s="90" t="str">
        <x:v>Ready</x:v>
      </x:c>
      <x:c r="M329" s="90" t="str">
        <x:v>Assistant-level documentation, coordination, safeguards, and field safety under PT direction.</x:v>
      </x:c>
      <x:c r="N329" s="90" t="str">
        <x:v>12-allPoliciesContent.generated.ts — CL-CD-001</x:v>
      </x:c>
      <x:c r="O329" s="90" t="str">
        <x:v>https://www.ecfr.gov/current/title-42/part-484/section-484.110</x:v>
      </x:c>
      <x:c r="P329" s="90" t="str"/>
    </x:row>
    <x:row r="330" ht="42" customHeight="1">
      <x:c r="A330" s="90" t="str">
        <x:v>PTA-02</x:v>
      </x:c>
      <x:c r="B330" s="90" t="str">
        <x:v>PTA</x:v>
      </x:c>
      <x:c r="C330" s="90" t="str">
        <x:v>CL-CD-002</x:v>
      </x:c>
      <x:c r="D330" s="90" t="str">
        <x:v>Clinical Record Content &amp; Organization</x:v>
      </x:c>
      <x:c r="E330" s="90" t="str">
        <x:v>Core</x:v>
      </x:c>
      <x:c r="F330" s="90" t="str">
        <x:v>Yes</x:v>
      </x:c>
      <x:c r="G330" s="90" t="str">
        <x:v>Yes — bundled</x:v>
      </x:c>
      <x:c r="H330" s="90" t="str">
        <x:v>PTA Documentation, Care-Plan Compliance &amp; Field Safety</x:v>
      </x:c>
      <x:c r="I330" s="90" t="str">
        <x:v>80% quiz plus documentation/reporting scenarios</x:v>
      </x:c>
      <x:c r="J330" s="90" t="str">
        <x:v>By day 14; before independent duty if earlier</x:v>
      </x:c>
      <x:c r="K330" s="90" t="str">
        <x:v>At hire; then on material revision</x:v>
      </x:c>
      <x:c r="L330" s="90" t="str">
        <x:v>Ready</x:v>
      </x:c>
      <x:c r="M330" s="90" t="str">
        <x:v>Assistant-level documentation, coordination, safeguards, and field safety under PT direction.</x:v>
      </x:c>
      <x:c r="N330" s="90" t="str">
        <x:v>12-allPoliciesContent.generated.ts — CL-CD-002</x:v>
      </x:c>
      <x:c r="O330" s="90" t="str">
        <x:v>https://www.ecfr.gov/current/title-42/part-484/section-484.110</x:v>
      </x:c>
      <x:c r="P330" s="90" t="str"/>
    </x:row>
    <x:row r="331" ht="42" customHeight="1">
      <x:c r="A331" s="90" t="str">
        <x:v>PTA-02</x:v>
      </x:c>
      <x:c r="B331" s="90" t="str">
        <x:v>PTA</x:v>
      </x:c>
      <x:c r="C331" s="90" t="str">
        <x:v>CL-CD-003</x:v>
      </x:c>
      <x:c r="D331" s="90" t="str">
        <x:v>Clinical Record Authentication &amp; Signature Requirements</x:v>
      </x:c>
      <x:c r="E331" s="90" t="str">
        <x:v>Core</x:v>
      </x:c>
      <x:c r="F331" s="90" t="str">
        <x:v>Yes</x:v>
      </x:c>
      <x:c r="G331" s="90" t="str">
        <x:v>Yes — bundled</x:v>
      </x:c>
      <x:c r="H331" s="90" t="str">
        <x:v>PTA Documentation, Care-Plan Compliance &amp; Field Safety</x:v>
      </x:c>
      <x:c r="I331" s="90" t="str">
        <x:v>80% quiz plus documentation/reporting scenarios</x:v>
      </x:c>
      <x:c r="J331" s="90" t="str">
        <x:v>By day 14; before independent duty if earlier</x:v>
      </x:c>
      <x:c r="K331" s="90" t="str">
        <x:v>At hire; then on material revision</x:v>
      </x:c>
      <x:c r="L331" s="90" t="str">
        <x:v>Ready</x:v>
      </x:c>
      <x:c r="M331" s="90" t="str">
        <x:v>Assistant-level documentation, coordination, safeguards, and field safety under PT direction.</x:v>
      </x:c>
      <x:c r="N331" s="90" t="str">
        <x:v>12-allPoliciesContent.generated.ts — CL-CD-003</x:v>
      </x:c>
      <x:c r="O331" s="90" t="str">
        <x:v>https://www.ecfr.gov/current/title-42/part-484/section-484.110</x:v>
      </x:c>
      <x:c r="P331" s="90" t="str"/>
    </x:row>
    <x:row r="332" ht="42" customHeight="1">
      <x:c r="A332" s="90" t="str">
        <x:v>PTA-02</x:v>
      </x:c>
      <x:c r="B332" s="90" t="str">
        <x:v>PTA</x:v>
      </x:c>
      <x:c r="C332" s="90" t="str">
        <x:v>CL-CD-004</x:v>
      </x:c>
      <x:c r="D332" s="90" t="str">
        <x:v>Timely Documentation Completion &amp; Lock Requirements</x:v>
      </x:c>
      <x:c r="E332" s="90" t="str">
        <x:v>Core</x:v>
      </x:c>
      <x:c r="F332" s="90" t="str">
        <x:v>Yes</x:v>
      </x:c>
      <x:c r="G332" s="90" t="str">
        <x:v>Yes — bundled</x:v>
      </x:c>
      <x:c r="H332" s="90" t="str">
        <x:v>PTA Documentation, Care-Plan Compliance &amp; Field Safety</x:v>
      </x:c>
      <x:c r="I332" s="90" t="str">
        <x:v>80% quiz plus documentation/reporting scenarios</x:v>
      </x:c>
      <x:c r="J332" s="90" t="str">
        <x:v>By day 14; before independent duty if earlier</x:v>
      </x:c>
      <x:c r="K332" s="90" t="str">
        <x:v>At hire; then on material revision</x:v>
      </x:c>
      <x:c r="L332" s="90" t="str">
        <x:v>Ready</x:v>
      </x:c>
      <x:c r="M332" s="90" t="str">
        <x:v>Assistant-level documentation, coordination, safeguards, and field safety under PT direction.</x:v>
      </x:c>
      <x:c r="N332" s="90" t="str">
        <x:v>12-allPoliciesContent.generated.ts — CL-CD-004</x:v>
      </x:c>
      <x:c r="O332" s="90" t="str">
        <x:v>https://www.ecfr.gov/current/title-42/part-484/section-484.110</x:v>
      </x:c>
      <x:c r="P332" s="90" t="str"/>
    </x:row>
    <x:row r="333" ht="42" customHeight="1">
      <x:c r="A333" s="90" t="str">
        <x:v>PTA-02</x:v>
      </x:c>
      <x:c r="B333" s="90" t="str">
        <x:v>PTA</x:v>
      </x:c>
      <x:c r="C333" s="90" t="str">
        <x:v>CO-DC-003</x:v>
      </x:c>
      <x:c r="D333" s="90" t="str">
        <x:v>Late Entry, Correction &amp; Amendment Standards</x:v>
      </x:c>
      <x:c r="E333" s="90" t="str">
        <x:v>Core</x:v>
      </x:c>
      <x:c r="F333" s="90" t="str">
        <x:v>Yes</x:v>
      </x:c>
      <x:c r="G333" s="90" t="str">
        <x:v>Yes — bundled</x:v>
      </x:c>
      <x:c r="H333" s="90" t="str">
        <x:v>PTA Documentation, Care-Plan Compliance &amp; Field Safety</x:v>
      </x:c>
      <x:c r="I333" s="90" t="str">
        <x:v>80% quiz plus documentation/reporting scenarios</x:v>
      </x:c>
      <x:c r="J333" s="90" t="str">
        <x:v>By day 14; before independent duty if earlier</x:v>
      </x:c>
      <x:c r="K333" s="90" t="str">
        <x:v>At hire; then on material revision</x:v>
      </x:c>
      <x:c r="L333" s="90" t="str">
        <x:v>Ready</x:v>
      </x:c>
      <x:c r="M333" s="90" t="str">
        <x:v>Assistant-level documentation, coordination, safeguards, and field safety under PT direction.</x:v>
      </x:c>
      <x:c r="N333" s="90" t="str">
        <x:v>12-allPoliciesContent.generated.ts — CO-DC-003</x:v>
      </x:c>
      <x:c r="O333" s="90" t="str">
        <x:v>https://www.ecfr.gov/current/title-42/part-484/section-484.110</x:v>
      </x:c>
      <x:c r="P333" s="90" t="str"/>
    </x:row>
    <x:row r="334" ht="42" customHeight="1">
      <x:c r="A334" s="90" t="str">
        <x:v>PTA-02</x:v>
      </x:c>
      <x:c r="B334" s="90" t="str">
        <x:v>PTA</x:v>
      </x:c>
      <x:c r="C334" s="90" t="str">
        <x:v>CL-CP-001</x:v>
      </x:c>
      <x:c r="D334" s="90" t="str">
        <x:v>Plan of Care Development &amp; Approval</x:v>
      </x:c>
      <x:c r="E334" s="90" t="str">
        <x:v>Core</x:v>
      </x:c>
      <x:c r="F334" s="90" t="str">
        <x:v>Yes</x:v>
      </x:c>
      <x:c r="G334" s="90" t="str">
        <x:v>Yes — bundled</x:v>
      </x:c>
      <x:c r="H334" s="90" t="str">
        <x:v>PTA Documentation, Care-Plan Compliance &amp; Field Safety</x:v>
      </x:c>
      <x:c r="I334" s="90" t="str">
        <x:v>80% quiz plus documentation/reporting scenarios</x:v>
      </x:c>
      <x:c r="J334" s="90" t="str">
        <x:v>By day 14; before independent duty if earlier</x:v>
      </x:c>
      <x:c r="K334" s="90" t="str">
        <x:v>At hire; then on material revision</x:v>
      </x:c>
      <x:c r="L334" s="90" t="str">
        <x:v>Ready</x:v>
      </x:c>
      <x:c r="M334" s="90" t="str">
        <x:v>Assistant-level documentation, coordination, safeguards, and field safety under PT direction.</x:v>
      </x:c>
      <x:c r="N334" s="90" t="str">
        <x:v>12-allPoliciesContent.generated.ts — CL-CP-001</x:v>
      </x:c>
      <x:c r="O334" s="90" t="str">
        <x:v>https://www.ecfr.gov/current/title-42/part-484/section-484.60</x:v>
      </x:c>
      <x:c r="P334" s="90" t="str"/>
    </x:row>
    <x:row r="335" ht="42" customHeight="1">
      <x:c r="A335" s="90" t="str">
        <x:v>PTA-02</x:v>
      </x:c>
      <x:c r="B335" s="90" t="str">
        <x:v>PTA</x:v>
      </x:c>
      <x:c r="C335" s="90" t="str">
        <x:v>CL-CP-005</x:v>
      </x:c>
      <x:c r="D335" s="90" t="str">
        <x:v>Coordination of Care</x:v>
      </x:c>
      <x:c r="E335" s="90" t="str">
        <x:v>Core</x:v>
      </x:c>
      <x:c r="F335" s="90" t="str">
        <x:v>Yes</x:v>
      </x:c>
      <x:c r="G335" s="90" t="str">
        <x:v>Yes — bundled</x:v>
      </x:c>
      <x:c r="H335" s="90" t="str">
        <x:v>PTA Documentation, Care-Plan Compliance &amp; Field Safety</x:v>
      </x:c>
      <x:c r="I335" s="90" t="str">
        <x:v>80% quiz plus documentation/reporting scenarios</x:v>
      </x:c>
      <x:c r="J335" s="90" t="str">
        <x:v>By day 14; before independent duty if earlier</x:v>
      </x:c>
      <x:c r="K335" s="90" t="str">
        <x:v>At hire; then on material revision</x:v>
      </x:c>
      <x:c r="L335" s="90" t="str">
        <x:v>Ready</x:v>
      </x:c>
      <x:c r="M335" s="90" t="str">
        <x:v>Assistant-level documentation, coordination, safeguards, and field safety under PT direction.</x:v>
      </x:c>
      <x:c r="N335" s="90" t="str">
        <x:v>12-allPoliciesContent.generated.ts — CL-CP-005</x:v>
      </x:c>
      <x:c r="O335" s="90" t="str">
        <x:v>https://www.ecfr.gov/current/title-42/part-484/section-484.60</x:v>
      </x:c>
      <x:c r="P335" s="90" t="str"/>
    </x:row>
    <x:row r="336" ht="42" customHeight="1">
      <x:c r="A336" s="90" t="str">
        <x:v>PTA-02</x:v>
      </x:c>
      <x:c r="B336" s="90" t="str">
        <x:v>PTA</x:v>
      </x:c>
      <x:c r="C336" s="90" t="str">
        <x:v>CL-CP-006</x:v>
      </x:c>
      <x:c r="D336" s="90" t="str">
        <x:v>Discharge Planning &amp; Criteria</x:v>
      </x:c>
      <x:c r="E336" s="90" t="str">
        <x:v>Core</x:v>
      </x:c>
      <x:c r="F336" s="90" t="str">
        <x:v>Yes</x:v>
      </x:c>
      <x:c r="G336" s="90" t="str">
        <x:v>Yes — bundled</x:v>
      </x:c>
      <x:c r="H336" s="90" t="str">
        <x:v>PTA Documentation, Care-Plan Compliance &amp; Field Safety</x:v>
      </x:c>
      <x:c r="I336" s="90" t="str">
        <x:v>80% quiz plus documentation/reporting scenarios</x:v>
      </x:c>
      <x:c r="J336" s="90" t="str">
        <x:v>By day 14; before independent duty if earlier</x:v>
      </x:c>
      <x:c r="K336" s="90" t="str">
        <x:v>At hire; then on material revision</x:v>
      </x:c>
      <x:c r="L336" s="90" t="str">
        <x:v>Ready</x:v>
      </x:c>
      <x:c r="M336" s="90" t="str">
        <x:v>Assistant-level documentation, coordination, safeguards, and field safety under PT direction.</x:v>
      </x:c>
      <x:c r="N336" s="90" t="str">
        <x:v>12-allPoliciesContent.generated.ts — CL-CP-006</x:v>
      </x:c>
      <x:c r="O336" s="90" t="str">
        <x:v>https://www.ecfr.gov/current/title-42/part-484/section-484.60</x:v>
      </x:c>
      <x:c r="P336" s="90" t="str"/>
    </x:row>
    <x:row r="337" ht="42" customHeight="1">
      <x:c r="A337" s="90" t="str">
        <x:v>PTA-02</x:v>
      </x:c>
      <x:c r="B337" s="90" t="str">
        <x:v>PTA</x:v>
      </x:c>
      <x:c r="C337" s="90" t="str">
        <x:v>CL-CP-007</x:v>
      </x:c>
      <x:c r="D337" s="90" t="str">
        <x:v>Transfer &amp; Referral Procedures</x:v>
      </x:c>
      <x:c r="E337" s="90" t="str">
        <x:v>Core</x:v>
      </x:c>
      <x:c r="F337" s="90" t="str">
        <x:v>Yes</x:v>
      </x:c>
      <x:c r="G337" s="90" t="str">
        <x:v>Yes — bundled</x:v>
      </x:c>
      <x:c r="H337" s="90" t="str">
        <x:v>PTA Documentation, Care-Plan Compliance &amp; Field Safety</x:v>
      </x:c>
      <x:c r="I337" s="90" t="str">
        <x:v>80% quiz plus documentation/reporting scenarios</x:v>
      </x:c>
      <x:c r="J337" s="90" t="str">
        <x:v>By day 14; before independent duty if earlier</x:v>
      </x:c>
      <x:c r="K337" s="90" t="str">
        <x:v>At hire; then on material revision</x:v>
      </x:c>
      <x:c r="L337" s="90" t="str">
        <x:v>Ready</x:v>
      </x:c>
      <x:c r="M337" s="90" t="str">
        <x:v>Assistant-level documentation, coordination, safeguards, and field safety under PT direction.</x:v>
      </x:c>
      <x:c r="N337" s="90" t="str">
        <x:v>12-allPoliciesContent.generated.ts — CL-CP-007</x:v>
      </x:c>
      <x:c r="O337" s="90" t="str">
        <x:v>https://www.ecfr.gov/current/title-42/part-484/section-484.60</x:v>
      </x:c>
      <x:c r="P337" s="90" t="str"/>
    </x:row>
    <x:row r="338" ht="42" customHeight="1">
      <x:c r="A338" s="90" t="str">
        <x:v>PTA-02</x:v>
      </x:c>
      <x:c r="B338" s="90" t="str">
        <x:v>PTA</x:v>
      </x:c>
      <x:c r="C338" s="90" t="str">
        <x:v>CL-CC-101</x:v>
      </x:c>
      <x:c r="D338" s="90" t="str">
        <x:v>Care Coordination &amp; SDOH Management</x:v>
      </x:c>
      <x:c r="E338" s="90" t="str">
        <x:v>Core</x:v>
      </x:c>
      <x:c r="F338" s="90" t="str">
        <x:v>Yes</x:v>
      </x:c>
      <x:c r="G338" s="90" t="str">
        <x:v>Yes — bundled</x:v>
      </x:c>
      <x:c r="H338" s="90" t="str">
        <x:v>PTA Documentation, Care-Plan Compliance &amp; Field Safety</x:v>
      </x:c>
      <x:c r="I338" s="90" t="str">
        <x:v>80% quiz plus documentation/reporting scenarios</x:v>
      </x:c>
      <x:c r="J338" s="90" t="str">
        <x:v>By day 14; before independent duty if earlier</x:v>
      </x:c>
      <x:c r="K338" s="90" t="str">
        <x:v>At hire; then on material revision</x:v>
      </x:c>
      <x:c r="L338" s="90" t="str">
        <x:v>Ready</x:v>
      </x:c>
      <x:c r="M338" s="90" t="str">
        <x:v>Assistant-level documentation, coordination, safeguards, and field safety under PT direction.</x:v>
      </x:c>
      <x:c r="N338" s="90" t="str">
        <x:v>12-allPoliciesContent.generated.ts — CL-CC-101</x:v>
      </x:c>
      <x:c r="O338" s="90" t="str">
        <x:v>https://www.ecfr.gov/current/title-42/part-484/section-484.60</x:v>
      </x:c>
      <x:c r="P338" s="90" t="str"/>
    </x:row>
    <x:row r="339" ht="42" customHeight="1">
      <x:c r="A339" s="90" t="str">
        <x:v>PTA-02</x:v>
      </x:c>
      <x:c r="B339" s="90" t="str">
        <x:v>PTA</x:v>
      </x:c>
      <x:c r="C339" s="90" t="str">
        <x:v>CL-PR-002</x:v>
      </x:c>
      <x:c r="D339" s="90" t="str">
        <x:v>Advance Directive Compliance</x:v>
      </x:c>
      <x:c r="E339" s="90" t="str">
        <x:v>Core</x:v>
      </x:c>
      <x:c r="F339" s="90" t="str">
        <x:v>Yes</x:v>
      </x:c>
      <x:c r="G339" s="90" t="str">
        <x:v>Yes — bundled</x:v>
      </x:c>
      <x:c r="H339" s="90" t="str">
        <x:v>PTA Documentation, Care-Plan Compliance &amp; Field Safety</x:v>
      </x:c>
      <x:c r="I339" s="90" t="str">
        <x:v>80% quiz plus documentation/reporting scenarios</x:v>
      </x:c>
      <x:c r="J339" s="90" t="str">
        <x:v>By day 14; before independent duty if earlier</x:v>
      </x:c>
      <x:c r="K339" s="90" t="str">
        <x:v>At hire; then on material revision</x:v>
      </x:c>
      <x:c r="L339" s="90" t="str">
        <x:v>Ready</x:v>
      </x:c>
      <x:c r="M339" s="90" t="str">
        <x:v>Assistant-level documentation, coordination, safeguards, and field safety under PT direction.</x:v>
      </x:c>
      <x:c r="N339" s="90" t="str">
        <x:v>12-allPoliciesContent.generated.ts — CL-PR-002</x:v>
      </x:c>
      <x:c r="O339" s="90" t="str">
        <x:v>https://www.ecfr.gov/current/title-42/part-484/section-484.50</x:v>
      </x:c>
      <x:c r="P339" s="90" t="str"/>
    </x:row>
    <x:row r="340" ht="42" customHeight="1">
      <x:c r="A340" s="90" t="str">
        <x:v>PTA-02</x:v>
      </x:c>
      <x:c r="B340" s="90" t="str">
        <x:v>PTA</x:v>
      </x:c>
      <x:c r="C340" s="90" t="str">
        <x:v>CL-PR-003</x:v>
      </x:c>
      <x:c r="D340" s="90" t="str">
        <x:v>Informed Consent</x:v>
      </x:c>
      <x:c r="E340" s="90" t="str">
        <x:v>Core</x:v>
      </x:c>
      <x:c r="F340" s="90" t="str">
        <x:v>Yes</x:v>
      </x:c>
      <x:c r="G340" s="90" t="str">
        <x:v>Yes — bundled</x:v>
      </x:c>
      <x:c r="H340" s="90" t="str">
        <x:v>PTA Documentation, Care-Plan Compliance &amp; Field Safety</x:v>
      </x:c>
      <x:c r="I340" s="90" t="str">
        <x:v>80% quiz plus documentation/reporting scenarios</x:v>
      </x:c>
      <x:c r="J340" s="90" t="str">
        <x:v>By day 14; before independent duty if earlier</x:v>
      </x:c>
      <x:c r="K340" s="90" t="str">
        <x:v>At hire; then on material revision</x:v>
      </x:c>
      <x:c r="L340" s="90" t="str">
        <x:v>Ready</x:v>
      </x:c>
      <x:c r="M340" s="90" t="str">
        <x:v>Assistant-level documentation, coordination, safeguards, and field safety under PT direction.</x:v>
      </x:c>
      <x:c r="N340" s="90" t="str">
        <x:v>12-allPoliciesContent.generated.ts — CL-PR-003</x:v>
      </x:c>
      <x:c r="O340" s="90" t="str">
        <x:v>https://www.ecfr.gov/current/title-42/part-484/section-484.50</x:v>
      </x:c>
      <x:c r="P340" s="90" t="str"/>
    </x:row>
    <x:row r="341" ht="42" customHeight="1">
      <x:c r="A341" s="90" t="str">
        <x:v>PTA-02</x:v>
      </x:c>
      <x:c r="B341" s="90" t="str">
        <x:v>PTA</x:v>
      </x:c>
      <x:c r="C341" s="90" t="str">
        <x:v>CL-PR-004</x:v>
      </x:c>
      <x:c r="D341" s="90" t="str">
        <x:v>Restraint &amp; Seclusion Prohibition</x:v>
      </x:c>
      <x:c r="E341" s="90" t="str">
        <x:v>Core</x:v>
      </x:c>
      <x:c r="F341" s="90" t="str">
        <x:v>Yes</x:v>
      </x:c>
      <x:c r="G341" s="90" t="str">
        <x:v>Yes — bundled</x:v>
      </x:c>
      <x:c r="H341" s="90" t="str">
        <x:v>PTA Documentation, Care-Plan Compliance &amp; Field Safety</x:v>
      </x:c>
      <x:c r="I341" s="90" t="str">
        <x:v>80% quiz plus documentation/reporting scenarios</x:v>
      </x:c>
      <x:c r="J341" s="90" t="str">
        <x:v>By day 14; before independent duty if earlier</x:v>
      </x:c>
      <x:c r="K341" s="90" t="str">
        <x:v>At hire; then on material revision</x:v>
      </x:c>
      <x:c r="L341" s="90" t="str">
        <x:v>Ready</x:v>
      </x:c>
      <x:c r="M341" s="90" t="str">
        <x:v>Assistant-level documentation, coordination, safeguards, and field safety under PT direction.</x:v>
      </x:c>
      <x:c r="N341" s="90" t="str">
        <x:v>12-allPoliciesContent.generated.ts — CL-PR-004</x:v>
      </x:c>
      <x:c r="O341" s="90" t="str">
        <x:v>https://www.ecfr.gov/current/title-42/part-484/section-484.50</x:v>
      </x:c>
      <x:c r="P341" s="90" t="str"/>
    </x:row>
    <x:row r="342" ht="42" customHeight="1">
      <x:c r="A342" s="90" t="str">
        <x:v>PTA-02</x:v>
      </x:c>
      <x:c r="B342" s="90" t="str">
        <x:v>PTA</x:v>
      </x:c>
      <x:c r="C342" s="90" t="str">
        <x:v>CL-PR-005</x:v>
      </x:c>
      <x:c r="D342" s="90" t="str">
        <x:v>Emergency Preparedness — Clinical</x:v>
      </x:c>
      <x:c r="E342" s="90" t="str">
        <x:v>Core</x:v>
      </x:c>
      <x:c r="F342" s="90" t="str">
        <x:v>Yes</x:v>
      </x:c>
      <x:c r="G342" s="90" t="str">
        <x:v>Yes — bundled</x:v>
      </x:c>
      <x:c r="H342" s="90" t="str">
        <x:v>PTA Documentation, Care-Plan Compliance &amp; Field Safety</x:v>
      </x:c>
      <x:c r="I342" s="90" t="str">
        <x:v>80% quiz plus documentation/reporting scenarios</x:v>
      </x:c>
      <x:c r="J342" s="90" t="str">
        <x:v>By day 14; before independent duty if earlier</x:v>
      </x:c>
      <x:c r="K342" s="90" t="str">
        <x:v>At hire; then on material revision</x:v>
      </x:c>
      <x:c r="L342" s="90" t="str">
        <x:v>Ready</x:v>
      </x:c>
      <x:c r="M342" s="90" t="str">
        <x:v>Assistant-level documentation, coordination, safeguards, and field safety under PT direction.</x:v>
      </x:c>
      <x:c r="N342" s="90" t="str">
        <x:v>12-allPoliciesContent.generated.ts — CL-PR-005</x:v>
      </x:c>
      <x:c r="O342" s="90" t="str">
        <x:v>https://www.ecfr.gov/current/title-42/part-484/section-484.50</x:v>
      </x:c>
      <x:c r="P342" s="90" t="str"/>
    </x:row>
    <x:row r="343" ht="42" customHeight="1">
      <x:c r="A343" s="90" t="str">
        <x:v>PTA-02</x:v>
      </x:c>
      <x:c r="B343" s="90" t="str">
        <x:v>PTA</x:v>
      </x:c>
      <x:c r="C343" s="90" t="str">
        <x:v>OP-PA-002</x:v>
      </x:c>
      <x:c r="D343" s="90" t="str">
        <x:v>Patient Identification &amp; Verification</x:v>
      </x:c>
      <x:c r="E343" s="90" t="str">
        <x:v>Core</x:v>
      </x:c>
      <x:c r="F343" s="90" t="str">
        <x:v>Yes</x:v>
      </x:c>
      <x:c r="G343" s="90" t="str">
        <x:v>Yes — bundled</x:v>
      </x:c>
      <x:c r="H343" s="90" t="str">
        <x:v>PTA Documentation, Care-Plan Compliance &amp; Field Safety</x:v>
      </x:c>
      <x:c r="I343" s="90" t="str">
        <x:v>80% quiz plus documentation/reporting scenarios</x:v>
      </x:c>
      <x:c r="J343" s="90" t="str">
        <x:v>By day 14; before independent duty if earlier</x:v>
      </x:c>
      <x:c r="K343" s="90" t="str">
        <x:v>At hire; then on material revision</x:v>
      </x:c>
      <x:c r="L343" s="90" t="str">
        <x:v>Ready</x:v>
      </x:c>
      <x:c r="M343" s="90" t="str">
        <x:v>Assistant-level documentation, coordination, safeguards, and field safety under PT direction.</x:v>
      </x:c>
      <x:c r="N343" s="90" t="str">
        <x:v>12-allPoliciesContent.generated.ts — OP-PA-002</x:v>
      </x:c>
      <x:c r="O343" s="90" t="str"/>
      <x:c r="P343" s="90" t="str"/>
    </x:row>
    <x:row r="344" ht="42" customHeight="1">
      <x:c r="A344" s="90" t="str">
        <x:v>PTA-02</x:v>
      </x:c>
      <x:c r="B344" s="90" t="str">
        <x:v>PTA</x:v>
      </x:c>
      <x:c r="C344" s="90" t="str">
        <x:v>OP-PA-003</x:v>
      </x:c>
      <x:c r="D344" s="90" t="str">
        <x:v>Interpreter &amp; Language Access Services</x:v>
      </x:c>
      <x:c r="E344" s="90" t="str">
        <x:v>Core</x:v>
      </x:c>
      <x:c r="F344" s="90" t="str">
        <x:v>Yes</x:v>
      </x:c>
      <x:c r="G344" s="90" t="str">
        <x:v>Yes — bundled</x:v>
      </x:c>
      <x:c r="H344" s="90" t="str">
        <x:v>PTA Documentation, Care-Plan Compliance &amp; Field Safety</x:v>
      </x:c>
      <x:c r="I344" s="90" t="str">
        <x:v>80% quiz plus documentation/reporting scenarios</x:v>
      </x:c>
      <x:c r="J344" s="90" t="str">
        <x:v>By day 14; before independent duty if earlier</x:v>
      </x:c>
      <x:c r="K344" s="90" t="str">
        <x:v>At hire; then on material revision</x:v>
      </x:c>
      <x:c r="L344" s="90" t="str">
        <x:v>Ready</x:v>
      </x:c>
      <x:c r="M344" s="90" t="str">
        <x:v>Assistant-level documentation, coordination, safeguards, and field safety under PT direction.</x:v>
      </x:c>
      <x:c r="N344" s="90" t="str">
        <x:v>12-allPoliciesContent.generated.ts — OP-PA-003</x:v>
      </x:c>
      <x:c r="O344" s="90" t="str"/>
      <x:c r="P344" s="90" t="str"/>
    </x:row>
    <x:row r="345" ht="42" customHeight="1">
      <x:c r="A345" s="90" t="str">
        <x:v>PTA-02</x:v>
      </x:c>
      <x:c r="B345" s="90" t="str">
        <x:v>PTA</x:v>
      </x:c>
      <x:c r="C345" s="90" t="str">
        <x:v>OP-PA-004</x:v>
      </x:c>
      <x:c r="D345" s="90" t="str">
        <x:v>Cultural Competency in Service Delivery</x:v>
      </x:c>
      <x:c r="E345" s="90" t="str">
        <x:v>Core</x:v>
      </x:c>
      <x:c r="F345" s="90" t="str">
        <x:v>Yes</x:v>
      </x:c>
      <x:c r="G345" s="90" t="str">
        <x:v>Yes — bundled</x:v>
      </x:c>
      <x:c r="H345" s="90" t="str">
        <x:v>PTA Documentation, Care-Plan Compliance &amp; Field Safety</x:v>
      </x:c>
      <x:c r="I345" s="90" t="str">
        <x:v>80% quiz plus documentation/reporting scenarios</x:v>
      </x:c>
      <x:c r="J345" s="90" t="str">
        <x:v>By day 14; before independent duty if earlier</x:v>
      </x:c>
      <x:c r="K345" s="90" t="str">
        <x:v>At hire; then on material revision</x:v>
      </x:c>
      <x:c r="L345" s="90" t="str">
        <x:v>Ready</x:v>
      </x:c>
      <x:c r="M345" s="90" t="str">
        <x:v>Assistant-level documentation, coordination, safeguards, and field safety under PT direction.</x:v>
      </x:c>
      <x:c r="N345" s="90" t="str">
        <x:v>12-allPoliciesContent.generated.ts — OP-PA-004</x:v>
      </x:c>
      <x:c r="O345" s="90" t="str"/>
      <x:c r="P345" s="90" t="str"/>
    </x:row>
    <x:row r="346" ht="42" customHeight="1">
      <x:c r="A346" s="90" t="str">
        <x:v>PTA-02</x:v>
      </x:c>
      <x:c r="B346" s="90" t="str">
        <x:v>PTA</x:v>
      </x:c>
      <x:c r="C346" s="90" t="str">
        <x:v>OP-PA-005</x:v>
      </x:c>
      <x:c r="D346" s="90" t="str">
        <x:v>Patient Property &amp; Belongings</x:v>
      </x:c>
      <x:c r="E346" s="90" t="str">
        <x:v>Core</x:v>
      </x:c>
      <x:c r="F346" s="90" t="str">
        <x:v>Yes</x:v>
      </x:c>
      <x:c r="G346" s="90" t="str">
        <x:v>Yes — bundled</x:v>
      </x:c>
      <x:c r="H346" s="90" t="str">
        <x:v>PTA Documentation, Care-Plan Compliance &amp; Field Safety</x:v>
      </x:c>
      <x:c r="I346" s="90" t="str">
        <x:v>80% quiz plus documentation/reporting scenarios</x:v>
      </x:c>
      <x:c r="J346" s="90" t="str">
        <x:v>By day 14; before independent duty if earlier</x:v>
      </x:c>
      <x:c r="K346" s="90" t="str">
        <x:v>At hire; then on material revision</x:v>
      </x:c>
      <x:c r="L346" s="90" t="str">
        <x:v>Ready</x:v>
      </x:c>
      <x:c r="M346" s="90" t="str">
        <x:v>Assistant-level documentation, coordination, safeguards, and field safety under PT direction.</x:v>
      </x:c>
      <x:c r="N346" s="90" t="str">
        <x:v>12-allPoliciesContent.generated.ts — OP-PA-005</x:v>
      </x:c>
      <x:c r="O346" s="90" t="str"/>
      <x:c r="P346" s="90" t="str"/>
    </x:row>
    <x:row r="347" ht="42" customHeight="1">
      <x:c r="A347" s="90" t="str">
        <x:v>PTA-02</x:v>
      </x:c>
      <x:c r="B347" s="90" t="str">
        <x:v>PTA</x:v>
      </x:c>
      <x:c r="C347" s="90" t="str">
        <x:v>OP-SL-001</x:v>
      </x:c>
      <x:c r="D347" s="90" t="str">
        <x:v>Scheduling &amp; Visit Management</x:v>
      </x:c>
      <x:c r="E347" s="90" t="str">
        <x:v>Core</x:v>
      </x:c>
      <x:c r="F347" s="90" t="str">
        <x:v>Yes</x:v>
      </x:c>
      <x:c r="G347" s="90" t="str">
        <x:v>Yes — bundled</x:v>
      </x:c>
      <x:c r="H347" s="90" t="str">
        <x:v>PTA Documentation, Care-Plan Compliance &amp; Field Safety</x:v>
      </x:c>
      <x:c r="I347" s="90" t="str">
        <x:v>80% quiz plus documentation/reporting scenarios</x:v>
      </x:c>
      <x:c r="J347" s="90" t="str">
        <x:v>By day 14; before independent duty if earlier</x:v>
      </x:c>
      <x:c r="K347" s="90" t="str">
        <x:v>At hire; then on material revision</x:v>
      </x:c>
      <x:c r="L347" s="90" t="str">
        <x:v>Ready</x:v>
      </x:c>
      <x:c r="M347" s="90" t="str">
        <x:v>Assistant-level documentation, coordination, safeguards, and field safety under PT direction.</x:v>
      </x:c>
      <x:c r="N347" s="90" t="str">
        <x:v>12-allPoliciesContent.generated.ts — OP-SL-001</x:v>
      </x:c>
      <x:c r="O347" s="90" t="str"/>
      <x:c r="P347" s="90" t="str"/>
    </x:row>
    <x:row r="348" ht="42" customHeight="1">
      <x:c r="A348" s="90" t="str">
        <x:v>PTA-02</x:v>
      </x:c>
      <x:c r="B348" s="90" t="str">
        <x:v>PTA</x:v>
      </x:c>
      <x:c r="C348" s="90" t="str">
        <x:v>OP-SL-004</x:v>
      </x:c>
      <x:c r="D348" s="90" t="str">
        <x:v>Equipment &amp; Supply Management</x:v>
      </x:c>
      <x:c r="E348" s="90" t="str">
        <x:v>Core</x:v>
      </x:c>
      <x:c r="F348" s="90" t="str">
        <x:v>Yes</x:v>
      </x:c>
      <x:c r="G348" s="90" t="str">
        <x:v>Yes — bundled</x:v>
      </x:c>
      <x:c r="H348" s="90" t="str">
        <x:v>PTA Documentation, Care-Plan Compliance &amp; Field Safety</x:v>
      </x:c>
      <x:c r="I348" s="90" t="str">
        <x:v>80% quiz plus documentation/reporting scenarios</x:v>
      </x:c>
      <x:c r="J348" s="90" t="str">
        <x:v>By day 14; before independent duty if earlier</x:v>
      </x:c>
      <x:c r="K348" s="90" t="str">
        <x:v>At hire; then on material revision</x:v>
      </x:c>
      <x:c r="L348" s="90" t="str">
        <x:v>Ready</x:v>
      </x:c>
      <x:c r="M348" s="90" t="str">
        <x:v>Assistant-level documentation, coordination, safeguards, and field safety under PT direction.</x:v>
      </x:c>
      <x:c r="N348" s="90" t="str">
        <x:v>12-allPoliciesContent.generated.ts — OP-SL-004</x:v>
      </x:c>
      <x:c r="O348" s="90" t="str"/>
      <x:c r="P348" s="90" t="str"/>
    </x:row>
    <x:row r="349" ht="42" customHeight="1">
      <x:c r="A349" s="90" t="str">
        <x:v>PTA-02</x:v>
      </x:c>
      <x:c r="B349" s="90" t="str">
        <x:v>PTA</x:v>
      </x:c>
      <x:c r="C349" s="90" t="str">
        <x:v>OP-SL-007</x:v>
      </x:c>
      <x:c r="D349" s="90" t="str">
        <x:v>Inclement Weather &amp; Hazardous Conditions</x:v>
      </x:c>
      <x:c r="E349" s="90" t="str">
        <x:v>Core</x:v>
      </x:c>
      <x:c r="F349" s="90" t="str">
        <x:v>Yes</x:v>
      </x:c>
      <x:c r="G349" s="90" t="str">
        <x:v>Yes — bundled</x:v>
      </x:c>
      <x:c r="H349" s="90" t="str">
        <x:v>PTA Documentation, Care-Plan Compliance &amp; Field Safety</x:v>
      </x:c>
      <x:c r="I349" s="90" t="str">
        <x:v>80% quiz plus documentation/reporting scenarios</x:v>
      </x:c>
      <x:c r="J349" s="90" t="str">
        <x:v>By day 14; before independent duty if earlier</x:v>
      </x:c>
      <x:c r="K349" s="90" t="str">
        <x:v>At hire; then on material revision</x:v>
      </x:c>
      <x:c r="L349" s="90" t="str">
        <x:v>Ready</x:v>
      </x:c>
      <x:c r="M349" s="90" t="str">
        <x:v>Assistant-level documentation, coordination, safeguards, and field safety under PT direction.</x:v>
      </x:c>
      <x:c r="N349" s="90" t="str">
        <x:v>12-allPoliciesContent.generated.ts — OP-SL-007</x:v>
      </x:c>
      <x:c r="O349" s="90" t="str"/>
      <x:c r="P349" s="90" t="str"/>
    </x:row>
    <x:row r="350" ht="42" customHeight="1">
      <x:c r="A350" s="90" t="str">
        <x:v>PTA-02</x:v>
      </x:c>
      <x:c r="B350" s="90" t="str">
        <x:v>PTA</x:v>
      </x:c>
      <x:c r="C350" s="90" t="str">
        <x:v>RM-OS-002</x:v>
      </x:c>
      <x:c r="D350" s="90" t="str">
        <x:v>Aerosol Transmissible Disease (ATD) Exposure Control Plan</x:v>
      </x:c>
      <x:c r="E350" s="90" t="str">
        <x:v>Core</x:v>
      </x:c>
      <x:c r="F350" s="90" t="str">
        <x:v>Yes</x:v>
      </x:c>
      <x:c r="G350" s="90" t="str">
        <x:v>Yes — bundled</x:v>
      </x:c>
      <x:c r="H350" s="90" t="str">
        <x:v>PTA Documentation, Care-Plan Compliance &amp; Field Safety</x:v>
      </x:c>
      <x:c r="I350" s="90" t="str">
        <x:v>80% quiz plus documentation/reporting scenarios</x:v>
      </x:c>
      <x:c r="J350" s="90" t="str">
        <x:v>By day 14; before independent duty if earlier</x:v>
      </x:c>
      <x:c r="K350" s="90" t="str">
        <x:v>At hire; then on material revision</x:v>
      </x:c>
      <x:c r="L350" s="90" t="str">
        <x:v>Ready</x:v>
      </x:c>
      <x:c r="M350" s="90" t="str">
        <x:v>Assistant-level documentation, coordination, safeguards, and field safety under PT direction.</x:v>
      </x:c>
      <x:c r="N350" s="90" t="str">
        <x:v>12-allPoliciesContent.generated.ts — RM-OS-002</x:v>
      </x:c>
      <x:c r="O350" s="90" t="str">
        <x:v>https://www.dir.ca.gov/title8/5199.html</x:v>
      </x:c>
      <x:c r="P350" s="90" t="str"/>
    </x:row>
    <x:row r="351" ht="42" customHeight="1">
      <x:c r="A351" s="90" t="str">
        <x:v>PTA-02</x:v>
      </x:c>
      <x:c r="B351" s="90" t="str">
        <x:v>PTA</x:v>
      </x:c>
      <x:c r="C351" s="90" t="str">
        <x:v>RM-OS-003</x:v>
      </x:c>
      <x:c r="D351" s="90" t="str">
        <x:v>Bloodborne Pathogen (BBP) Exposure Control Plan</x:v>
      </x:c>
      <x:c r="E351" s="90" t="str">
        <x:v>Core</x:v>
      </x:c>
      <x:c r="F351" s="90" t="str">
        <x:v>Yes</x:v>
      </x:c>
      <x:c r="G351" s="90" t="str">
        <x:v>Yes — bundled</x:v>
      </x:c>
      <x:c r="H351" s="90" t="str">
        <x:v>PTA Documentation, Care-Plan Compliance &amp; Field Safety</x:v>
      </x:c>
      <x:c r="I351" s="90" t="str">
        <x:v>80% quiz plus documentation/reporting scenarios</x:v>
      </x:c>
      <x:c r="J351" s="90" t="str">
        <x:v>By day 14; before independent duty if earlier</x:v>
      </x:c>
      <x:c r="K351" s="90" t="str">
        <x:v>At hire; then on material revision</x:v>
      </x:c>
      <x:c r="L351" s="90" t="str">
        <x:v>Ready</x:v>
      </x:c>
      <x:c r="M351" s="90" t="str">
        <x:v>Assistant-level documentation, coordination, safeguards, and field safety under PT direction.</x:v>
      </x:c>
      <x:c r="N351" s="90" t="str">
        <x:v>12-allPoliciesContent.generated.ts — RM-OS-003</x:v>
      </x:c>
      <x:c r="O351" s="90" t="str">
        <x:v>https://www.dir.ca.gov/title8/5193.html</x:v>
      </x:c>
      <x:c r="P351" s="90" t="str"/>
    </x:row>
    <x:row r="352" ht="42" customHeight="1">
      <x:c r="A352" s="90" t="str">
        <x:v>PTA-02</x:v>
      </x:c>
      <x:c r="B352" s="90" t="str">
        <x:v>PTA</x:v>
      </x:c>
      <x:c r="C352" s="90" t="str">
        <x:v>RM-OS-004</x:v>
      </x:c>
      <x:c r="D352" s="90" t="str">
        <x:v>Heat Illness Prevention Program</x:v>
      </x:c>
      <x:c r="E352" s="90" t="str">
        <x:v>Conditional</x:v>
      </x:c>
      <x:c r="F352" s="90" t="str">
        <x:v>Yes</x:v>
      </x:c>
      <x:c r="G352" s="90" t="str">
        <x:v>Yes — bundled</x:v>
      </x:c>
      <x:c r="H352" s="90" t="str">
        <x:v>PTA Documentation, Care-Plan Compliance &amp; Field Safety</x:v>
      </x:c>
      <x:c r="I352" s="90" t="str">
        <x:v>80% quiz plus documentation/reporting scenarios</x:v>
      </x:c>
      <x:c r="J352" s="90" t="str">
        <x:v>By day 14; before independent duty if earlier</x:v>
      </x:c>
      <x:c r="K352" s="90" t="str">
        <x:v>At hire; then on material revision</x:v>
      </x:c>
      <x:c r="L352" s="90" t="str">
        <x:v>Ready</x:v>
      </x:c>
      <x:c r="M352" s="90" t="str">
        <x:v>Assistant-level documentation, coordination, safeguards, and field safety under PT direction.</x:v>
      </x:c>
      <x:c r="N352" s="90" t="str">
        <x:v>12-allPoliciesContent.generated.ts — RM-OS-004</x:v>
      </x:c>
      <x:c r="O352" s="90" t="str"/>
      <x:c r="P352" s="90" t="str"/>
    </x:row>
    <x:row r="353" ht="42" customHeight="1">
      <x:c r="A353" s="90" t="str">
        <x:v>PTA-02</x:v>
      </x:c>
      <x:c r="B353" s="90" t="str">
        <x:v>PTA</x:v>
      </x:c>
      <x:c r="C353" s="90" t="str">
        <x:v>RM-PS-001</x:v>
      </x:c>
      <x:c r="D353" s="90" t="str">
        <x:v>Environmental Safety Assessment</x:v>
      </x:c>
      <x:c r="E353" s="90" t="str">
        <x:v>Core</x:v>
      </x:c>
      <x:c r="F353" s="90" t="str">
        <x:v>Yes</x:v>
      </x:c>
      <x:c r="G353" s="90" t="str">
        <x:v>Yes — bundled</x:v>
      </x:c>
      <x:c r="H353" s="90" t="str">
        <x:v>PTA Documentation, Care-Plan Compliance &amp; Field Safety</x:v>
      </x:c>
      <x:c r="I353" s="90" t="str">
        <x:v>80% quiz plus documentation/reporting scenarios</x:v>
      </x:c>
      <x:c r="J353" s="90" t="str">
        <x:v>By day 14; before independent duty if earlier</x:v>
      </x:c>
      <x:c r="K353" s="90" t="str">
        <x:v>At hire; then on material revision</x:v>
      </x:c>
      <x:c r="L353" s="90" t="str">
        <x:v>Ready</x:v>
      </x:c>
      <x:c r="M353" s="90" t="str">
        <x:v>Assistant-level documentation, coordination, safeguards, and field safety under PT direction.</x:v>
      </x:c>
      <x:c r="N353" s="90" t="str">
        <x:v>12-allPoliciesContent.generated.ts — RM-PS-001</x:v>
      </x:c>
      <x:c r="O353" s="90" t="str"/>
      <x:c r="P353" s="90" t="str"/>
    </x:row>
    <x:row r="354" ht="42" customHeight="1">
      <x:c r="A354" s="90" t="str">
        <x:v>PTA-02</x:v>
      </x:c>
      <x:c r="B354" s="90" t="str">
        <x:v>PTA</x:v>
      </x:c>
      <x:c r="C354" s="90" t="str">
        <x:v>RM-PS-003</x:v>
      </x:c>
      <x:c r="D354" s="90" t="str">
        <x:v>Product &amp; Equipment Safety Recall Management</x:v>
      </x:c>
      <x:c r="E354" s="90" t="str">
        <x:v>Core</x:v>
      </x:c>
      <x:c r="F354" s="90" t="str">
        <x:v>Yes</x:v>
      </x:c>
      <x:c r="G354" s="90" t="str">
        <x:v>Yes — bundled</x:v>
      </x:c>
      <x:c r="H354" s="90" t="str">
        <x:v>PTA Documentation, Care-Plan Compliance &amp; Field Safety</x:v>
      </x:c>
      <x:c r="I354" s="90" t="str">
        <x:v>80% quiz plus documentation/reporting scenarios</x:v>
      </x:c>
      <x:c r="J354" s="90" t="str">
        <x:v>By day 14; before independent duty if earlier</x:v>
      </x:c>
      <x:c r="K354" s="90" t="str">
        <x:v>At hire; then on material revision</x:v>
      </x:c>
      <x:c r="L354" s="90" t="str">
        <x:v>Ready</x:v>
      </x:c>
      <x:c r="M354" s="90" t="str">
        <x:v>Assistant-level documentation, coordination, safeguards, and field safety under PT direction.</x:v>
      </x:c>
      <x:c r="N354" s="90" t="str">
        <x:v>12-allPoliciesContent.generated.ts — RM-PS-003</x:v>
      </x:c>
      <x:c r="O354" s="90" t="str"/>
      <x:c r="P354" s="90" t="str"/>
    </x:row>
    <x:row r="355" ht="42" customHeight="1">
      <x:c r="A355" s="90" t="str">
        <x:v>PTA-02</x:v>
      </x:c>
      <x:c r="B355" s="90" t="str">
        <x:v>PTA</x:v>
      </x:c>
      <x:c r="C355" s="90" t="str">
        <x:v>RM-SS-001</x:v>
      </x:c>
      <x:c r="D355" s="90" t="str">
        <x:v>Staff Safety &amp; Personal Security</x:v>
      </x:c>
      <x:c r="E355" s="90" t="str">
        <x:v>Core</x:v>
      </x:c>
      <x:c r="F355" s="90" t="str">
        <x:v>Yes</x:v>
      </x:c>
      <x:c r="G355" s="90" t="str">
        <x:v>Yes — bundled</x:v>
      </x:c>
      <x:c r="H355" s="90" t="str">
        <x:v>PTA Documentation, Care-Plan Compliance &amp; Field Safety</x:v>
      </x:c>
      <x:c r="I355" s="90" t="str">
        <x:v>80% quiz plus documentation/reporting scenarios</x:v>
      </x:c>
      <x:c r="J355" s="90" t="str">
        <x:v>By day 14; before independent duty if earlier</x:v>
      </x:c>
      <x:c r="K355" s="90" t="str">
        <x:v>At hire; then on material revision</x:v>
      </x:c>
      <x:c r="L355" s="90" t="str">
        <x:v>Ready</x:v>
      </x:c>
      <x:c r="M355" s="90" t="str">
        <x:v>Assistant-level documentation, coordination, safeguards, and field safety under PT direction.</x:v>
      </x:c>
      <x:c r="N355" s="90" t="str">
        <x:v>12-allPoliciesContent.generated.ts — RM-SS-001</x:v>
      </x:c>
      <x:c r="O355" s="90" t="str"/>
      <x:c r="P355" s="90" t="str"/>
    </x:row>
    <x:row r="356" ht="42" customHeight="1">
      <x:c r="A356" s="90" t="str">
        <x:v>PTA-02</x:v>
      </x:c>
      <x:c r="B356" s="90" t="str">
        <x:v>PTA</x:v>
      </x:c>
      <x:c r="C356" s="90" t="str">
        <x:v>RM-SS-003</x:v>
      </x:c>
      <x:c r="D356" s="90" t="str">
        <x:v>Motor Vehicle Safety &amp; Accident Reporting</x:v>
      </x:c>
      <x:c r="E356" s="90" t="str">
        <x:v>Conditional</x:v>
      </x:c>
      <x:c r="F356" s="90" t="str">
        <x:v>Yes</x:v>
      </x:c>
      <x:c r="G356" s="90" t="str">
        <x:v>Yes — bundled</x:v>
      </x:c>
      <x:c r="H356" s="90" t="str">
        <x:v>PTA Documentation, Care-Plan Compliance &amp; Field Safety</x:v>
      </x:c>
      <x:c r="I356" s="90" t="str">
        <x:v>80% quiz plus documentation/reporting scenarios</x:v>
      </x:c>
      <x:c r="J356" s="90" t="str">
        <x:v>By day 14; before independent duty if earlier</x:v>
      </x:c>
      <x:c r="K356" s="90" t="str">
        <x:v>At hire; then on material revision</x:v>
      </x:c>
      <x:c r="L356" s="90" t="str">
        <x:v>Ready</x:v>
      </x:c>
      <x:c r="M356" s="90" t="str">
        <x:v>Assistant-level documentation, coordination, safeguards, and field safety under PT direction.</x:v>
      </x:c>
      <x:c r="N356" s="90" t="str">
        <x:v>12-allPoliciesContent.generated.ts — RM-SS-003</x:v>
      </x:c>
      <x:c r="O356" s="90" t="str"/>
      <x:c r="P356" s="90" t="str"/>
    </x:row>
    <x:row r="357" ht="42" customHeight="1">
      <x:c r="A357" s="90" t="str">
        <x:v>PTA-02</x:v>
      </x:c>
      <x:c r="B357" s="90" t="str">
        <x:v>PTA</x:v>
      </x:c>
      <x:c r="C357" s="90" t="str">
        <x:v>OP-SL-003</x:v>
      </x:c>
      <x:c r="D357" s="90" t="str">
        <x:v>Vehicle &amp; Transportation Safety</x:v>
      </x:c>
      <x:c r="E357" s="90" t="str">
        <x:v>Conditional</x:v>
      </x:c>
      <x:c r="F357" s="90" t="str">
        <x:v>Yes</x:v>
      </x:c>
      <x:c r="G357" s="90" t="str">
        <x:v>Yes — bundled</x:v>
      </x:c>
      <x:c r="H357" s="90" t="str">
        <x:v>PTA Documentation, Care-Plan Compliance &amp; Field Safety</x:v>
      </x:c>
      <x:c r="I357" s="90" t="str">
        <x:v>80% quiz plus documentation/reporting scenarios</x:v>
      </x:c>
      <x:c r="J357" s="90" t="str">
        <x:v>By day 14; before independent duty if earlier</x:v>
      </x:c>
      <x:c r="K357" s="90" t="str">
        <x:v>At hire; then on material revision</x:v>
      </x:c>
      <x:c r="L357" s="90" t="str">
        <x:v>Ready</x:v>
      </x:c>
      <x:c r="M357" s="90" t="str">
        <x:v>Assistant-level documentation, coordination, safeguards, and field safety under PT direction.</x:v>
      </x:c>
      <x:c r="N357" s="90" t="str">
        <x:v>12-allPoliciesContent.generated.ts — OP-SL-003</x:v>
      </x:c>
      <x:c r="O357" s="90" t="str"/>
      <x:c r="P357" s="90" t="str"/>
    </x:row>
    <x:row r="358" ht="42" customHeight="1">
      <x:c r="A358" s="90" t="str">
        <x:v>PTA-03</x:v>
      </x:c>
      <x:c r="B358" s="90" t="str">
        <x:v>PTA</x:v>
      </x:c>
      <x:c r="C358" s="90" t="str">
        <x:v>CL-SD-009</x:v>
      </x:c>
      <x:c r="D358" s="90" t="str">
        <x:v>Telehealth &amp; Remote Monitoring Services</x:v>
      </x:c>
      <x:c r="E358" s="90" t="str">
        <x:v>Conditional</x:v>
      </x:c>
      <x:c r="F358" s="90" t="str">
        <x:v>Yes</x:v>
      </x:c>
      <x:c r="G358" s="90" t="str">
        <x:v>Yes — bundled</x:v>
      </x:c>
      <x:c r="H358" s="90" t="str">
        <x:v>PTA Specialty Safety &amp; Transitions</x:v>
      </x:c>
      <x:c r="I358" s="90" t="str">
        <x:v>80% quiz plus discipline-specific skill validation</x:v>
      </x:c>
      <x:c r="J358" s="90" t="str">
        <x:v>By day 14; before independent duty if earlier</x:v>
      </x:c>
      <x:c r="K358" s="90" t="str">
        <x:v>At hire; then on material revision</x:v>
      </x:c>
      <x:c r="L358" s="90" t="str">
        <x:v>Conditional</x:v>
      </x:c>
      <x:c r="M358" s="90" t="str">
        <x:v>Assign only for services within PTA scope and the supervising PT plan; no independent OASIS assignment.</x:v>
      </x:c>
      <x:c r="N358" s="90" t="str">
        <x:v>12-allPoliciesContent.generated.ts — CL-SD-009</x:v>
      </x:c>
      <x:c r="O358" s="90" t="str">
        <x:v>https://www.ecfr.gov/current/title-42/part-484/section-484.75</x:v>
      </x:c>
      <x:c r="P358" s="90" t="str"/>
    </x:row>
    <x:row r="359" ht="42" customHeight="1">
      <x:c r="A359" s="90" t="str">
        <x:v>PTA-03</x:v>
      </x:c>
      <x:c r="B359" s="90" t="str">
        <x:v>PTA</x:v>
      </x:c>
      <x:c r="C359" s="90" t="str">
        <x:v>CL-SD-011</x:v>
      </x:c>
      <x:c r="D359" s="90" t="str">
        <x:v>Wound Care Assessment &amp; Management</x:v>
      </x:c>
      <x:c r="E359" s="90" t="str">
        <x:v>Conditional</x:v>
      </x:c>
      <x:c r="F359" s="90" t="str">
        <x:v>Yes</x:v>
      </x:c>
      <x:c r="G359" s="90" t="str">
        <x:v>Yes — bundled</x:v>
      </x:c>
      <x:c r="H359" s="90" t="str">
        <x:v>PTA Specialty Safety &amp; Transitions</x:v>
      </x:c>
      <x:c r="I359" s="90" t="str">
        <x:v>80% quiz plus discipline-specific skill validation</x:v>
      </x:c>
      <x:c r="J359" s="90" t="str">
        <x:v>By day 14; before independent duty if earlier</x:v>
      </x:c>
      <x:c r="K359" s="90" t="str">
        <x:v>At hire; then on material revision</x:v>
      </x:c>
      <x:c r="L359" s="90" t="str">
        <x:v>Conditional</x:v>
      </x:c>
      <x:c r="M359" s="90" t="str">
        <x:v>Assign only for services within PTA scope and the supervising PT plan; no independent OASIS assignment.</x:v>
      </x:c>
      <x:c r="N359" s="90" t="str">
        <x:v>12-allPoliciesContent.generated.ts — CL-SD-011</x:v>
      </x:c>
      <x:c r="O359" s="90" t="str">
        <x:v>https://www.ecfr.gov/current/title-42/part-484/section-484.75</x:v>
      </x:c>
      <x:c r="P359" s="90" t="str"/>
    </x:row>
    <x:row r="360" ht="42" customHeight="1">
      <x:c r="A360" s="90" t="str">
        <x:v>PTA-03</x:v>
      </x:c>
      <x:c r="B360" s="90" t="str">
        <x:v>PTA</x:v>
      </x:c>
      <x:c r="C360" s="90" t="str">
        <x:v>CL-SD-014</x:v>
      </x:c>
      <x:c r="D360" s="90" t="str">
        <x:v>Pain Assessment &amp; Management</x:v>
      </x:c>
      <x:c r="E360" s="90" t="str">
        <x:v>Conditional</x:v>
      </x:c>
      <x:c r="F360" s="90" t="str">
        <x:v>Yes</x:v>
      </x:c>
      <x:c r="G360" s="90" t="str">
        <x:v>Yes — bundled</x:v>
      </x:c>
      <x:c r="H360" s="90" t="str">
        <x:v>PTA Specialty Safety &amp; Transitions</x:v>
      </x:c>
      <x:c r="I360" s="90" t="str">
        <x:v>80% quiz plus discipline-specific skill validation</x:v>
      </x:c>
      <x:c r="J360" s="90" t="str">
        <x:v>By day 14; before independent duty if earlier</x:v>
      </x:c>
      <x:c r="K360" s="90" t="str">
        <x:v>At hire; then on material revision</x:v>
      </x:c>
      <x:c r="L360" s="90" t="str">
        <x:v>Conditional</x:v>
      </x:c>
      <x:c r="M360" s="90" t="str">
        <x:v>Assign only for services within PTA scope and the supervising PT plan; no independent OASIS assignment.</x:v>
      </x:c>
      <x:c r="N360" s="90" t="str">
        <x:v>12-allPoliciesContent.generated.ts — CL-SD-014</x:v>
      </x:c>
      <x:c r="O360" s="90" t="str">
        <x:v>https://www.ecfr.gov/current/title-42/part-484/section-484.75</x:v>
      </x:c>
      <x:c r="P360" s="90" t="str"/>
    </x:row>
    <x:row r="361" ht="42" customHeight="1">
      <x:c r="A361" s="90" t="str">
        <x:v>PTA-03</x:v>
      </x:c>
      <x:c r="B361" s="90" t="str">
        <x:v>PTA</x:v>
      </x:c>
      <x:c r="C361" s="90" t="str">
        <x:v>CL-SD-015</x:v>
      </x:c>
      <x:c r="D361" s="90" t="str">
        <x:v>Fall Risk Assessment &amp; Prevention</x:v>
      </x:c>
      <x:c r="E361" s="90" t="str">
        <x:v>Conditional</x:v>
      </x:c>
      <x:c r="F361" s="90" t="str">
        <x:v>Yes</x:v>
      </x:c>
      <x:c r="G361" s="90" t="str">
        <x:v>Yes — bundled</x:v>
      </x:c>
      <x:c r="H361" s="90" t="str">
        <x:v>PTA Specialty Safety &amp; Transitions</x:v>
      </x:c>
      <x:c r="I361" s="90" t="str">
        <x:v>80% quiz plus discipline-specific skill validation</x:v>
      </x:c>
      <x:c r="J361" s="90" t="str">
        <x:v>By day 14; before independent duty if earlier</x:v>
      </x:c>
      <x:c r="K361" s="90" t="str">
        <x:v>At hire; then on material revision</x:v>
      </x:c>
      <x:c r="L361" s="90" t="str">
        <x:v>Conditional</x:v>
      </x:c>
      <x:c r="M361" s="90" t="str">
        <x:v>Assign only for services within PTA scope and the supervising PT plan; no independent OASIS assignment.</x:v>
      </x:c>
      <x:c r="N361" s="90" t="str">
        <x:v>12-allPoliciesContent.generated.ts — CL-SD-015</x:v>
      </x:c>
      <x:c r="O361" s="90" t="str">
        <x:v>https://www.ecfr.gov/current/title-42/part-484/section-484.75</x:v>
      </x:c>
      <x:c r="P361" s="90" t="str"/>
    </x:row>
    <x:row r="362" ht="42" customHeight="1">
      <x:c r="A362" s="90" t="str">
        <x:v>PTA-03</x:v>
      </x:c>
      <x:c r="B362" s="90" t="str">
        <x:v>PTA</x:v>
      </x:c>
      <x:c r="C362" s="90" t="str">
        <x:v>CL-SD-016</x:v>
      </x:c>
      <x:c r="D362" s="90" t="str">
        <x:v>Infection Prevention &amp; Control</x:v>
      </x:c>
      <x:c r="E362" s="90" t="str">
        <x:v>Conditional</x:v>
      </x:c>
      <x:c r="F362" s="90" t="str">
        <x:v>Yes</x:v>
      </x:c>
      <x:c r="G362" s="90" t="str">
        <x:v>Yes — bundled</x:v>
      </x:c>
      <x:c r="H362" s="90" t="str">
        <x:v>PTA Specialty Safety &amp; Transitions</x:v>
      </x:c>
      <x:c r="I362" s="90" t="str">
        <x:v>80% quiz plus discipline-specific skill validation</x:v>
      </x:c>
      <x:c r="J362" s="90" t="str">
        <x:v>By day 14; before independent duty if earlier</x:v>
      </x:c>
      <x:c r="K362" s="90" t="str">
        <x:v>At hire; then on material revision</x:v>
      </x:c>
      <x:c r="L362" s="90" t="str">
        <x:v>Conditional</x:v>
      </x:c>
      <x:c r="M362" s="90" t="str">
        <x:v>Assign only for services within PTA scope and the supervising PT plan; no independent OASIS assignment.</x:v>
      </x:c>
      <x:c r="N362" s="90" t="str">
        <x:v>12-allPoliciesContent.generated.ts — CL-SD-016</x:v>
      </x:c>
      <x:c r="O362" s="90" t="str">
        <x:v>https://www.ecfr.gov/current/title-42/part-484/section-484.75</x:v>
      </x:c>
      <x:c r="P362" s="90" t="str"/>
    </x:row>
    <x:row r="363" ht="42" customHeight="1">
      <x:c r="A363" s="90" t="str">
        <x:v>PTA-03</x:v>
      </x:c>
      <x:c r="B363" s="90" t="str">
        <x:v>PTA</x:v>
      </x:c>
      <x:c r="C363" s="90" t="str">
        <x:v>CL-SD-017</x:v>
      </x:c>
      <x:c r="D363" s="90" t="str">
        <x:v>Patient Education &amp; Self-Management</x:v>
      </x:c>
      <x:c r="E363" s="90" t="str">
        <x:v>Conditional</x:v>
      </x:c>
      <x:c r="F363" s="90" t="str">
        <x:v>Yes</x:v>
      </x:c>
      <x:c r="G363" s="90" t="str">
        <x:v>Yes — bundled</x:v>
      </x:c>
      <x:c r="H363" s="90" t="str">
        <x:v>PTA Specialty Safety &amp; Transitions</x:v>
      </x:c>
      <x:c r="I363" s="90" t="str">
        <x:v>80% quiz plus discipline-specific skill validation</x:v>
      </x:c>
      <x:c r="J363" s="90" t="str">
        <x:v>By day 14; before independent duty if earlier</x:v>
      </x:c>
      <x:c r="K363" s="90" t="str">
        <x:v>At hire; then on material revision</x:v>
      </x:c>
      <x:c r="L363" s="90" t="str">
        <x:v>Conditional</x:v>
      </x:c>
      <x:c r="M363" s="90" t="str">
        <x:v>Assign only for services within PTA scope and the supervising PT plan; no independent OASIS assignment.</x:v>
      </x:c>
      <x:c r="N363" s="90" t="str">
        <x:v>12-allPoliciesContent.generated.ts — CL-SD-017</x:v>
      </x:c>
      <x:c r="O363" s="90" t="str">
        <x:v>https://www.ecfr.gov/current/title-42/part-484/section-484.75</x:v>
      </x:c>
      <x:c r="P363" s="90" t="str"/>
    </x:row>
    <x:row r="364" ht="42" customHeight="1">
      <x:c r="A364" s="90" t="str">
        <x:v>PTA-03</x:v>
      </x:c>
      <x:c r="B364" s="90" t="str">
        <x:v>PTA</x:v>
      </x:c>
      <x:c r="C364" s="90" t="str">
        <x:v>CL-SD-018</x:v>
      </x:c>
      <x:c r="D364" s="90" t="str">
        <x:v>Diabetic Management &amp; Monitoring</x:v>
      </x:c>
      <x:c r="E364" s="90" t="str">
        <x:v>Conditional</x:v>
      </x:c>
      <x:c r="F364" s="90" t="str">
        <x:v>Yes</x:v>
      </x:c>
      <x:c r="G364" s="90" t="str">
        <x:v>Yes — bundled</x:v>
      </x:c>
      <x:c r="H364" s="90" t="str">
        <x:v>PTA Specialty Safety &amp; Transitions</x:v>
      </x:c>
      <x:c r="I364" s="90" t="str">
        <x:v>80% quiz plus discipline-specific skill validation</x:v>
      </x:c>
      <x:c r="J364" s="90" t="str">
        <x:v>By day 14; before independent duty if earlier</x:v>
      </x:c>
      <x:c r="K364" s="90" t="str">
        <x:v>At hire; then on material revision</x:v>
      </x:c>
      <x:c r="L364" s="90" t="str">
        <x:v>Conditional</x:v>
      </x:c>
      <x:c r="M364" s="90" t="str">
        <x:v>Assign only for services within PTA scope and the supervising PT plan; no independent OASIS assignment.</x:v>
      </x:c>
      <x:c r="N364" s="90" t="str">
        <x:v>12-allPoliciesContent.generated.ts — CL-SD-018</x:v>
      </x:c>
      <x:c r="O364" s="90" t="str">
        <x:v>https://www.ecfr.gov/current/title-42/part-484/section-484.75</x:v>
      </x:c>
      <x:c r="P364" s="90" t="str"/>
    </x:row>
    <x:row r="365" ht="42" customHeight="1">
      <x:c r="A365" s="90" t="str">
        <x:v>PTA-03</x:v>
      </x:c>
      <x:c r="B365" s="90" t="str">
        <x:v>PTA</x:v>
      </x:c>
      <x:c r="C365" s="90" t="str">
        <x:v>CL-SD-019</x:v>
      </x:c>
      <x:c r="D365" s="90" t="str">
        <x:v>Cardiac Care &amp; Monitoring</x:v>
      </x:c>
      <x:c r="E365" s="90" t="str">
        <x:v>Conditional</x:v>
      </x:c>
      <x:c r="F365" s="90" t="str">
        <x:v>Yes</x:v>
      </x:c>
      <x:c r="G365" s="90" t="str">
        <x:v>Yes — bundled</x:v>
      </x:c>
      <x:c r="H365" s="90" t="str">
        <x:v>PTA Specialty Safety &amp; Transitions</x:v>
      </x:c>
      <x:c r="I365" s="90" t="str">
        <x:v>80% quiz plus discipline-specific skill validation</x:v>
      </x:c>
      <x:c r="J365" s="90" t="str">
        <x:v>By day 14; before independent duty if earlier</x:v>
      </x:c>
      <x:c r="K365" s="90" t="str">
        <x:v>At hire; then on material revision</x:v>
      </x:c>
      <x:c r="L365" s="90" t="str">
        <x:v>Conditional</x:v>
      </x:c>
      <x:c r="M365" s="90" t="str">
        <x:v>Assign only for services within PTA scope and the supervising PT plan; no independent OASIS assignment.</x:v>
      </x:c>
      <x:c r="N365" s="90" t="str">
        <x:v>12-allPoliciesContent.generated.ts — CL-SD-019</x:v>
      </x:c>
      <x:c r="O365" s="90" t="str">
        <x:v>https://www.ecfr.gov/current/title-42/part-484/section-484.75</x:v>
      </x:c>
      <x:c r="P365" s="90" t="str"/>
    </x:row>
    <x:row r="366" ht="42" customHeight="1">
      <x:c r="A366" s="90" t="str">
        <x:v>PTA-03</x:v>
      </x:c>
      <x:c r="B366" s="90" t="str">
        <x:v>PTA</x:v>
      </x:c>
      <x:c r="C366" s="90" t="str">
        <x:v>CL-SD-020</x:v>
      </x:c>
      <x:c r="D366" s="90" t="str">
        <x:v>Respiratory Care &amp; Management</x:v>
      </x:c>
      <x:c r="E366" s="90" t="str">
        <x:v>Conditional</x:v>
      </x:c>
      <x:c r="F366" s="90" t="str">
        <x:v>Yes</x:v>
      </x:c>
      <x:c r="G366" s="90" t="str">
        <x:v>Yes — bundled</x:v>
      </x:c>
      <x:c r="H366" s="90" t="str">
        <x:v>PTA Specialty Safety &amp; Transitions</x:v>
      </x:c>
      <x:c r="I366" s="90" t="str">
        <x:v>80% quiz plus discipline-specific skill validation</x:v>
      </x:c>
      <x:c r="J366" s="90" t="str">
        <x:v>By day 14; before independent duty if earlier</x:v>
      </x:c>
      <x:c r="K366" s="90" t="str">
        <x:v>At hire; then on material revision</x:v>
      </x:c>
      <x:c r="L366" s="90" t="str">
        <x:v>Conditional</x:v>
      </x:c>
      <x:c r="M366" s="90" t="str">
        <x:v>Assign only for services within PTA scope and the supervising PT plan; no independent OASIS assignment.</x:v>
      </x:c>
      <x:c r="N366" s="90" t="str">
        <x:v>12-allPoliciesContent.generated.ts — CL-SD-020</x:v>
      </x:c>
      <x:c r="O366" s="90" t="str">
        <x:v>https://www.ecfr.gov/current/title-42/part-484/section-484.75</x:v>
      </x:c>
      <x:c r="P366" s="90" t="str"/>
    </x:row>
    <x:row r="367" ht="42" customHeight="1">
      <x:c r="A367" s="90" t="str">
        <x:v>PTA-03</x:v>
      </x:c>
      <x:c r="B367" s="90" t="str">
        <x:v>PTA</x:v>
      </x:c>
      <x:c r="C367" s="90" t="str">
        <x:v>CL-SD-021</x:v>
      </x:c>
      <x:c r="D367" s="90" t="str">
        <x:v>Pediatric Home Health Services</x:v>
      </x:c>
      <x:c r="E367" s="90" t="str">
        <x:v>Conditional</x:v>
      </x:c>
      <x:c r="F367" s="90" t="str">
        <x:v>Yes</x:v>
      </x:c>
      <x:c r="G367" s="90" t="str">
        <x:v>Yes — bundled</x:v>
      </x:c>
      <x:c r="H367" s="90" t="str">
        <x:v>PTA Specialty Safety &amp; Transitions</x:v>
      </x:c>
      <x:c r="I367" s="90" t="str">
        <x:v>80% quiz plus discipline-specific skill validation</x:v>
      </x:c>
      <x:c r="J367" s="90" t="str">
        <x:v>By day 14; before independent duty if earlier</x:v>
      </x:c>
      <x:c r="K367" s="90" t="str">
        <x:v>At hire; then on material revision</x:v>
      </x:c>
      <x:c r="L367" s="90" t="str">
        <x:v>Conditional</x:v>
      </x:c>
      <x:c r="M367" s="90" t="str">
        <x:v>Assign only for services within PTA scope and the supervising PT plan; no independent OASIS assignment.</x:v>
      </x:c>
      <x:c r="N367" s="90" t="str">
        <x:v>12-allPoliciesContent.generated.ts — CL-SD-021</x:v>
      </x:c>
      <x:c r="O367" s="90" t="str">
        <x:v>https://www.ecfr.gov/current/title-42/part-484/section-484.75</x:v>
      </x:c>
      <x:c r="P367" s="90" t="str"/>
    </x:row>
    <x:row r="368" ht="42" customHeight="1">
      <x:c r="A368" s="90" t="str">
        <x:v>PTA-03</x:v>
      </x:c>
      <x:c r="B368" s="90" t="str">
        <x:v>PTA</x:v>
      </x:c>
      <x:c r="C368" s="90" t="str">
        <x:v>CL-SD-022</x:v>
      </x:c>
      <x:c r="D368" s="90" t="str">
        <x:v>Behavioral Health Screening &amp; Referral</x:v>
      </x:c>
      <x:c r="E368" s="90" t="str">
        <x:v>Conditional</x:v>
      </x:c>
      <x:c r="F368" s="90" t="str">
        <x:v>Yes</x:v>
      </x:c>
      <x:c r="G368" s="90" t="str">
        <x:v>Yes — bundled</x:v>
      </x:c>
      <x:c r="H368" s="90" t="str">
        <x:v>PTA Specialty Safety &amp; Transitions</x:v>
      </x:c>
      <x:c r="I368" s="90" t="str">
        <x:v>80% quiz plus discipline-specific skill validation</x:v>
      </x:c>
      <x:c r="J368" s="90" t="str">
        <x:v>By day 14; before independent duty if earlier</x:v>
      </x:c>
      <x:c r="K368" s="90" t="str">
        <x:v>At hire; then on material revision</x:v>
      </x:c>
      <x:c r="L368" s="90" t="str">
        <x:v>Conditional</x:v>
      </x:c>
      <x:c r="M368" s="90" t="str">
        <x:v>Assign only for services within PTA scope and the supervising PT plan; no independent OASIS assignment.</x:v>
      </x:c>
      <x:c r="N368" s="90" t="str">
        <x:v>12-allPoliciesContent.generated.ts — CL-SD-022</x:v>
      </x:c>
      <x:c r="O368" s="90" t="str">
        <x:v>https://www.ecfr.gov/current/title-42/part-484/section-484.75</x:v>
      </x:c>
      <x:c r="P368" s="90" t="str"/>
    </x:row>
    <x:row r="369" ht="42" customHeight="1">
      <x:c r="A369" s="90" t="str">
        <x:v>PTA-03</x:v>
      </x:c>
      <x:c r="B369" s="90" t="str">
        <x:v>PTA</x:v>
      </x:c>
      <x:c r="C369" s="90" t="str">
        <x:v>CL-SD-023</x:v>
      </x:c>
      <x:c r="D369" s="90" t="str">
        <x:v>Palliative &amp; End-of-Life Care</x:v>
      </x:c>
      <x:c r="E369" s="90" t="str">
        <x:v>Conditional</x:v>
      </x:c>
      <x:c r="F369" s="90" t="str">
        <x:v>Yes</x:v>
      </x:c>
      <x:c r="G369" s="90" t="str">
        <x:v>Yes — bundled</x:v>
      </x:c>
      <x:c r="H369" s="90" t="str">
        <x:v>PTA Specialty Safety &amp; Transitions</x:v>
      </x:c>
      <x:c r="I369" s="90" t="str">
        <x:v>80% quiz plus discipline-specific skill validation</x:v>
      </x:c>
      <x:c r="J369" s="90" t="str">
        <x:v>By day 14; before independent duty if earlier</x:v>
      </x:c>
      <x:c r="K369" s="90" t="str">
        <x:v>At hire; then on material revision</x:v>
      </x:c>
      <x:c r="L369" s="90" t="str">
        <x:v>Conditional</x:v>
      </x:c>
      <x:c r="M369" s="90" t="str">
        <x:v>Assign only for services within PTA scope and the supervising PT plan; no independent OASIS assignment.</x:v>
      </x:c>
      <x:c r="N369" s="90" t="str">
        <x:v>12-allPoliciesContent.generated.ts — CL-SD-023</x:v>
      </x:c>
      <x:c r="O369" s="90" t="str">
        <x:v>https://www.ecfr.gov/current/title-42/part-484/section-484.75</x:v>
      </x:c>
      <x:c r="P369" s="90" t="str"/>
    </x:row>
    <x:row r="370" ht="42" customHeight="1">
      <x:c r="A370" s="90" t="str">
        <x:v>PTA-03</x:v>
      </x:c>
      <x:c r="B370" s="90" t="str">
        <x:v>PTA</x:v>
      </x:c>
      <x:c r="C370" s="90" t="str">
        <x:v>CL-SD-024</x:v>
      </x:c>
      <x:c r="D370" s="90" t="str">
        <x:v>Missed Visit &amp; Rescheduling</x:v>
      </x:c>
      <x:c r="E370" s="90" t="str">
        <x:v>Conditional</x:v>
      </x:c>
      <x:c r="F370" s="90" t="str">
        <x:v>Yes</x:v>
      </x:c>
      <x:c r="G370" s="90" t="str">
        <x:v>Yes — bundled</x:v>
      </x:c>
      <x:c r="H370" s="90" t="str">
        <x:v>PTA Specialty Safety &amp; Transitions</x:v>
      </x:c>
      <x:c r="I370" s="90" t="str">
        <x:v>80% quiz plus discipline-specific skill validation</x:v>
      </x:c>
      <x:c r="J370" s="90" t="str">
        <x:v>By day 14; before independent duty if earlier</x:v>
      </x:c>
      <x:c r="K370" s="90" t="str">
        <x:v>At hire; then on material revision</x:v>
      </x:c>
      <x:c r="L370" s="90" t="str">
        <x:v>Conditional</x:v>
      </x:c>
      <x:c r="M370" s="90" t="str">
        <x:v>Assign only for services within PTA scope and the supervising PT plan; no independent OASIS assignment.</x:v>
      </x:c>
      <x:c r="N370" s="90" t="str">
        <x:v>12-allPoliciesContent.generated.ts — CL-SD-024</x:v>
      </x:c>
      <x:c r="O370" s="90" t="str">
        <x:v>https://www.ecfr.gov/current/title-42/part-484/section-484.75</x:v>
      </x:c>
      <x:c r="P370" s="90" t="str"/>
    </x:row>
    <x:row r="371" ht="42" customHeight="1">
      <x:c r="A371" s="90" t="str">
        <x:v>PTA-03</x:v>
      </x:c>
      <x:c r="B371" s="90" t="str">
        <x:v>PTA</x:v>
      </x:c>
      <x:c r="C371" s="90" t="str">
        <x:v>CL-SD-025</x:v>
      </x:c>
      <x:c r="D371" s="90" t="str">
        <x:v>Ordered Visit Frequency Compliance &amp; Monitoring</x:v>
      </x:c>
      <x:c r="E371" s="90" t="str">
        <x:v>Conditional</x:v>
      </x:c>
      <x:c r="F371" s="90" t="str">
        <x:v>Yes</x:v>
      </x:c>
      <x:c r="G371" s="90" t="str">
        <x:v>Yes — bundled</x:v>
      </x:c>
      <x:c r="H371" s="90" t="str">
        <x:v>PTA Specialty Safety &amp; Transitions</x:v>
      </x:c>
      <x:c r="I371" s="90" t="str">
        <x:v>80% quiz plus discipline-specific skill validation</x:v>
      </x:c>
      <x:c r="J371" s="90" t="str">
        <x:v>By day 14; before independent duty if earlier</x:v>
      </x:c>
      <x:c r="K371" s="90" t="str">
        <x:v>At hire; then on material revision</x:v>
      </x:c>
      <x:c r="L371" s="90" t="str">
        <x:v>Conditional</x:v>
      </x:c>
      <x:c r="M371" s="90" t="str">
        <x:v>Assign only for services within PTA scope and the supervising PT plan; no independent OASIS assignment.</x:v>
      </x:c>
      <x:c r="N371" s="90" t="str">
        <x:v>12-allPoliciesContent.generated.ts — CL-SD-025</x:v>
      </x:c>
      <x:c r="O371" s="90" t="str">
        <x:v>https://www.ecfr.gov/current/title-42/part-484/section-484.75</x:v>
      </x:c>
      <x:c r="P371" s="90" t="str"/>
    </x:row>
    <x:row r="372" ht="42" customHeight="1">
      <x:c r="A372" s="90" t="str">
        <x:v>PTA-03</x:v>
      </x:c>
      <x:c r="B372" s="90" t="str">
        <x:v>PTA</x:v>
      </x:c>
      <x:c r="C372" s="90" t="str">
        <x:v>RM-PS-005</x:v>
      </x:c>
      <x:c r="D372" s="90" t="str">
        <x:v>High-Risk Medication Safety</x:v>
      </x:c>
      <x:c r="E372" s="90" t="str">
        <x:v>Conditional</x:v>
      </x:c>
      <x:c r="F372" s="90" t="str">
        <x:v>Yes</x:v>
      </x:c>
      <x:c r="G372" s="90" t="str">
        <x:v>Yes — bundled</x:v>
      </x:c>
      <x:c r="H372" s="90" t="str">
        <x:v>PTA Specialty Safety &amp; Transitions</x:v>
      </x:c>
      <x:c r="I372" s="90" t="str">
        <x:v>80% quiz plus discipline-specific skill validation</x:v>
      </x:c>
      <x:c r="J372" s="90" t="str">
        <x:v>By day 14; before independent duty if earlier</x:v>
      </x:c>
      <x:c r="K372" s="90" t="str">
        <x:v>At hire; then on material revision</x:v>
      </x:c>
      <x:c r="L372" s="90" t="str">
        <x:v>Conditional</x:v>
      </x:c>
      <x:c r="M372" s="90" t="str">
        <x:v>Assign only for services within PTA scope and the supervising PT plan; no independent OASIS assignment.</x:v>
      </x:c>
      <x:c r="N372" s="90" t="str">
        <x:v>12-allPoliciesContent.generated.ts — RM-PS-005</x:v>
      </x:c>
      <x:c r="O372" s="90" t="str"/>
      <x:c r="P372" s="90" t="str"/>
    </x:row>
    <x:row r="373" ht="42" customHeight="1">
      <x:c r="A373" s="90" t="str">
        <x:v>OT-01</x:v>
      </x:c>
      <x:c r="B373" s="90" t="str">
        <x:v>OT</x:v>
      </x:c>
      <x:c r="C373" s="90" t="str">
        <x:v>HR-JD-009</x:v>
      </x:c>
      <x:c r="D373" s="90" t="str">
        <x:v>Occupational Therapist — Job Description (full policy body missing)</x:v>
      </x:c>
      <x:c r="E373" s="90" t="str">
        <x:v>Hold</x:v>
      </x:c>
      <x:c r="F373" s="90" t="str">
        <x:v>Yes</x:v>
      </x:c>
      <x:c r="G373" s="90" t="str">
        <x:v>Yes — bundled</x:v>
      </x:c>
      <x:c r="H373" s="90" t="str">
        <x:v>OT Job Duties, Scope, Supervision &amp; Competency</x:v>
      </x:c>
      <x:c r="I373" s="90" t="str">
        <x:v>80% quiz plus discipline competency validation</x:v>
      </x:c>
      <x:c r="J373" s="90" t="str">
        <x:v>By day 14; before independent duty if earlier</x:v>
      </x:c>
      <x:c r="K373" s="90" t="str">
        <x:v>At hire; then on material revision</x:v>
      </x:c>
      <x:c r="L373" s="90" t="str">
        <x:v>Hold</x:v>
      </x:c>
      <x:c r="M373" s="90" t="str">
        <x:v>Defines OT evaluation/treatment scope and COTA supervision duties.</x:v>
      </x:c>
      <x:c r="N373" s="90" t="str">
        <x:v>Source gap: referenced in taxonomy/crosswalk, but full generated policy body is absent</x:v>
      </x:c>
      <x:c r="O373" s="90" t="str">
        <x:v>https://www.ecfr.gov/current/title-42/part-484/section-484.105</x:v>
      </x:c>
      <x:c r="P373" s="90" t="str"/>
    </x:row>
    <x:row r="374" ht="42" customHeight="1">
      <x:c r="A374" s="90" t="str">
        <x:v>OT-01</x:v>
      </x:c>
      <x:c r="B374" s="90" t="str">
        <x:v>OT</x:v>
      </x:c>
      <x:c r="C374" s="90" t="str">
        <x:v>HR-JD-000</x:v>
      </x:c>
      <x:c r="D374" s="90" t="str">
        <x:v>Job Description Framework &amp; Organizational Chart</x:v>
      </x:c>
      <x:c r="E374" s="90" t="str">
        <x:v>Core</x:v>
      </x:c>
      <x:c r="F374" s="90" t="str">
        <x:v>Yes</x:v>
      </x:c>
      <x:c r="G374" s="90" t="str">
        <x:v>Yes — bundled</x:v>
      </x:c>
      <x:c r="H374" s="90" t="str">
        <x:v>OT Job Duties, Scope, Supervision &amp; Competency</x:v>
      </x:c>
      <x:c r="I374" s="90" t="str">
        <x:v>80% quiz plus discipline competency validation</x:v>
      </x:c>
      <x:c r="J374" s="90" t="str">
        <x:v>By day 14; before independent duty if earlier</x:v>
      </x:c>
      <x:c r="K374" s="90" t="str">
        <x:v>At hire; then on material revision</x:v>
      </x:c>
      <x:c r="L374" s="90" t="str">
        <x:v>Partial hold</x:v>
      </x:c>
      <x:c r="M374" s="90" t="str">
        <x:v>Defines OT evaluation/treatment scope and COTA supervision duties.</x:v>
      </x:c>
      <x:c r="N374" s="90" t="str">
        <x:v>12-allPoliciesContent.generated.ts — HR-JD-000</x:v>
      </x:c>
      <x:c r="O374" s="90" t="str">
        <x:v>https://www.ecfr.gov/current/title-42/part-484/section-484.105</x:v>
      </x:c>
      <x:c r="P374" s="90" t="str"/>
    </x:row>
    <x:row r="375" ht="42" customHeight="1">
      <x:c r="A375" s="90" t="str">
        <x:v>OT-01</x:v>
      </x:c>
      <x:c r="B375" s="90" t="str">
        <x:v>OT</x:v>
      </x:c>
      <x:c r="C375" s="90" t="str">
        <x:v>CL-SD-003</x:v>
      </x:c>
      <x:c r="D375" s="90" t="str">
        <x:v>Occupational Therapy Services</x:v>
      </x:c>
      <x:c r="E375" s="90" t="str">
        <x:v>Core</x:v>
      </x:c>
      <x:c r="F375" s="90" t="str">
        <x:v>Yes</x:v>
      </x:c>
      <x:c r="G375" s="90" t="str">
        <x:v>Yes — bundled</x:v>
      </x:c>
      <x:c r="H375" s="90" t="str">
        <x:v>OT Job Duties, Scope, Supervision &amp; Competency</x:v>
      </x:c>
      <x:c r="I375" s="90" t="str">
        <x:v>80% quiz plus discipline competency validation</x:v>
      </x:c>
      <x:c r="J375" s="90" t="str">
        <x:v>By day 14; before independent duty if earlier</x:v>
      </x:c>
      <x:c r="K375" s="90" t="str">
        <x:v>At hire; then on material revision</x:v>
      </x:c>
      <x:c r="L375" s="90" t="str">
        <x:v>Partial hold</x:v>
      </x:c>
      <x:c r="M375" s="90" t="str">
        <x:v>Defines OT evaluation/treatment scope and COTA supervision duties.</x:v>
      </x:c>
      <x:c r="N375" s="90" t="str">
        <x:v>12-allPoliciesContent.generated.ts — CL-SD-003</x:v>
      </x:c>
      <x:c r="O375" s="90" t="str">
        <x:v>https://www.ecfr.gov/current/title-42/part-484/section-484.75</x:v>
      </x:c>
      <x:c r="P375" s="90" t="str"/>
    </x:row>
    <x:row r="376" ht="42" customHeight="1">
      <x:c r="A376" s="90" t="str">
        <x:v>OT-01</x:v>
      </x:c>
      <x:c r="B376" s="90" t="str">
        <x:v>OT</x:v>
      </x:c>
      <x:c r="C376" s="90" t="str">
        <x:v>CL-SD-008</x:v>
      </x:c>
      <x:c r="D376" s="90" t="str">
        <x:v>Clinical Supervision &amp; Oversight</x:v>
      </x:c>
      <x:c r="E376" s="90" t="str">
        <x:v>Core</x:v>
      </x:c>
      <x:c r="F376" s="90" t="str">
        <x:v>Yes</x:v>
      </x:c>
      <x:c r="G376" s="90" t="str">
        <x:v>Yes — bundled</x:v>
      </x:c>
      <x:c r="H376" s="90" t="str">
        <x:v>OT Job Duties, Scope, Supervision &amp; Competency</x:v>
      </x:c>
      <x:c r="I376" s="90" t="str">
        <x:v>80% quiz plus discipline competency validation</x:v>
      </x:c>
      <x:c r="J376" s="90" t="str">
        <x:v>By day 14; before independent duty if earlier</x:v>
      </x:c>
      <x:c r="K376" s="90" t="str">
        <x:v>At hire; then on material revision</x:v>
      </x:c>
      <x:c r="L376" s="90" t="str">
        <x:v>Partial hold</x:v>
      </x:c>
      <x:c r="M376" s="90" t="str">
        <x:v>Defines OT evaluation/treatment scope and COTA supervision duties.</x:v>
      </x:c>
      <x:c r="N376" s="90" t="str">
        <x:v>12-allPoliciesContent.generated.ts — CL-SD-008</x:v>
      </x:c>
      <x:c r="O376" s="90" t="str">
        <x:v>https://www.ecfr.gov/current/title-42/part-484/section-484.75</x:v>
      </x:c>
      <x:c r="P376" s="90" t="str"/>
    </x:row>
    <x:row r="377" ht="42" customHeight="1">
      <x:c r="A377" s="90" t="str">
        <x:v>OT-01</x:v>
      </x:c>
      <x:c r="B377" s="90" t="str">
        <x:v>OT</x:v>
      </x:c>
      <x:c r="C377" s="90" t="str">
        <x:v>HR-TA-006</x:v>
      </x:c>
      <x:c r="D377" s="90" t="str">
        <x:v>Job Description &amp; Role Definition</x:v>
      </x:c>
      <x:c r="E377" s="90" t="str">
        <x:v>Core</x:v>
      </x:c>
      <x:c r="F377" s="90" t="str">
        <x:v>Yes</x:v>
      </x:c>
      <x:c r="G377" s="90" t="str">
        <x:v>Yes — bundled</x:v>
      </x:c>
      <x:c r="H377" s="90" t="str">
        <x:v>OT Job Duties, Scope, Supervision &amp; Competency</x:v>
      </x:c>
      <x:c r="I377" s="90" t="str">
        <x:v>80% quiz plus discipline competency validation</x:v>
      </x:c>
      <x:c r="J377" s="90" t="str">
        <x:v>By day 14; before independent duty if earlier</x:v>
      </x:c>
      <x:c r="K377" s="90" t="str">
        <x:v>At hire; then on material revision</x:v>
      </x:c>
      <x:c r="L377" s="90" t="str">
        <x:v>Partial hold</x:v>
      </x:c>
      <x:c r="M377" s="90" t="str">
        <x:v>Defines OT evaluation/treatment scope and COTA supervision duties.</x:v>
      </x:c>
      <x:c r="N377" s="90" t="str">
        <x:v>12-allPoliciesContent.generated.ts — HR-TA-006</x:v>
      </x:c>
      <x:c r="O377" s="90" t="str"/>
      <x:c r="P377" s="90" t="str"/>
    </x:row>
    <x:row r="378" ht="42" customHeight="1">
      <x:c r="A378" s="90" t="str">
        <x:v>OT-01</x:v>
      </x:c>
      <x:c r="B378" s="90" t="str">
        <x:v>OT</x:v>
      </x:c>
      <x:c r="C378" s="90" t="str">
        <x:v>HR-TD-003</x:v>
      </x:c>
      <x:c r="D378" s="90" t="str">
        <x:v>Clinical Staff Competency Evaluation</x:v>
      </x:c>
      <x:c r="E378" s="90" t="str">
        <x:v>Core</x:v>
      </x:c>
      <x:c r="F378" s="90" t="str">
        <x:v>Yes</x:v>
      </x:c>
      <x:c r="G378" s="90" t="str">
        <x:v>Yes — bundled</x:v>
      </x:c>
      <x:c r="H378" s="90" t="str">
        <x:v>OT Job Duties, Scope, Supervision &amp; Competency</x:v>
      </x:c>
      <x:c r="I378" s="90" t="str">
        <x:v>80% quiz plus discipline competency validation</x:v>
      </x:c>
      <x:c r="J378" s="90" t="str">
        <x:v>By day 14; before independent duty if earlier</x:v>
      </x:c>
      <x:c r="K378" s="90" t="str">
        <x:v>At hire; then on material revision</x:v>
      </x:c>
      <x:c r="L378" s="90" t="str">
        <x:v>Partial hold</x:v>
      </x:c>
      <x:c r="M378" s="90" t="str">
        <x:v>Defines OT evaluation/treatment scope and COTA supervision duties.</x:v>
      </x:c>
      <x:c r="N378" s="90" t="str">
        <x:v>12-allPoliciesContent.generated.ts — HR-TD-003</x:v>
      </x:c>
      <x:c r="O378" s="90" t="str"/>
      <x:c r="P378" s="90" t="str"/>
    </x:row>
    <x:row r="379" ht="42" customHeight="1">
      <x:c r="A379" s="90" t="str">
        <x:v>OT-02</x:v>
      </x:c>
      <x:c r="B379" s="90" t="str">
        <x:v>OT</x:v>
      </x:c>
      <x:c r="C379" s="90" t="str">
        <x:v>CL-CD-001</x:v>
      </x:c>
      <x:c r="D379" s="90" t="str">
        <x:v>Clinical Documentation Standards</x:v>
      </x:c>
      <x:c r="E379" s="90" t="str">
        <x:v>Core</x:v>
      </x:c>
      <x:c r="F379" s="90" t="str">
        <x:v>Yes</x:v>
      </x:c>
      <x:c r="G379" s="90" t="str">
        <x:v>Yes — bundled</x:v>
      </x:c>
      <x:c r="H379" s="90" t="str">
        <x:v>Therapy Documentation, Coordination &amp; Field Safety</x:v>
      </x:c>
      <x:c r="I379" s="90" t="str">
        <x:v>80% quiz plus documentation/field-safety scenarios</x:v>
      </x:c>
      <x:c r="J379" s="90" t="str">
        <x:v>By day 14; before independent duty if earlier</x:v>
      </x:c>
      <x:c r="K379" s="90" t="str">
        <x:v>At hire; then on material revision</x:v>
      </x:c>
      <x:c r="L379" s="90" t="str">
        <x:v>Ready</x:v>
      </x:c>
      <x:c r="M379" s="90" t="str">
        <x:v>Common professional therapy duties for documentation, orders, transitions, patient safeguards, and field safety.</x:v>
      </x:c>
      <x:c r="N379" s="90" t="str">
        <x:v>12-allPoliciesContent.generated.ts — CL-CD-001</x:v>
      </x:c>
      <x:c r="O379" s="90" t="str">
        <x:v>https://www.ecfr.gov/current/title-42/part-484/section-484.110</x:v>
      </x:c>
      <x:c r="P379" s="90" t="str"/>
    </x:row>
    <x:row r="380" ht="42" customHeight="1">
      <x:c r="A380" s="90" t="str">
        <x:v>OT-02</x:v>
      </x:c>
      <x:c r="B380" s="90" t="str">
        <x:v>OT</x:v>
      </x:c>
      <x:c r="C380" s="90" t="str">
        <x:v>CL-CD-002</x:v>
      </x:c>
      <x:c r="D380" s="90" t="str">
        <x:v>Clinical Record Content &amp; Organization</x:v>
      </x:c>
      <x:c r="E380" s="90" t="str">
        <x:v>Core</x:v>
      </x:c>
      <x:c r="F380" s="90" t="str">
        <x:v>Yes</x:v>
      </x:c>
      <x:c r="G380" s="90" t="str">
        <x:v>Yes — bundled</x:v>
      </x:c>
      <x:c r="H380" s="90" t="str">
        <x:v>Therapy Documentation, Coordination &amp; Field Safety</x:v>
      </x:c>
      <x:c r="I380" s="90" t="str">
        <x:v>80% quiz plus documentation/field-safety scenarios</x:v>
      </x:c>
      <x:c r="J380" s="90" t="str">
        <x:v>By day 14; before independent duty if earlier</x:v>
      </x:c>
      <x:c r="K380" s="90" t="str">
        <x:v>At hire; then on material revision</x:v>
      </x:c>
      <x:c r="L380" s="90" t="str">
        <x:v>Ready</x:v>
      </x:c>
      <x:c r="M380" s="90" t="str">
        <x:v>Common professional therapy duties for documentation, orders, transitions, patient safeguards, and field safety.</x:v>
      </x:c>
      <x:c r="N380" s="90" t="str">
        <x:v>12-allPoliciesContent.generated.ts — CL-CD-002</x:v>
      </x:c>
      <x:c r="O380" s="90" t="str">
        <x:v>https://www.ecfr.gov/current/title-42/part-484/section-484.110</x:v>
      </x:c>
      <x:c r="P380" s="90" t="str"/>
    </x:row>
    <x:row r="381" ht="42" customHeight="1">
      <x:c r="A381" s="90" t="str">
        <x:v>OT-02</x:v>
      </x:c>
      <x:c r="B381" s="90" t="str">
        <x:v>OT</x:v>
      </x:c>
      <x:c r="C381" s="90" t="str">
        <x:v>CL-CD-003</x:v>
      </x:c>
      <x:c r="D381" s="90" t="str">
        <x:v>Clinical Record Authentication &amp; Signature Requirements</x:v>
      </x:c>
      <x:c r="E381" s="90" t="str">
        <x:v>Core</x:v>
      </x:c>
      <x:c r="F381" s="90" t="str">
        <x:v>Yes</x:v>
      </x:c>
      <x:c r="G381" s="90" t="str">
        <x:v>Yes — bundled</x:v>
      </x:c>
      <x:c r="H381" s="90" t="str">
        <x:v>Therapy Documentation, Coordination &amp; Field Safety</x:v>
      </x:c>
      <x:c r="I381" s="90" t="str">
        <x:v>80% quiz plus documentation/field-safety scenarios</x:v>
      </x:c>
      <x:c r="J381" s="90" t="str">
        <x:v>By day 14; before independent duty if earlier</x:v>
      </x:c>
      <x:c r="K381" s="90" t="str">
        <x:v>At hire; then on material revision</x:v>
      </x:c>
      <x:c r="L381" s="90" t="str">
        <x:v>Ready</x:v>
      </x:c>
      <x:c r="M381" s="90" t="str">
        <x:v>Common professional therapy duties for documentation, orders, transitions, patient safeguards, and field safety.</x:v>
      </x:c>
      <x:c r="N381" s="90" t="str">
        <x:v>12-allPoliciesContent.generated.ts — CL-CD-003</x:v>
      </x:c>
      <x:c r="O381" s="90" t="str">
        <x:v>https://www.ecfr.gov/current/title-42/part-484/section-484.110</x:v>
      </x:c>
      <x:c r="P381" s="90" t="str"/>
    </x:row>
    <x:row r="382" ht="42" customHeight="1">
      <x:c r="A382" s="90" t="str">
        <x:v>OT-02</x:v>
      </x:c>
      <x:c r="B382" s="90" t="str">
        <x:v>OT</x:v>
      </x:c>
      <x:c r="C382" s="90" t="str">
        <x:v>CL-CD-004</x:v>
      </x:c>
      <x:c r="D382" s="90" t="str">
        <x:v>Timely Documentation Completion &amp; Lock Requirements</x:v>
      </x:c>
      <x:c r="E382" s="90" t="str">
        <x:v>Core</x:v>
      </x:c>
      <x:c r="F382" s="90" t="str">
        <x:v>Yes</x:v>
      </x:c>
      <x:c r="G382" s="90" t="str">
        <x:v>Yes — bundled</x:v>
      </x:c>
      <x:c r="H382" s="90" t="str">
        <x:v>Therapy Documentation, Coordination &amp; Field Safety</x:v>
      </x:c>
      <x:c r="I382" s="90" t="str">
        <x:v>80% quiz plus documentation/field-safety scenarios</x:v>
      </x:c>
      <x:c r="J382" s="90" t="str">
        <x:v>By day 14; before independent duty if earlier</x:v>
      </x:c>
      <x:c r="K382" s="90" t="str">
        <x:v>At hire; then on material revision</x:v>
      </x:c>
      <x:c r="L382" s="90" t="str">
        <x:v>Ready</x:v>
      </x:c>
      <x:c r="M382" s="90" t="str">
        <x:v>Common professional therapy duties for documentation, orders, transitions, patient safeguards, and field safety.</x:v>
      </x:c>
      <x:c r="N382" s="90" t="str">
        <x:v>12-allPoliciesContent.generated.ts — CL-CD-004</x:v>
      </x:c>
      <x:c r="O382" s="90" t="str">
        <x:v>https://www.ecfr.gov/current/title-42/part-484/section-484.110</x:v>
      </x:c>
      <x:c r="P382" s="90" t="str"/>
    </x:row>
    <x:row r="383" ht="42" customHeight="1">
      <x:c r="A383" s="90" t="str">
        <x:v>OT-02</x:v>
      </x:c>
      <x:c r="B383" s="90" t="str">
        <x:v>OT</x:v>
      </x:c>
      <x:c r="C383" s="90" t="str">
        <x:v>CO-DC-003</x:v>
      </x:c>
      <x:c r="D383" s="90" t="str">
        <x:v>Late Entry, Correction &amp; Amendment Standards</x:v>
      </x:c>
      <x:c r="E383" s="90" t="str">
        <x:v>Core</x:v>
      </x:c>
      <x:c r="F383" s="90" t="str">
        <x:v>Yes</x:v>
      </x:c>
      <x:c r="G383" s="90" t="str">
        <x:v>Yes — bundled</x:v>
      </x:c>
      <x:c r="H383" s="90" t="str">
        <x:v>Therapy Documentation, Coordination &amp; Field Safety</x:v>
      </x:c>
      <x:c r="I383" s="90" t="str">
        <x:v>80% quiz plus documentation/field-safety scenarios</x:v>
      </x:c>
      <x:c r="J383" s="90" t="str">
        <x:v>By day 14; before independent duty if earlier</x:v>
      </x:c>
      <x:c r="K383" s="90" t="str">
        <x:v>At hire; then on material revision</x:v>
      </x:c>
      <x:c r="L383" s="90" t="str">
        <x:v>Ready</x:v>
      </x:c>
      <x:c r="M383" s="90" t="str">
        <x:v>Common professional therapy duties for documentation, orders, transitions, patient safeguards, and field safety.</x:v>
      </x:c>
      <x:c r="N383" s="90" t="str">
        <x:v>12-allPoliciesContent.generated.ts — CO-DC-003</x:v>
      </x:c>
      <x:c r="O383" s="90" t="str">
        <x:v>https://www.ecfr.gov/current/title-42/part-484/section-484.110</x:v>
      </x:c>
      <x:c r="P383" s="90" t="str"/>
    </x:row>
    <x:row r="384" ht="42" customHeight="1">
      <x:c r="A384" s="90" t="str">
        <x:v>OT-02</x:v>
      </x:c>
      <x:c r="B384" s="90" t="str">
        <x:v>OT</x:v>
      </x:c>
      <x:c r="C384" s="90" t="str">
        <x:v>CL-CP-001</x:v>
      </x:c>
      <x:c r="D384" s="90" t="str">
        <x:v>Plan of Care Development &amp; Approval</x:v>
      </x:c>
      <x:c r="E384" s="90" t="str">
        <x:v>Core</x:v>
      </x:c>
      <x:c r="F384" s="90" t="str">
        <x:v>Yes</x:v>
      </x:c>
      <x:c r="G384" s="90" t="str">
        <x:v>Yes — bundled</x:v>
      </x:c>
      <x:c r="H384" s="90" t="str">
        <x:v>Therapy Documentation, Coordination &amp; Field Safety</x:v>
      </x:c>
      <x:c r="I384" s="90" t="str">
        <x:v>80% quiz plus documentation/field-safety scenarios</x:v>
      </x:c>
      <x:c r="J384" s="90" t="str">
        <x:v>By day 14; before independent duty if earlier</x:v>
      </x:c>
      <x:c r="K384" s="90" t="str">
        <x:v>At hire; then on material revision</x:v>
      </x:c>
      <x:c r="L384" s="90" t="str">
        <x:v>Ready</x:v>
      </x:c>
      <x:c r="M384" s="90" t="str">
        <x:v>Common professional therapy duties for documentation, orders, transitions, patient safeguards, and field safety.</x:v>
      </x:c>
      <x:c r="N384" s="90" t="str">
        <x:v>12-allPoliciesContent.generated.ts — CL-CP-001</x:v>
      </x:c>
      <x:c r="O384" s="90" t="str">
        <x:v>https://www.ecfr.gov/current/title-42/part-484/section-484.60</x:v>
      </x:c>
      <x:c r="P384" s="90" t="str"/>
    </x:row>
    <x:row r="385" ht="42" customHeight="1">
      <x:c r="A385" s="90" t="str">
        <x:v>OT-02</x:v>
      </x:c>
      <x:c r="B385" s="90" t="str">
        <x:v>OT</x:v>
      </x:c>
      <x:c r="C385" s="90" t="str">
        <x:v>CL-CP-002</x:v>
      </x:c>
      <x:c r="D385" s="90" t="str">
        <x:v>Plan of Care Review &amp; Update</x:v>
      </x:c>
      <x:c r="E385" s="90" t="str">
        <x:v>Core</x:v>
      </x:c>
      <x:c r="F385" s="90" t="str">
        <x:v>Yes</x:v>
      </x:c>
      <x:c r="G385" s="90" t="str">
        <x:v>Yes — bundled</x:v>
      </x:c>
      <x:c r="H385" s="90" t="str">
        <x:v>Therapy Documentation, Coordination &amp; Field Safety</x:v>
      </x:c>
      <x:c r="I385" s="90" t="str">
        <x:v>80% quiz plus documentation/field-safety scenarios</x:v>
      </x:c>
      <x:c r="J385" s="90" t="str">
        <x:v>By day 14; before independent duty if earlier</x:v>
      </x:c>
      <x:c r="K385" s="90" t="str">
        <x:v>At hire; then on material revision</x:v>
      </x:c>
      <x:c r="L385" s="90" t="str">
        <x:v>Ready</x:v>
      </x:c>
      <x:c r="M385" s="90" t="str">
        <x:v>Common professional therapy duties for documentation, orders, transitions, patient safeguards, and field safety.</x:v>
      </x:c>
      <x:c r="N385" s="90" t="str">
        <x:v>12-allPoliciesContent.generated.ts — CL-CP-002</x:v>
      </x:c>
      <x:c r="O385" s="90" t="str">
        <x:v>https://www.ecfr.gov/current/title-42/part-484/section-484.60</x:v>
      </x:c>
      <x:c r="P385" s="90" t="str"/>
    </x:row>
    <x:row r="386" ht="42" customHeight="1">
      <x:c r="A386" s="90" t="str">
        <x:v>OT-02</x:v>
      </x:c>
      <x:c r="B386" s="90" t="str">
        <x:v>OT</x:v>
      </x:c>
      <x:c r="C386" s="90" t="str">
        <x:v>CL-CP-003</x:v>
      </x:c>
      <x:c r="D386" s="90" t="str">
        <x:v>Physician Orders &amp; Order Management</x:v>
      </x:c>
      <x:c r="E386" s="90" t="str">
        <x:v>Core</x:v>
      </x:c>
      <x:c r="F386" s="90" t="str">
        <x:v>Yes</x:v>
      </x:c>
      <x:c r="G386" s="90" t="str">
        <x:v>Yes — bundled</x:v>
      </x:c>
      <x:c r="H386" s="90" t="str">
        <x:v>Therapy Documentation, Coordination &amp; Field Safety</x:v>
      </x:c>
      <x:c r="I386" s="90" t="str">
        <x:v>80% quiz plus documentation/field-safety scenarios</x:v>
      </x:c>
      <x:c r="J386" s="90" t="str">
        <x:v>By day 14; before independent duty if earlier</x:v>
      </x:c>
      <x:c r="K386" s="90" t="str">
        <x:v>At hire; then on material revision</x:v>
      </x:c>
      <x:c r="L386" s="90" t="str">
        <x:v>Ready</x:v>
      </x:c>
      <x:c r="M386" s="90" t="str">
        <x:v>Common professional therapy duties for documentation, orders, transitions, patient safeguards, and field safety.</x:v>
      </x:c>
      <x:c r="N386" s="90" t="str">
        <x:v>12-allPoliciesContent.generated.ts — CL-CP-003</x:v>
      </x:c>
      <x:c r="O386" s="90" t="str">
        <x:v>https://www.ecfr.gov/current/title-42/part-484/section-484.60</x:v>
      </x:c>
      <x:c r="P386" s="90" t="str"/>
    </x:row>
    <x:row r="387" ht="42" customHeight="1">
      <x:c r="A387" s="90" t="str">
        <x:v>OT-02</x:v>
      </x:c>
      <x:c r="B387" s="90" t="str">
        <x:v>OT</x:v>
      </x:c>
      <x:c r="C387" s="90" t="str">
        <x:v>CL-CP-005</x:v>
      </x:c>
      <x:c r="D387" s="90" t="str">
        <x:v>Coordination of Care</x:v>
      </x:c>
      <x:c r="E387" s="90" t="str">
        <x:v>Core</x:v>
      </x:c>
      <x:c r="F387" s="90" t="str">
        <x:v>Yes</x:v>
      </x:c>
      <x:c r="G387" s="90" t="str">
        <x:v>Yes — bundled</x:v>
      </x:c>
      <x:c r="H387" s="90" t="str">
        <x:v>Therapy Documentation, Coordination &amp; Field Safety</x:v>
      </x:c>
      <x:c r="I387" s="90" t="str">
        <x:v>80% quiz plus documentation/field-safety scenarios</x:v>
      </x:c>
      <x:c r="J387" s="90" t="str">
        <x:v>By day 14; before independent duty if earlier</x:v>
      </x:c>
      <x:c r="K387" s="90" t="str">
        <x:v>At hire; then on material revision</x:v>
      </x:c>
      <x:c r="L387" s="90" t="str">
        <x:v>Ready</x:v>
      </x:c>
      <x:c r="M387" s="90" t="str">
        <x:v>Common professional therapy duties for documentation, orders, transitions, patient safeguards, and field safety.</x:v>
      </x:c>
      <x:c r="N387" s="90" t="str">
        <x:v>12-allPoliciesContent.generated.ts — CL-CP-005</x:v>
      </x:c>
      <x:c r="O387" s="90" t="str">
        <x:v>https://www.ecfr.gov/current/title-42/part-484/section-484.60</x:v>
      </x:c>
      <x:c r="P387" s="90" t="str"/>
    </x:row>
    <x:row r="388" ht="42" customHeight="1">
      <x:c r="A388" s="90" t="str">
        <x:v>OT-02</x:v>
      </x:c>
      <x:c r="B388" s="90" t="str">
        <x:v>OT</x:v>
      </x:c>
      <x:c r="C388" s="90" t="str">
        <x:v>CL-CP-006</x:v>
      </x:c>
      <x:c r="D388" s="90" t="str">
        <x:v>Discharge Planning &amp; Criteria</x:v>
      </x:c>
      <x:c r="E388" s="90" t="str">
        <x:v>Core</x:v>
      </x:c>
      <x:c r="F388" s="90" t="str">
        <x:v>Yes</x:v>
      </x:c>
      <x:c r="G388" s="90" t="str">
        <x:v>Yes — bundled</x:v>
      </x:c>
      <x:c r="H388" s="90" t="str">
        <x:v>Therapy Documentation, Coordination &amp; Field Safety</x:v>
      </x:c>
      <x:c r="I388" s="90" t="str">
        <x:v>80% quiz plus documentation/field-safety scenarios</x:v>
      </x:c>
      <x:c r="J388" s="90" t="str">
        <x:v>By day 14; before independent duty if earlier</x:v>
      </x:c>
      <x:c r="K388" s="90" t="str">
        <x:v>At hire; then on material revision</x:v>
      </x:c>
      <x:c r="L388" s="90" t="str">
        <x:v>Ready</x:v>
      </x:c>
      <x:c r="M388" s="90" t="str">
        <x:v>Common professional therapy duties for documentation, orders, transitions, patient safeguards, and field safety.</x:v>
      </x:c>
      <x:c r="N388" s="90" t="str">
        <x:v>12-allPoliciesContent.generated.ts — CL-CP-006</x:v>
      </x:c>
      <x:c r="O388" s="90" t="str">
        <x:v>https://www.ecfr.gov/current/title-42/part-484/section-484.60</x:v>
      </x:c>
      <x:c r="P388" s="90" t="str"/>
    </x:row>
    <x:row r="389" ht="42" customHeight="1">
      <x:c r="A389" s="90" t="str">
        <x:v>OT-02</x:v>
      </x:c>
      <x:c r="B389" s="90" t="str">
        <x:v>OT</x:v>
      </x:c>
      <x:c r="C389" s="90" t="str">
        <x:v>CL-CP-007</x:v>
      </x:c>
      <x:c r="D389" s="90" t="str">
        <x:v>Transfer &amp; Referral Procedures</x:v>
      </x:c>
      <x:c r="E389" s="90" t="str">
        <x:v>Core</x:v>
      </x:c>
      <x:c r="F389" s="90" t="str">
        <x:v>Yes</x:v>
      </x:c>
      <x:c r="G389" s="90" t="str">
        <x:v>Yes — bundled</x:v>
      </x:c>
      <x:c r="H389" s="90" t="str">
        <x:v>Therapy Documentation, Coordination &amp; Field Safety</x:v>
      </x:c>
      <x:c r="I389" s="90" t="str">
        <x:v>80% quiz plus documentation/field-safety scenarios</x:v>
      </x:c>
      <x:c r="J389" s="90" t="str">
        <x:v>By day 14; before independent duty if earlier</x:v>
      </x:c>
      <x:c r="K389" s="90" t="str">
        <x:v>At hire; then on material revision</x:v>
      </x:c>
      <x:c r="L389" s="90" t="str">
        <x:v>Ready</x:v>
      </x:c>
      <x:c r="M389" s="90" t="str">
        <x:v>Common professional therapy duties for documentation, orders, transitions, patient safeguards, and field safety.</x:v>
      </x:c>
      <x:c r="N389" s="90" t="str">
        <x:v>12-allPoliciesContent.generated.ts — CL-CP-007</x:v>
      </x:c>
      <x:c r="O389" s="90" t="str">
        <x:v>https://www.ecfr.gov/current/title-42/part-484/section-484.60</x:v>
      </x:c>
      <x:c r="P389" s="90" t="str"/>
    </x:row>
    <x:row r="390" ht="42" customHeight="1">
      <x:c r="A390" s="90" t="str">
        <x:v>OT-02</x:v>
      </x:c>
      <x:c r="B390" s="90" t="str">
        <x:v>OT</x:v>
      </x:c>
      <x:c r="C390" s="90" t="str">
        <x:v>CL-CC-101</x:v>
      </x:c>
      <x:c r="D390" s="90" t="str">
        <x:v>Care Coordination &amp; SDOH Management</x:v>
      </x:c>
      <x:c r="E390" s="90" t="str">
        <x:v>Core</x:v>
      </x:c>
      <x:c r="F390" s="90" t="str">
        <x:v>Yes</x:v>
      </x:c>
      <x:c r="G390" s="90" t="str">
        <x:v>Yes — bundled</x:v>
      </x:c>
      <x:c r="H390" s="90" t="str">
        <x:v>Therapy Documentation, Coordination &amp; Field Safety</x:v>
      </x:c>
      <x:c r="I390" s="90" t="str">
        <x:v>80% quiz plus documentation/field-safety scenarios</x:v>
      </x:c>
      <x:c r="J390" s="90" t="str">
        <x:v>By day 14; before independent duty if earlier</x:v>
      </x:c>
      <x:c r="K390" s="90" t="str">
        <x:v>At hire; then on material revision</x:v>
      </x:c>
      <x:c r="L390" s="90" t="str">
        <x:v>Ready</x:v>
      </x:c>
      <x:c r="M390" s="90" t="str">
        <x:v>Common professional therapy duties for documentation, orders, transitions, patient safeguards, and field safety.</x:v>
      </x:c>
      <x:c r="N390" s="90" t="str">
        <x:v>12-allPoliciesContent.generated.ts — CL-CC-101</x:v>
      </x:c>
      <x:c r="O390" s="90" t="str">
        <x:v>https://www.ecfr.gov/current/title-42/part-484/section-484.60</x:v>
      </x:c>
      <x:c r="P390" s="90" t="str"/>
    </x:row>
    <x:row r="391" ht="42" customHeight="1">
      <x:c r="A391" s="90" t="str">
        <x:v>OT-02</x:v>
      </x:c>
      <x:c r="B391" s="90" t="str">
        <x:v>OT</x:v>
      </x:c>
      <x:c r="C391" s="90" t="str">
        <x:v>CL-PR-002</x:v>
      </x:c>
      <x:c r="D391" s="90" t="str">
        <x:v>Advance Directive Compliance</x:v>
      </x:c>
      <x:c r="E391" s="90" t="str">
        <x:v>Core</x:v>
      </x:c>
      <x:c r="F391" s="90" t="str">
        <x:v>Yes</x:v>
      </x:c>
      <x:c r="G391" s="90" t="str">
        <x:v>Yes — bundled</x:v>
      </x:c>
      <x:c r="H391" s="90" t="str">
        <x:v>Therapy Documentation, Coordination &amp; Field Safety</x:v>
      </x:c>
      <x:c r="I391" s="90" t="str">
        <x:v>80% quiz plus documentation/field-safety scenarios</x:v>
      </x:c>
      <x:c r="J391" s="90" t="str">
        <x:v>By day 14; before independent duty if earlier</x:v>
      </x:c>
      <x:c r="K391" s="90" t="str">
        <x:v>At hire; then on material revision</x:v>
      </x:c>
      <x:c r="L391" s="90" t="str">
        <x:v>Ready</x:v>
      </x:c>
      <x:c r="M391" s="90" t="str">
        <x:v>Common professional therapy duties for documentation, orders, transitions, patient safeguards, and field safety.</x:v>
      </x:c>
      <x:c r="N391" s="90" t="str">
        <x:v>12-allPoliciesContent.generated.ts — CL-PR-002</x:v>
      </x:c>
      <x:c r="O391" s="90" t="str">
        <x:v>https://www.ecfr.gov/current/title-42/part-484/section-484.50</x:v>
      </x:c>
      <x:c r="P391" s="90" t="str"/>
    </x:row>
    <x:row r="392" ht="42" customHeight="1">
      <x:c r="A392" s="90" t="str">
        <x:v>OT-02</x:v>
      </x:c>
      <x:c r="B392" s="90" t="str">
        <x:v>OT</x:v>
      </x:c>
      <x:c r="C392" s="90" t="str">
        <x:v>CL-PR-003</x:v>
      </x:c>
      <x:c r="D392" s="90" t="str">
        <x:v>Informed Consent</x:v>
      </x:c>
      <x:c r="E392" s="90" t="str">
        <x:v>Core</x:v>
      </x:c>
      <x:c r="F392" s="90" t="str">
        <x:v>Yes</x:v>
      </x:c>
      <x:c r="G392" s="90" t="str">
        <x:v>Yes — bundled</x:v>
      </x:c>
      <x:c r="H392" s="90" t="str">
        <x:v>Therapy Documentation, Coordination &amp; Field Safety</x:v>
      </x:c>
      <x:c r="I392" s="90" t="str">
        <x:v>80% quiz plus documentation/field-safety scenarios</x:v>
      </x:c>
      <x:c r="J392" s="90" t="str">
        <x:v>By day 14; before independent duty if earlier</x:v>
      </x:c>
      <x:c r="K392" s="90" t="str">
        <x:v>At hire; then on material revision</x:v>
      </x:c>
      <x:c r="L392" s="90" t="str">
        <x:v>Ready</x:v>
      </x:c>
      <x:c r="M392" s="90" t="str">
        <x:v>Common professional therapy duties for documentation, orders, transitions, patient safeguards, and field safety.</x:v>
      </x:c>
      <x:c r="N392" s="90" t="str">
        <x:v>12-allPoliciesContent.generated.ts — CL-PR-003</x:v>
      </x:c>
      <x:c r="O392" s="90" t="str">
        <x:v>https://www.ecfr.gov/current/title-42/part-484/section-484.50</x:v>
      </x:c>
      <x:c r="P392" s="90" t="str"/>
    </x:row>
    <x:row r="393" ht="42" customHeight="1">
      <x:c r="A393" s="90" t="str">
        <x:v>OT-02</x:v>
      </x:c>
      <x:c r="B393" s="90" t="str">
        <x:v>OT</x:v>
      </x:c>
      <x:c r="C393" s="90" t="str">
        <x:v>CL-PR-004</x:v>
      </x:c>
      <x:c r="D393" s="90" t="str">
        <x:v>Restraint &amp; Seclusion Prohibition</x:v>
      </x:c>
      <x:c r="E393" s="90" t="str">
        <x:v>Core</x:v>
      </x:c>
      <x:c r="F393" s="90" t="str">
        <x:v>Yes</x:v>
      </x:c>
      <x:c r="G393" s="90" t="str">
        <x:v>Yes — bundled</x:v>
      </x:c>
      <x:c r="H393" s="90" t="str">
        <x:v>Therapy Documentation, Coordination &amp; Field Safety</x:v>
      </x:c>
      <x:c r="I393" s="90" t="str">
        <x:v>80% quiz plus documentation/field-safety scenarios</x:v>
      </x:c>
      <x:c r="J393" s="90" t="str">
        <x:v>By day 14; before independent duty if earlier</x:v>
      </x:c>
      <x:c r="K393" s="90" t="str">
        <x:v>At hire; then on material revision</x:v>
      </x:c>
      <x:c r="L393" s="90" t="str">
        <x:v>Ready</x:v>
      </x:c>
      <x:c r="M393" s="90" t="str">
        <x:v>Common professional therapy duties for documentation, orders, transitions, patient safeguards, and field safety.</x:v>
      </x:c>
      <x:c r="N393" s="90" t="str">
        <x:v>12-allPoliciesContent.generated.ts — CL-PR-004</x:v>
      </x:c>
      <x:c r="O393" s="90" t="str">
        <x:v>https://www.ecfr.gov/current/title-42/part-484/section-484.50</x:v>
      </x:c>
      <x:c r="P393" s="90" t="str"/>
    </x:row>
    <x:row r="394" ht="42" customHeight="1">
      <x:c r="A394" s="90" t="str">
        <x:v>OT-02</x:v>
      </x:c>
      <x:c r="B394" s="90" t="str">
        <x:v>OT</x:v>
      </x:c>
      <x:c r="C394" s="90" t="str">
        <x:v>CL-PR-005</x:v>
      </x:c>
      <x:c r="D394" s="90" t="str">
        <x:v>Emergency Preparedness — Clinical</x:v>
      </x:c>
      <x:c r="E394" s="90" t="str">
        <x:v>Core</x:v>
      </x:c>
      <x:c r="F394" s="90" t="str">
        <x:v>Yes</x:v>
      </x:c>
      <x:c r="G394" s="90" t="str">
        <x:v>Yes — bundled</x:v>
      </x:c>
      <x:c r="H394" s="90" t="str">
        <x:v>Therapy Documentation, Coordination &amp; Field Safety</x:v>
      </x:c>
      <x:c r="I394" s="90" t="str">
        <x:v>80% quiz plus documentation/field-safety scenarios</x:v>
      </x:c>
      <x:c r="J394" s="90" t="str">
        <x:v>By day 14; before independent duty if earlier</x:v>
      </x:c>
      <x:c r="K394" s="90" t="str">
        <x:v>At hire; then on material revision</x:v>
      </x:c>
      <x:c r="L394" s="90" t="str">
        <x:v>Ready</x:v>
      </x:c>
      <x:c r="M394" s="90" t="str">
        <x:v>Common professional therapy duties for documentation, orders, transitions, patient safeguards, and field safety.</x:v>
      </x:c>
      <x:c r="N394" s="90" t="str">
        <x:v>12-allPoliciesContent.generated.ts — CL-PR-005</x:v>
      </x:c>
      <x:c r="O394" s="90" t="str">
        <x:v>https://www.ecfr.gov/current/title-42/part-484/section-484.50</x:v>
      </x:c>
      <x:c r="P394" s="90" t="str"/>
    </x:row>
    <x:row r="395" ht="42" customHeight="1">
      <x:c r="A395" s="90" t="str">
        <x:v>OT-02</x:v>
      </x:c>
      <x:c r="B395" s="90" t="str">
        <x:v>OT</x:v>
      </x:c>
      <x:c r="C395" s="90" t="str">
        <x:v>OP-PA-002</x:v>
      </x:c>
      <x:c r="D395" s="90" t="str">
        <x:v>Patient Identification &amp; Verification</x:v>
      </x:c>
      <x:c r="E395" s="90" t="str">
        <x:v>Core</x:v>
      </x:c>
      <x:c r="F395" s="90" t="str">
        <x:v>Yes</x:v>
      </x:c>
      <x:c r="G395" s="90" t="str">
        <x:v>Yes — bundled</x:v>
      </x:c>
      <x:c r="H395" s="90" t="str">
        <x:v>Therapy Documentation, Coordination &amp; Field Safety</x:v>
      </x:c>
      <x:c r="I395" s="90" t="str">
        <x:v>80% quiz plus documentation/field-safety scenarios</x:v>
      </x:c>
      <x:c r="J395" s="90" t="str">
        <x:v>By day 14; before independent duty if earlier</x:v>
      </x:c>
      <x:c r="K395" s="90" t="str">
        <x:v>At hire; then on material revision</x:v>
      </x:c>
      <x:c r="L395" s="90" t="str">
        <x:v>Ready</x:v>
      </x:c>
      <x:c r="M395" s="90" t="str">
        <x:v>Common professional therapy duties for documentation, orders, transitions, patient safeguards, and field safety.</x:v>
      </x:c>
      <x:c r="N395" s="90" t="str">
        <x:v>12-allPoliciesContent.generated.ts — OP-PA-002</x:v>
      </x:c>
      <x:c r="O395" s="90" t="str"/>
      <x:c r="P395" s="90" t="str"/>
    </x:row>
    <x:row r="396" ht="42" customHeight="1">
      <x:c r="A396" s="90" t="str">
        <x:v>OT-02</x:v>
      </x:c>
      <x:c r="B396" s="90" t="str">
        <x:v>OT</x:v>
      </x:c>
      <x:c r="C396" s="90" t="str">
        <x:v>OP-PA-003</x:v>
      </x:c>
      <x:c r="D396" s="90" t="str">
        <x:v>Interpreter &amp; Language Access Services</x:v>
      </x:c>
      <x:c r="E396" s="90" t="str">
        <x:v>Core</x:v>
      </x:c>
      <x:c r="F396" s="90" t="str">
        <x:v>Yes</x:v>
      </x:c>
      <x:c r="G396" s="90" t="str">
        <x:v>Yes — bundled</x:v>
      </x:c>
      <x:c r="H396" s="90" t="str">
        <x:v>Therapy Documentation, Coordination &amp; Field Safety</x:v>
      </x:c>
      <x:c r="I396" s="90" t="str">
        <x:v>80% quiz plus documentation/field-safety scenarios</x:v>
      </x:c>
      <x:c r="J396" s="90" t="str">
        <x:v>By day 14; before independent duty if earlier</x:v>
      </x:c>
      <x:c r="K396" s="90" t="str">
        <x:v>At hire; then on material revision</x:v>
      </x:c>
      <x:c r="L396" s="90" t="str">
        <x:v>Ready</x:v>
      </x:c>
      <x:c r="M396" s="90" t="str">
        <x:v>Common professional therapy duties for documentation, orders, transitions, patient safeguards, and field safety.</x:v>
      </x:c>
      <x:c r="N396" s="90" t="str">
        <x:v>12-allPoliciesContent.generated.ts — OP-PA-003</x:v>
      </x:c>
      <x:c r="O396" s="90" t="str"/>
      <x:c r="P396" s="90" t="str"/>
    </x:row>
    <x:row r="397" ht="42" customHeight="1">
      <x:c r="A397" s="90" t="str">
        <x:v>OT-02</x:v>
      </x:c>
      <x:c r="B397" s="90" t="str">
        <x:v>OT</x:v>
      </x:c>
      <x:c r="C397" s="90" t="str">
        <x:v>OP-PA-004</x:v>
      </x:c>
      <x:c r="D397" s="90" t="str">
        <x:v>Cultural Competency in Service Delivery</x:v>
      </x:c>
      <x:c r="E397" s="90" t="str">
        <x:v>Core</x:v>
      </x:c>
      <x:c r="F397" s="90" t="str">
        <x:v>Yes</x:v>
      </x:c>
      <x:c r="G397" s="90" t="str">
        <x:v>Yes — bundled</x:v>
      </x:c>
      <x:c r="H397" s="90" t="str">
        <x:v>Therapy Documentation, Coordination &amp; Field Safety</x:v>
      </x:c>
      <x:c r="I397" s="90" t="str">
        <x:v>80% quiz plus documentation/field-safety scenarios</x:v>
      </x:c>
      <x:c r="J397" s="90" t="str">
        <x:v>By day 14; before independent duty if earlier</x:v>
      </x:c>
      <x:c r="K397" s="90" t="str">
        <x:v>At hire; then on material revision</x:v>
      </x:c>
      <x:c r="L397" s="90" t="str">
        <x:v>Ready</x:v>
      </x:c>
      <x:c r="M397" s="90" t="str">
        <x:v>Common professional therapy duties for documentation, orders, transitions, patient safeguards, and field safety.</x:v>
      </x:c>
      <x:c r="N397" s="90" t="str">
        <x:v>12-allPoliciesContent.generated.ts — OP-PA-004</x:v>
      </x:c>
      <x:c r="O397" s="90" t="str"/>
      <x:c r="P397" s="90" t="str"/>
    </x:row>
    <x:row r="398" ht="42" customHeight="1">
      <x:c r="A398" s="90" t="str">
        <x:v>OT-02</x:v>
      </x:c>
      <x:c r="B398" s="90" t="str">
        <x:v>OT</x:v>
      </x:c>
      <x:c r="C398" s="90" t="str">
        <x:v>OP-PA-005</x:v>
      </x:c>
      <x:c r="D398" s="90" t="str">
        <x:v>Patient Property &amp; Belongings</x:v>
      </x:c>
      <x:c r="E398" s="90" t="str">
        <x:v>Core</x:v>
      </x:c>
      <x:c r="F398" s="90" t="str">
        <x:v>Yes</x:v>
      </x:c>
      <x:c r="G398" s="90" t="str">
        <x:v>Yes — bundled</x:v>
      </x:c>
      <x:c r="H398" s="90" t="str">
        <x:v>Therapy Documentation, Coordination &amp; Field Safety</x:v>
      </x:c>
      <x:c r="I398" s="90" t="str">
        <x:v>80% quiz plus documentation/field-safety scenarios</x:v>
      </x:c>
      <x:c r="J398" s="90" t="str">
        <x:v>By day 14; before independent duty if earlier</x:v>
      </x:c>
      <x:c r="K398" s="90" t="str">
        <x:v>At hire; then on material revision</x:v>
      </x:c>
      <x:c r="L398" s="90" t="str">
        <x:v>Ready</x:v>
      </x:c>
      <x:c r="M398" s="90" t="str">
        <x:v>Common professional therapy duties for documentation, orders, transitions, patient safeguards, and field safety.</x:v>
      </x:c>
      <x:c r="N398" s="90" t="str">
        <x:v>12-allPoliciesContent.generated.ts — OP-PA-005</x:v>
      </x:c>
      <x:c r="O398" s="90" t="str"/>
      <x:c r="P398" s="90" t="str"/>
    </x:row>
    <x:row r="399" ht="42" customHeight="1">
      <x:c r="A399" s="90" t="str">
        <x:v>OT-02</x:v>
      </x:c>
      <x:c r="B399" s="90" t="str">
        <x:v>OT</x:v>
      </x:c>
      <x:c r="C399" s="90" t="str">
        <x:v>OP-SL-001</x:v>
      </x:c>
      <x:c r="D399" s="90" t="str">
        <x:v>Scheduling &amp; Visit Management</x:v>
      </x:c>
      <x:c r="E399" s="90" t="str">
        <x:v>Core</x:v>
      </x:c>
      <x:c r="F399" s="90" t="str">
        <x:v>Yes</x:v>
      </x:c>
      <x:c r="G399" s="90" t="str">
        <x:v>Yes — bundled</x:v>
      </x:c>
      <x:c r="H399" s="90" t="str">
        <x:v>Therapy Documentation, Coordination &amp; Field Safety</x:v>
      </x:c>
      <x:c r="I399" s="90" t="str">
        <x:v>80% quiz plus documentation/field-safety scenarios</x:v>
      </x:c>
      <x:c r="J399" s="90" t="str">
        <x:v>By day 14; before independent duty if earlier</x:v>
      </x:c>
      <x:c r="K399" s="90" t="str">
        <x:v>At hire; then on material revision</x:v>
      </x:c>
      <x:c r="L399" s="90" t="str">
        <x:v>Ready</x:v>
      </x:c>
      <x:c r="M399" s="90" t="str">
        <x:v>Common professional therapy duties for documentation, orders, transitions, patient safeguards, and field safety.</x:v>
      </x:c>
      <x:c r="N399" s="90" t="str">
        <x:v>12-allPoliciesContent.generated.ts — OP-SL-001</x:v>
      </x:c>
      <x:c r="O399" s="90" t="str"/>
      <x:c r="P399" s="90" t="str"/>
    </x:row>
    <x:row r="400" ht="42" customHeight="1">
      <x:c r="A400" s="90" t="str">
        <x:v>OT-02</x:v>
      </x:c>
      <x:c r="B400" s="90" t="str">
        <x:v>OT</x:v>
      </x:c>
      <x:c r="C400" s="90" t="str">
        <x:v>OP-SL-004</x:v>
      </x:c>
      <x:c r="D400" s="90" t="str">
        <x:v>Equipment &amp; Supply Management</x:v>
      </x:c>
      <x:c r="E400" s="90" t="str">
        <x:v>Core</x:v>
      </x:c>
      <x:c r="F400" s="90" t="str">
        <x:v>Yes</x:v>
      </x:c>
      <x:c r="G400" s="90" t="str">
        <x:v>Yes — bundled</x:v>
      </x:c>
      <x:c r="H400" s="90" t="str">
        <x:v>Therapy Documentation, Coordination &amp; Field Safety</x:v>
      </x:c>
      <x:c r="I400" s="90" t="str">
        <x:v>80% quiz plus documentation/field-safety scenarios</x:v>
      </x:c>
      <x:c r="J400" s="90" t="str">
        <x:v>By day 14; before independent duty if earlier</x:v>
      </x:c>
      <x:c r="K400" s="90" t="str">
        <x:v>At hire; then on material revision</x:v>
      </x:c>
      <x:c r="L400" s="90" t="str">
        <x:v>Ready</x:v>
      </x:c>
      <x:c r="M400" s="90" t="str">
        <x:v>Common professional therapy duties for documentation, orders, transitions, patient safeguards, and field safety.</x:v>
      </x:c>
      <x:c r="N400" s="90" t="str">
        <x:v>12-allPoliciesContent.generated.ts — OP-SL-004</x:v>
      </x:c>
      <x:c r="O400" s="90" t="str"/>
      <x:c r="P400" s="90" t="str"/>
    </x:row>
    <x:row r="401" ht="42" customHeight="1">
      <x:c r="A401" s="90" t="str">
        <x:v>OT-02</x:v>
      </x:c>
      <x:c r="B401" s="90" t="str">
        <x:v>OT</x:v>
      </x:c>
      <x:c r="C401" s="90" t="str">
        <x:v>OP-SL-007</x:v>
      </x:c>
      <x:c r="D401" s="90" t="str">
        <x:v>Inclement Weather &amp; Hazardous Conditions</x:v>
      </x:c>
      <x:c r="E401" s="90" t="str">
        <x:v>Core</x:v>
      </x:c>
      <x:c r="F401" s="90" t="str">
        <x:v>Yes</x:v>
      </x:c>
      <x:c r="G401" s="90" t="str">
        <x:v>Yes — bundled</x:v>
      </x:c>
      <x:c r="H401" s="90" t="str">
        <x:v>Therapy Documentation, Coordination &amp; Field Safety</x:v>
      </x:c>
      <x:c r="I401" s="90" t="str">
        <x:v>80% quiz plus documentation/field-safety scenarios</x:v>
      </x:c>
      <x:c r="J401" s="90" t="str">
        <x:v>By day 14; before independent duty if earlier</x:v>
      </x:c>
      <x:c r="K401" s="90" t="str">
        <x:v>At hire; then on material revision</x:v>
      </x:c>
      <x:c r="L401" s="90" t="str">
        <x:v>Ready</x:v>
      </x:c>
      <x:c r="M401" s="90" t="str">
        <x:v>Common professional therapy duties for documentation, orders, transitions, patient safeguards, and field safety.</x:v>
      </x:c>
      <x:c r="N401" s="90" t="str">
        <x:v>12-allPoliciesContent.generated.ts — OP-SL-007</x:v>
      </x:c>
      <x:c r="O401" s="90" t="str"/>
      <x:c r="P401" s="90" t="str"/>
    </x:row>
    <x:row r="402" ht="42" customHeight="1">
      <x:c r="A402" s="90" t="str">
        <x:v>OT-02</x:v>
      </x:c>
      <x:c r="B402" s="90" t="str">
        <x:v>OT</x:v>
      </x:c>
      <x:c r="C402" s="90" t="str">
        <x:v>RM-OS-002</x:v>
      </x:c>
      <x:c r="D402" s="90" t="str">
        <x:v>Aerosol Transmissible Disease (ATD) Exposure Control Plan</x:v>
      </x:c>
      <x:c r="E402" s="90" t="str">
        <x:v>Core</x:v>
      </x:c>
      <x:c r="F402" s="90" t="str">
        <x:v>Yes</x:v>
      </x:c>
      <x:c r="G402" s="90" t="str">
        <x:v>Yes — bundled</x:v>
      </x:c>
      <x:c r="H402" s="90" t="str">
        <x:v>Therapy Documentation, Coordination &amp; Field Safety</x:v>
      </x:c>
      <x:c r="I402" s="90" t="str">
        <x:v>80% quiz plus documentation/field-safety scenarios</x:v>
      </x:c>
      <x:c r="J402" s="90" t="str">
        <x:v>By day 14; before independent duty if earlier</x:v>
      </x:c>
      <x:c r="K402" s="90" t="str">
        <x:v>At hire; then on material revision</x:v>
      </x:c>
      <x:c r="L402" s="90" t="str">
        <x:v>Ready</x:v>
      </x:c>
      <x:c r="M402" s="90" t="str">
        <x:v>Common professional therapy duties for documentation, orders, transitions, patient safeguards, and field safety.</x:v>
      </x:c>
      <x:c r="N402" s="90" t="str">
        <x:v>12-allPoliciesContent.generated.ts — RM-OS-002</x:v>
      </x:c>
      <x:c r="O402" s="90" t="str">
        <x:v>https://www.dir.ca.gov/title8/5199.html</x:v>
      </x:c>
      <x:c r="P402" s="90" t="str"/>
    </x:row>
    <x:row r="403" ht="42" customHeight="1">
      <x:c r="A403" s="90" t="str">
        <x:v>OT-02</x:v>
      </x:c>
      <x:c r="B403" s="90" t="str">
        <x:v>OT</x:v>
      </x:c>
      <x:c r="C403" s="90" t="str">
        <x:v>RM-OS-003</x:v>
      </x:c>
      <x:c r="D403" s="90" t="str">
        <x:v>Bloodborne Pathogen (BBP) Exposure Control Plan</x:v>
      </x:c>
      <x:c r="E403" s="90" t="str">
        <x:v>Core</x:v>
      </x:c>
      <x:c r="F403" s="90" t="str">
        <x:v>Yes</x:v>
      </x:c>
      <x:c r="G403" s="90" t="str">
        <x:v>Yes — bundled</x:v>
      </x:c>
      <x:c r="H403" s="90" t="str">
        <x:v>Therapy Documentation, Coordination &amp; Field Safety</x:v>
      </x:c>
      <x:c r="I403" s="90" t="str">
        <x:v>80% quiz plus documentation/field-safety scenarios</x:v>
      </x:c>
      <x:c r="J403" s="90" t="str">
        <x:v>By day 14; before independent duty if earlier</x:v>
      </x:c>
      <x:c r="K403" s="90" t="str">
        <x:v>At hire; then on material revision</x:v>
      </x:c>
      <x:c r="L403" s="90" t="str">
        <x:v>Ready</x:v>
      </x:c>
      <x:c r="M403" s="90" t="str">
        <x:v>Common professional therapy duties for documentation, orders, transitions, patient safeguards, and field safety.</x:v>
      </x:c>
      <x:c r="N403" s="90" t="str">
        <x:v>12-allPoliciesContent.generated.ts — RM-OS-003</x:v>
      </x:c>
      <x:c r="O403" s="90" t="str">
        <x:v>https://www.dir.ca.gov/title8/5193.html</x:v>
      </x:c>
      <x:c r="P403" s="90" t="str"/>
    </x:row>
    <x:row r="404" ht="42" customHeight="1">
      <x:c r="A404" s="90" t="str">
        <x:v>OT-02</x:v>
      </x:c>
      <x:c r="B404" s="90" t="str">
        <x:v>OT</x:v>
      </x:c>
      <x:c r="C404" s="90" t="str">
        <x:v>RM-OS-004</x:v>
      </x:c>
      <x:c r="D404" s="90" t="str">
        <x:v>Heat Illness Prevention Program</x:v>
      </x:c>
      <x:c r="E404" s="90" t="str">
        <x:v>Conditional</x:v>
      </x:c>
      <x:c r="F404" s="90" t="str">
        <x:v>Yes</x:v>
      </x:c>
      <x:c r="G404" s="90" t="str">
        <x:v>Yes — bundled</x:v>
      </x:c>
      <x:c r="H404" s="90" t="str">
        <x:v>Therapy Documentation, Coordination &amp; Field Safety</x:v>
      </x:c>
      <x:c r="I404" s="90" t="str">
        <x:v>80% quiz plus documentation/field-safety scenarios</x:v>
      </x:c>
      <x:c r="J404" s="90" t="str">
        <x:v>By day 14; before independent duty if earlier</x:v>
      </x:c>
      <x:c r="K404" s="90" t="str">
        <x:v>At hire; then on material revision</x:v>
      </x:c>
      <x:c r="L404" s="90" t="str">
        <x:v>Ready</x:v>
      </x:c>
      <x:c r="M404" s="90" t="str">
        <x:v>Common professional therapy duties for documentation, orders, transitions, patient safeguards, and field safety.</x:v>
      </x:c>
      <x:c r="N404" s="90" t="str">
        <x:v>12-allPoliciesContent.generated.ts — RM-OS-004</x:v>
      </x:c>
      <x:c r="O404" s="90" t="str"/>
      <x:c r="P404" s="90" t="str"/>
    </x:row>
    <x:row r="405" ht="42" customHeight="1">
      <x:c r="A405" s="90" t="str">
        <x:v>OT-02</x:v>
      </x:c>
      <x:c r="B405" s="90" t="str">
        <x:v>OT</x:v>
      </x:c>
      <x:c r="C405" s="90" t="str">
        <x:v>RM-PS-001</x:v>
      </x:c>
      <x:c r="D405" s="90" t="str">
        <x:v>Environmental Safety Assessment</x:v>
      </x:c>
      <x:c r="E405" s="90" t="str">
        <x:v>Core</x:v>
      </x:c>
      <x:c r="F405" s="90" t="str">
        <x:v>Yes</x:v>
      </x:c>
      <x:c r="G405" s="90" t="str">
        <x:v>Yes — bundled</x:v>
      </x:c>
      <x:c r="H405" s="90" t="str">
        <x:v>Therapy Documentation, Coordination &amp; Field Safety</x:v>
      </x:c>
      <x:c r="I405" s="90" t="str">
        <x:v>80% quiz plus documentation/field-safety scenarios</x:v>
      </x:c>
      <x:c r="J405" s="90" t="str">
        <x:v>By day 14; before independent duty if earlier</x:v>
      </x:c>
      <x:c r="K405" s="90" t="str">
        <x:v>At hire; then on material revision</x:v>
      </x:c>
      <x:c r="L405" s="90" t="str">
        <x:v>Ready</x:v>
      </x:c>
      <x:c r="M405" s="90" t="str">
        <x:v>Common professional therapy duties for documentation, orders, transitions, patient safeguards, and field safety.</x:v>
      </x:c>
      <x:c r="N405" s="90" t="str">
        <x:v>12-allPoliciesContent.generated.ts — RM-PS-001</x:v>
      </x:c>
      <x:c r="O405" s="90" t="str"/>
      <x:c r="P405" s="90" t="str"/>
    </x:row>
    <x:row r="406" ht="42" customHeight="1">
      <x:c r="A406" s="90" t="str">
        <x:v>OT-02</x:v>
      </x:c>
      <x:c r="B406" s="90" t="str">
        <x:v>OT</x:v>
      </x:c>
      <x:c r="C406" s="90" t="str">
        <x:v>RM-PS-003</x:v>
      </x:c>
      <x:c r="D406" s="90" t="str">
        <x:v>Product &amp; Equipment Safety Recall Management</x:v>
      </x:c>
      <x:c r="E406" s="90" t="str">
        <x:v>Core</x:v>
      </x:c>
      <x:c r="F406" s="90" t="str">
        <x:v>Yes</x:v>
      </x:c>
      <x:c r="G406" s="90" t="str">
        <x:v>Yes — bundled</x:v>
      </x:c>
      <x:c r="H406" s="90" t="str">
        <x:v>Therapy Documentation, Coordination &amp; Field Safety</x:v>
      </x:c>
      <x:c r="I406" s="90" t="str">
        <x:v>80% quiz plus documentation/field-safety scenarios</x:v>
      </x:c>
      <x:c r="J406" s="90" t="str">
        <x:v>By day 14; before independent duty if earlier</x:v>
      </x:c>
      <x:c r="K406" s="90" t="str">
        <x:v>At hire; then on material revision</x:v>
      </x:c>
      <x:c r="L406" s="90" t="str">
        <x:v>Ready</x:v>
      </x:c>
      <x:c r="M406" s="90" t="str">
        <x:v>Common professional therapy duties for documentation, orders, transitions, patient safeguards, and field safety.</x:v>
      </x:c>
      <x:c r="N406" s="90" t="str">
        <x:v>12-allPoliciesContent.generated.ts — RM-PS-003</x:v>
      </x:c>
      <x:c r="O406" s="90" t="str"/>
      <x:c r="P406" s="90" t="str"/>
    </x:row>
    <x:row r="407" ht="42" customHeight="1">
      <x:c r="A407" s="90" t="str">
        <x:v>OT-02</x:v>
      </x:c>
      <x:c r="B407" s="90" t="str">
        <x:v>OT</x:v>
      </x:c>
      <x:c r="C407" s="90" t="str">
        <x:v>RM-SS-001</x:v>
      </x:c>
      <x:c r="D407" s="90" t="str">
        <x:v>Staff Safety &amp; Personal Security</x:v>
      </x:c>
      <x:c r="E407" s="90" t="str">
        <x:v>Core</x:v>
      </x:c>
      <x:c r="F407" s="90" t="str">
        <x:v>Yes</x:v>
      </x:c>
      <x:c r="G407" s="90" t="str">
        <x:v>Yes — bundled</x:v>
      </x:c>
      <x:c r="H407" s="90" t="str">
        <x:v>Therapy Documentation, Coordination &amp; Field Safety</x:v>
      </x:c>
      <x:c r="I407" s="90" t="str">
        <x:v>80% quiz plus documentation/field-safety scenarios</x:v>
      </x:c>
      <x:c r="J407" s="90" t="str">
        <x:v>By day 14; before independent duty if earlier</x:v>
      </x:c>
      <x:c r="K407" s="90" t="str">
        <x:v>At hire; then on material revision</x:v>
      </x:c>
      <x:c r="L407" s="90" t="str">
        <x:v>Ready</x:v>
      </x:c>
      <x:c r="M407" s="90" t="str">
        <x:v>Common professional therapy duties for documentation, orders, transitions, patient safeguards, and field safety.</x:v>
      </x:c>
      <x:c r="N407" s="90" t="str">
        <x:v>12-allPoliciesContent.generated.ts — RM-SS-001</x:v>
      </x:c>
      <x:c r="O407" s="90" t="str"/>
      <x:c r="P407" s="90" t="str"/>
    </x:row>
    <x:row r="408" ht="42" customHeight="1">
      <x:c r="A408" s="90" t="str">
        <x:v>OT-02</x:v>
      </x:c>
      <x:c r="B408" s="90" t="str">
        <x:v>OT</x:v>
      </x:c>
      <x:c r="C408" s="90" t="str">
        <x:v>RM-SS-003</x:v>
      </x:c>
      <x:c r="D408" s="90" t="str">
        <x:v>Motor Vehicle Safety &amp; Accident Reporting</x:v>
      </x:c>
      <x:c r="E408" s="90" t="str">
        <x:v>Conditional</x:v>
      </x:c>
      <x:c r="F408" s="90" t="str">
        <x:v>Yes</x:v>
      </x:c>
      <x:c r="G408" s="90" t="str">
        <x:v>Yes — bundled</x:v>
      </x:c>
      <x:c r="H408" s="90" t="str">
        <x:v>Therapy Documentation, Coordination &amp; Field Safety</x:v>
      </x:c>
      <x:c r="I408" s="90" t="str">
        <x:v>80% quiz plus documentation/field-safety scenarios</x:v>
      </x:c>
      <x:c r="J408" s="90" t="str">
        <x:v>By day 14; before independent duty if earlier</x:v>
      </x:c>
      <x:c r="K408" s="90" t="str">
        <x:v>At hire; then on material revision</x:v>
      </x:c>
      <x:c r="L408" s="90" t="str">
        <x:v>Ready</x:v>
      </x:c>
      <x:c r="M408" s="90" t="str">
        <x:v>Common professional therapy duties for documentation, orders, transitions, patient safeguards, and field safety.</x:v>
      </x:c>
      <x:c r="N408" s="90" t="str">
        <x:v>12-allPoliciesContent.generated.ts — RM-SS-003</x:v>
      </x:c>
      <x:c r="O408" s="90" t="str"/>
      <x:c r="P408" s="90" t="str"/>
    </x:row>
    <x:row r="409" ht="42" customHeight="1">
      <x:c r="A409" s="90" t="str">
        <x:v>OT-02</x:v>
      </x:c>
      <x:c r="B409" s="90" t="str">
        <x:v>OT</x:v>
      </x:c>
      <x:c r="C409" s="90" t="str">
        <x:v>OP-SL-003</x:v>
      </x:c>
      <x:c r="D409" s="90" t="str">
        <x:v>Vehicle &amp; Transportation Safety</x:v>
      </x:c>
      <x:c r="E409" s="90" t="str">
        <x:v>Conditional</x:v>
      </x:c>
      <x:c r="F409" s="90" t="str">
        <x:v>Yes</x:v>
      </x:c>
      <x:c r="G409" s="90" t="str">
        <x:v>Yes — bundled</x:v>
      </x:c>
      <x:c r="H409" s="90" t="str">
        <x:v>Therapy Documentation, Coordination &amp; Field Safety</x:v>
      </x:c>
      <x:c r="I409" s="90" t="str">
        <x:v>80% quiz plus documentation/field-safety scenarios</x:v>
      </x:c>
      <x:c r="J409" s="90" t="str">
        <x:v>By day 14; before independent duty if earlier</x:v>
      </x:c>
      <x:c r="K409" s="90" t="str">
        <x:v>At hire; then on material revision</x:v>
      </x:c>
      <x:c r="L409" s="90" t="str">
        <x:v>Ready</x:v>
      </x:c>
      <x:c r="M409" s="90" t="str">
        <x:v>Common professional therapy duties for documentation, orders, transitions, patient safeguards, and field safety.</x:v>
      </x:c>
      <x:c r="N409" s="90" t="str">
        <x:v>12-allPoliciesContent.generated.ts — OP-SL-003</x:v>
      </x:c>
      <x:c r="O409" s="90" t="str"/>
      <x:c r="P409" s="90" t="str"/>
    </x:row>
    <x:row r="410" ht="42" customHeight="1">
      <x:c r="A410" s="90" t="str">
        <x:v>OT-03</x:v>
      </x:c>
      <x:c r="B410" s="90" t="str">
        <x:v>OT</x:v>
      </x:c>
      <x:c r="C410" s="90" t="str">
        <x:v>CL-CA-001</x:v>
      </x:c>
      <x:c r="D410" s="90" t="str">
        <x:v>Patient Assessment — Comprehensive</x:v>
      </x:c>
      <x:c r="E410" s="90" t="str">
        <x:v>Hold</x:v>
      </x:c>
      <x:c r="F410" s="90" t="str">
        <x:v>Yes</x:v>
      </x:c>
      <x:c r="G410" s="90" t="str">
        <x:v>Yes — bundled</x:v>
      </x:c>
      <x:c r="H410" s="90" t="str">
        <x:v>Therapy-Only OASIS &amp; Specialty OT Services</x:v>
      </x:c>
      <x:c r="I410" s="90" t="str">
        <x:v>85% OASIS exam/coding exercise if authorized; skill checks for specialty care</x:v>
      </x:c>
      <x:c r="J410" s="90" t="str">
        <x:v>By day 14; before independent duty if earlier</x:v>
      </x:c>
      <x:c r="K410" s="90" t="str">
        <x:v>At hire; then on material revision</x:v>
      </x:c>
      <x:c r="L410" s="90" t="str">
        <x:v>Hold</x:v>
      </x:c>
      <x:c r="M410" s="90" t="str">
        <x:v>Federal rules permit OT assessment in specified therapy-only cases, but the supplied RN-only policy text must be corrected before release.</x:v>
      </x:c>
      <x:c r="N410" s="90" t="str">
        <x:v>12-allPoliciesContent.generated.ts — CL-CA-001</x:v>
      </x:c>
      <x:c r="O410" s="90" t="str">
        <x:v>https://www.ecfr.gov/current/title-42/part-484/section-484.55</x:v>
      </x:c>
      <x:c r="P410" s="90" t="str"/>
    </x:row>
    <x:row r="411" ht="42" customHeight="1">
      <x:c r="A411" s="90" t="str">
        <x:v>OT-03</x:v>
      </x:c>
      <x:c r="B411" s="90" t="str">
        <x:v>OT</x:v>
      </x:c>
      <x:c r="C411" s="90" t="str">
        <x:v>CL-CA-002</x:v>
      </x:c>
      <x:c r="D411" s="90" t="str">
        <x:v>OASIS Data Collection &amp; Accuracy</x:v>
      </x:c>
      <x:c r="E411" s="90" t="str">
        <x:v>Hold</x:v>
      </x:c>
      <x:c r="F411" s="90" t="str">
        <x:v>Yes</x:v>
      </x:c>
      <x:c r="G411" s="90" t="str">
        <x:v>Yes — bundled</x:v>
      </x:c>
      <x:c r="H411" s="90" t="str">
        <x:v>Therapy-Only OASIS &amp; Specialty OT Services</x:v>
      </x:c>
      <x:c r="I411" s="90" t="str">
        <x:v>85% OASIS exam/coding exercise if authorized; skill checks for specialty care</x:v>
      </x:c>
      <x:c r="J411" s="90" t="str">
        <x:v>By day 14; before independent duty if earlier</x:v>
      </x:c>
      <x:c r="K411" s="90" t="str">
        <x:v>At hire; then on material revision</x:v>
      </x:c>
      <x:c r="L411" s="90" t="str">
        <x:v>Hold</x:v>
      </x:c>
      <x:c r="M411" s="90" t="str">
        <x:v>Federal rules permit OT assessment in specified therapy-only cases, but the supplied RN-only policy text must be corrected before release.</x:v>
      </x:c>
      <x:c r="N411" s="90" t="str">
        <x:v>12-allPoliciesContent.generated.ts — CL-CA-002</x:v>
      </x:c>
      <x:c r="O411" s="90" t="str">
        <x:v>https://www.ecfr.gov/current/title-42/part-484/section-484.55</x:v>
      </x:c>
      <x:c r="P411" s="90" t="str"/>
    </x:row>
    <x:row r="412" ht="42" customHeight="1">
      <x:c r="A412" s="90" t="str">
        <x:v>OT-03</x:v>
      </x:c>
      <x:c r="B412" s="90" t="str">
        <x:v>OT</x:v>
      </x:c>
      <x:c r="C412" s="90" t="str">
        <x:v>CL-CA-004</x:v>
      </x:c>
      <x:c r="D412" s="90" t="str">
        <x:v>Recertification Assessment &amp; Process</x:v>
      </x:c>
      <x:c r="E412" s="90" t="str">
        <x:v>Hold</x:v>
      </x:c>
      <x:c r="F412" s="90" t="str">
        <x:v>Yes</x:v>
      </x:c>
      <x:c r="G412" s="90" t="str">
        <x:v>Yes — bundled</x:v>
      </x:c>
      <x:c r="H412" s="90" t="str">
        <x:v>Therapy-Only OASIS &amp; Specialty OT Services</x:v>
      </x:c>
      <x:c r="I412" s="90" t="str">
        <x:v>85% OASIS exam/coding exercise if authorized; skill checks for specialty care</x:v>
      </x:c>
      <x:c r="J412" s="90" t="str">
        <x:v>By day 14; before independent duty if earlier</x:v>
      </x:c>
      <x:c r="K412" s="90" t="str">
        <x:v>At hire; then on material revision</x:v>
      </x:c>
      <x:c r="L412" s="90" t="str">
        <x:v>Hold</x:v>
      </x:c>
      <x:c r="M412" s="90" t="str">
        <x:v>Federal rules permit OT assessment in specified therapy-only cases, but the supplied RN-only policy text must be corrected before release.</x:v>
      </x:c>
      <x:c r="N412" s="90" t="str">
        <x:v>12-allPoliciesContent.generated.ts — CL-CA-004</x:v>
      </x:c>
      <x:c r="O412" s="90" t="str">
        <x:v>https://www.ecfr.gov/current/title-42/part-484/section-484.55</x:v>
      </x:c>
      <x:c r="P412" s="90" t="str"/>
    </x:row>
    <x:row r="413" ht="42" customHeight="1">
      <x:c r="A413" s="90" t="str">
        <x:v>OT-03</x:v>
      </x:c>
      <x:c r="B413" s="90" t="str">
        <x:v>OT</x:v>
      </x:c>
      <x:c r="C413" s="90" t="str">
        <x:v>CL-CA-005</x:v>
      </x:c>
      <x:c r="D413" s="90" t="str">
        <x:v>Homebound Status Determination &amp; Documentation</x:v>
      </x:c>
      <x:c r="E413" s="90" t="str">
        <x:v>Hold</x:v>
      </x:c>
      <x:c r="F413" s="90" t="str">
        <x:v>Yes</x:v>
      </x:c>
      <x:c r="G413" s="90" t="str">
        <x:v>Yes — bundled</x:v>
      </x:c>
      <x:c r="H413" s="90" t="str">
        <x:v>Therapy-Only OASIS &amp; Specialty OT Services</x:v>
      </x:c>
      <x:c r="I413" s="90" t="str">
        <x:v>85% OASIS exam/coding exercise if authorized; skill checks for specialty care</x:v>
      </x:c>
      <x:c r="J413" s="90" t="str">
        <x:v>By day 14; before independent duty if earlier</x:v>
      </x:c>
      <x:c r="K413" s="90" t="str">
        <x:v>At hire; then on material revision</x:v>
      </x:c>
      <x:c r="L413" s="90" t="str">
        <x:v>Hold</x:v>
      </x:c>
      <x:c r="M413" s="90" t="str">
        <x:v>Federal rules permit OT assessment in specified therapy-only cases, but the supplied RN-only policy text must be corrected before release.</x:v>
      </x:c>
      <x:c r="N413" s="90" t="str">
        <x:v>12-allPoliciesContent.generated.ts — CL-CA-005</x:v>
      </x:c>
      <x:c r="O413" s="90" t="str">
        <x:v>https://www.ecfr.gov/current/title-42/part-484/section-484.55</x:v>
      </x:c>
      <x:c r="P413" s="90" t="str"/>
    </x:row>
    <x:row r="414" ht="42" customHeight="1">
      <x:c r="A414" s="90" t="str">
        <x:v>OT-03</x:v>
      </x:c>
      <x:c r="B414" s="90" t="str">
        <x:v>OT</x:v>
      </x:c>
      <x:c r="C414" s="90" t="str">
        <x:v>CL-OA-001</x:v>
      </x:c>
      <x:c r="D414" s="90" t="str">
        <x:v>OASIS Completion Timeliness &amp; Accountability</x:v>
      </x:c>
      <x:c r="E414" s="90" t="str">
        <x:v>Hold</x:v>
      </x:c>
      <x:c r="F414" s="90" t="str">
        <x:v>Yes</x:v>
      </x:c>
      <x:c r="G414" s="90" t="str">
        <x:v>Yes — bundled</x:v>
      </x:c>
      <x:c r="H414" s="90" t="str">
        <x:v>Therapy-Only OASIS &amp; Specialty OT Services</x:v>
      </x:c>
      <x:c r="I414" s="90" t="str">
        <x:v>85% OASIS exam/coding exercise if authorized; skill checks for specialty care</x:v>
      </x:c>
      <x:c r="J414" s="90" t="str">
        <x:v>By day 14; before independent duty if earlier</x:v>
      </x:c>
      <x:c r="K414" s="90" t="str">
        <x:v>At hire; then on material revision</x:v>
      </x:c>
      <x:c r="L414" s="90" t="str">
        <x:v>Hold</x:v>
      </x:c>
      <x:c r="M414" s="90" t="str">
        <x:v>Federal rules permit OT assessment in specified therapy-only cases, but the supplied RN-only policy text must be corrected before release.</x:v>
      </x:c>
      <x:c r="N414" s="90" t="str">
        <x:v>12-allPoliciesContent.generated.ts — CL-OA-001</x:v>
      </x:c>
      <x:c r="O414" s="90" t="str">
        <x:v>https://www.ecfr.gov/current/title-42/part-484/section-484.55</x:v>
      </x:c>
      <x:c r="P414" s="90" t="str"/>
    </x:row>
    <x:row r="415" ht="42" customHeight="1">
      <x:c r="A415" s="90" t="str">
        <x:v>OT-03</x:v>
      </x:c>
      <x:c r="B415" s="90" t="str">
        <x:v>OT</x:v>
      </x:c>
      <x:c r="C415" s="90" t="str">
        <x:v>CL-OA-002</x:v>
      </x:c>
      <x:c r="D415" s="90" t="str">
        <x:v>OASIS Quality Review &amp; Error Correction</x:v>
      </x:c>
      <x:c r="E415" s="90" t="str">
        <x:v>Hold</x:v>
      </x:c>
      <x:c r="F415" s="90" t="str">
        <x:v>Yes</x:v>
      </x:c>
      <x:c r="G415" s="90" t="str">
        <x:v>Yes — bundled</x:v>
      </x:c>
      <x:c r="H415" s="90" t="str">
        <x:v>Therapy-Only OASIS &amp; Specialty OT Services</x:v>
      </x:c>
      <x:c r="I415" s="90" t="str">
        <x:v>85% OASIS exam/coding exercise if authorized; skill checks for specialty care</x:v>
      </x:c>
      <x:c r="J415" s="90" t="str">
        <x:v>By day 14; before independent duty if earlier</x:v>
      </x:c>
      <x:c r="K415" s="90" t="str">
        <x:v>At hire; then on material revision</x:v>
      </x:c>
      <x:c r="L415" s="90" t="str">
        <x:v>Hold</x:v>
      </x:c>
      <x:c r="M415" s="90" t="str">
        <x:v>Federal rules permit OT assessment in specified therapy-only cases, but the supplied RN-only policy text must be corrected before release.</x:v>
      </x:c>
      <x:c r="N415" s="90" t="str">
        <x:v>12-allPoliciesContent.generated.ts — CL-OA-002</x:v>
      </x:c>
      <x:c r="O415" s="90" t="str">
        <x:v>https://www.ecfr.gov/current/title-42/part-484/section-484.55</x:v>
      </x:c>
      <x:c r="P415" s="90" t="str"/>
    </x:row>
    <x:row r="416" ht="42" customHeight="1">
      <x:c r="A416" s="90" t="str">
        <x:v>OT-03</x:v>
      </x:c>
      <x:c r="B416" s="90" t="str">
        <x:v>OT</x:v>
      </x:c>
      <x:c r="C416" s="90" t="str">
        <x:v>CL-OA-003</x:v>
      </x:c>
      <x:c r="D416" s="90" t="str">
        <x:v>OASIS Clinician Authorization &amp; Competency</x:v>
      </x:c>
      <x:c r="E416" s="90" t="str">
        <x:v>Hold</x:v>
      </x:c>
      <x:c r="F416" s="90" t="str">
        <x:v>Yes</x:v>
      </x:c>
      <x:c r="G416" s="90" t="str">
        <x:v>Yes — bundled</x:v>
      </x:c>
      <x:c r="H416" s="90" t="str">
        <x:v>Therapy-Only OASIS &amp; Specialty OT Services</x:v>
      </x:c>
      <x:c r="I416" s="90" t="str">
        <x:v>85% OASIS exam/coding exercise if authorized; skill checks for specialty care</x:v>
      </x:c>
      <x:c r="J416" s="90" t="str">
        <x:v>By day 14; before independent duty if earlier</x:v>
      </x:c>
      <x:c r="K416" s="90" t="str">
        <x:v>At hire; then on material revision</x:v>
      </x:c>
      <x:c r="L416" s="90" t="str">
        <x:v>Hold</x:v>
      </x:c>
      <x:c r="M416" s="90" t="str">
        <x:v>Federal rules permit OT assessment in specified therapy-only cases, but the supplied RN-only policy text must be corrected before release.</x:v>
      </x:c>
      <x:c r="N416" s="90" t="str">
        <x:v>12-allPoliciesContent.generated.ts — CL-OA-003</x:v>
      </x:c>
      <x:c r="O416" s="90" t="str">
        <x:v>https://www.ecfr.gov/current/title-42/part-484/section-484.55</x:v>
      </x:c>
      <x:c r="P416" s="90" t="str"/>
    </x:row>
    <x:row r="417" ht="42" customHeight="1">
      <x:c r="A417" s="90" t="str">
        <x:v>OT-03</x:v>
      </x:c>
      <x:c r="B417" s="90" t="str">
        <x:v>OT</x:v>
      </x:c>
      <x:c r="C417" s="90" t="str">
        <x:v>CL-OA-004</x:v>
      </x:c>
      <x:c r="D417" s="90" t="str">
        <x:v>OASIS Item-Level Guidance Compliance</x:v>
      </x:c>
      <x:c r="E417" s="90" t="str">
        <x:v>Hold</x:v>
      </x:c>
      <x:c r="F417" s="90" t="str">
        <x:v>Yes</x:v>
      </x:c>
      <x:c r="G417" s="90" t="str">
        <x:v>Yes — bundled</x:v>
      </x:c>
      <x:c r="H417" s="90" t="str">
        <x:v>Therapy-Only OASIS &amp; Specialty OT Services</x:v>
      </x:c>
      <x:c r="I417" s="90" t="str">
        <x:v>85% OASIS exam/coding exercise if authorized; skill checks for specialty care</x:v>
      </x:c>
      <x:c r="J417" s="90" t="str">
        <x:v>By day 14; before independent duty if earlier</x:v>
      </x:c>
      <x:c r="K417" s="90" t="str">
        <x:v>At hire; then on material revision</x:v>
      </x:c>
      <x:c r="L417" s="90" t="str">
        <x:v>Hold</x:v>
      </x:c>
      <x:c r="M417" s="90" t="str">
        <x:v>Federal rules permit OT assessment in specified therapy-only cases, but the supplied RN-only policy text must be corrected before release.</x:v>
      </x:c>
      <x:c r="N417" s="90" t="str">
        <x:v>12-allPoliciesContent.generated.ts — CL-OA-004</x:v>
      </x:c>
      <x:c r="O417" s="90" t="str">
        <x:v>https://www.ecfr.gov/current/title-42/part-484/section-484.55</x:v>
      </x:c>
      <x:c r="P417" s="90" t="str"/>
    </x:row>
    <x:row r="418" ht="42" customHeight="1">
      <x:c r="A418" s="90" t="str">
        <x:v>OT-03</x:v>
      </x:c>
      <x:c r="B418" s="90" t="str">
        <x:v>OT</x:v>
      </x:c>
      <x:c r="C418" s="90" t="str">
        <x:v>CL-OA-005</x:v>
      </x:c>
      <x:c r="D418" s="90" t="str">
        <x:v>OASIS Data Integrity &amp; Security</x:v>
      </x:c>
      <x:c r="E418" s="90" t="str">
        <x:v>Hold</x:v>
      </x:c>
      <x:c r="F418" s="90" t="str">
        <x:v>Yes</x:v>
      </x:c>
      <x:c r="G418" s="90" t="str">
        <x:v>Yes — bundled</x:v>
      </x:c>
      <x:c r="H418" s="90" t="str">
        <x:v>Therapy-Only OASIS &amp; Specialty OT Services</x:v>
      </x:c>
      <x:c r="I418" s="90" t="str">
        <x:v>85% OASIS exam/coding exercise if authorized; skill checks for specialty care</x:v>
      </x:c>
      <x:c r="J418" s="90" t="str">
        <x:v>By day 14; before independent duty if earlier</x:v>
      </x:c>
      <x:c r="K418" s="90" t="str">
        <x:v>At hire; then on material revision</x:v>
      </x:c>
      <x:c r="L418" s="90" t="str">
        <x:v>Hold</x:v>
      </x:c>
      <x:c r="M418" s="90" t="str">
        <x:v>Federal rules permit OT assessment in specified therapy-only cases, but the supplied RN-only policy text must be corrected before release.</x:v>
      </x:c>
      <x:c r="N418" s="90" t="str">
        <x:v>12-allPoliciesContent.generated.ts — CL-OA-005</x:v>
      </x:c>
      <x:c r="O418" s="90" t="str">
        <x:v>https://www.ecfr.gov/current/title-42/part-484/section-484.55</x:v>
      </x:c>
      <x:c r="P418" s="90" t="str"/>
    </x:row>
    <x:row r="419" ht="42" customHeight="1">
      <x:c r="A419" s="90" t="str">
        <x:v>OT-03</x:v>
      </x:c>
      <x:c r="B419" s="90" t="str">
        <x:v>OT</x:v>
      </x:c>
      <x:c r="C419" s="90" t="str">
        <x:v>CL-OA-006</x:v>
      </x:c>
      <x:c r="D419" s="90" t="str">
        <x:v>Documentation Hierarchy and Evidence Source Prioritization</x:v>
      </x:c>
      <x:c r="E419" s="90" t="str">
        <x:v>Hold</x:v>
      </x:c>
      <x:c r="F419" s="90" t="str">
        <x:v>Yes</x:v>
      </x:c>
      <x:c r="G419" s="90" t="str">
        <x:v>Yes — bundled</x:v>
      </x:c>
      <x:c r="H419" s="90" t="str">
        <x:v>Therapy-Only OASIS &amp; Specialty OT Services</x:v>
      </x:c>
      <x:c r="I419" s="90" t="str">
        <x:v>85% OASIS exam/coding exercise if authorized; skill checks for specialty care</x:v>
      </x:c>
      <x:c r="J419" s="90" t="str">
        <x:v>By day 14; before independent duty if earlier</x:v>
      </x:c>
      <x:c r="K419" s="90" t="str">
        <x:v>At hire; then on material revision</x:v>
      </x:c>
      <x:c r="L419" s="90" t="str">
        <x:v>Hold</x:v>
      </x:c>
      <x:c r="M419" s="90" t="str">
        <x:v>Federal rules permit OT assessment in specified therapy-only cases, but the supplied RN-only policy text must be corrected before release.</x:v>
      </x:c>
      <x:c r="N419" s="90" t="str">
        <x:v>12-allPoliciesContent.generated.ts — CL-OA-006</x:v>
      </x:c>
      <x:c r="O419" s="90" t="str">
        <x:v>https://www.ecfr.gov/current/title-42/part-484/section-484.55</x:v>
      </x:c>
      <x:c r="P419" s="90" t="str"/>
    </x:row>
    <x:row r="420" ht="42" customHeight="1">
      <x:c r="A420" s="90" t="str">
        <x:v>OT-03</x:v>
      </x:c>
      <x:c r="B420" s="90" t="str">
        <x:v>OT</x:v>
      </x:c>
      <x:c r="C420" s="90" t="str">
        <x:v>CL-OA-007</x:v>
      </x:c>
      <x:c r="D420" s="90" t="str">
        <x:v>Evidence-Based OASIS Coding Substantiation</x:v>
      </x:c>
      <x:c r="E420" s="90" t="str">
        <x:v>Hold</x:v>
      </x:c>
      <x:c r="F420" s="90" t="str">
        <x:v>Yes</x:v>
      </x:c>
      <x:c r="G420" s="90" t="str">
        <x:v>Yes — bundled</x:v>
      </x:c>
      <x:c r="H420" s="90" t="str">
        <x:v>Therapy-Only OASIS &amp; Specialty OT Services</x:v>
      </x:c>
      <x:c r="I420" s="90" t="str">
        <x:v>85% OASIS exam/coding exercise if authorized; skill checks for specialty care</x:v>
      </x:c>
      <x:c r="J420" s="90" t="str">
        <x:v>By day 14; before independent duty if earlier</x:v>
      </x:c>
      <x:c r="K420" s="90" t="str">
        <x:v>At hire; then on material revision</x:v>
      </x:c>
      <x:c r="L420" s="90" t="str">
        <x:v>Hold</x:v>
      </x:c>
      <x:c r="M420" s="90" t="str">
        <x:v>Federal rules permit OT assessment in specified therapy-only cases, but the supplied RN-only policy text must be corrected before release.</x:v>
      </x:c>
      <x:c r="N420" s="90" t="str">
        <x:v>12-allPoliciesContent.generated.ts — CL-OA-007</x:v>
      </x:c>
      <x:c r="O420" s="90" t="str">
        <x:v>https://www.ecfr.gov/current/title-42/part-484/section-484.55</x:v>
      </x:c>
      <x:c r="P420" s="90" t="str"/>
    </x:row>
    <x:row r="421" ht="42" customHeight="1">
      <x:c r="A421" s="90" t="str">
        <x:v>OT-03</x:v>
      </x:c>
      <x:c r="B421" s="90" t="str">
        <x:v>OT</x:v>
      </x:c>
      <x:c r="C421" s="90" t="str">
        <x:v>CL-OA-008</x:v>
      </x:c>
      <x:c r="D421" s="90" t="str">
        <x:v>Conflicting Documentation Source Resolution</x:v>
      </x:c>
      <x:c r="E421" s="90" t="str">
        <x:v>Hold</x:v>
      </x:c>
      <x:c r="F421" s="90" t="str">
        <x:v>Yes</x:v>
      </x:c>
      <x:c r="G421" s="90" t="str">
        <x:v>Yes — bundled</x:v>
      </x:c>
      <x:c r="H421" s="90" t="str">
        <x:v>Therapy-Only OASIS &amp; Specialty OT Services</x:v>
      </x:c>
      <x:c r="I421" s="90" t="str">
        <x:v>85% OASIS exam/coding exercise if authorized; skill checks for specialty care</x:v>
      </x:c>
      <x:c r="J421" s="90" t="str">
        <x:v>By day 14; before independent duty if earlier</x:v>
      </x:c>
      <x:c r="K421" s="90" t="str">
        <x:v>At hire; then on material revision</x:v>
      </x:c>
      <x:c r="L421" s="90" t="str">
        <x:v>Hold</x:v>
      </x:c>
      <x:c r="M421" s="90" t="str">
        <x:v>Federal rules permit OT assessment in specified therapy-only cases, but the supplied RN-only policy text must be corrected before release.</x:v>
      </x:c>
      <x:c r="N421" s="90" t="str">
        <x:v>12-allPoliciesContent.generated.ts — CL-OA-008</x:v>
      </x:c>
      <x:c r="O421" s="90" t="str">
        <x:v>https://www.ecfr.gov/current/title-42/part-484/section-484.55</x:v>
      </x:c>
      <x:c r="P421" s="90" t="str"/>
    </x:row>
    <x:row r="422" ht="42" customHeight="1">
      <x:c r="A422" s="90" t="str">
        <x:v>OT-03</x:v>
      </x:c>
      <x:c r="B422" s="90" t="str">
        <x:v>OT</x:v>
      </x:c>
      <x:c r="C422" s="90" t="str">
        <x:v>CL-OA-009</x:v>
      </x:c>
      <x:c r="D422" s="90" t="str">
        <x:v>Point-in-Time Assessment at Start of Care</x:v>
      </x:c>
      <x:c r="E422" s="90" t="str">
        <x:v>Hold</x:v>
      </x:c>
      <x:c r="F422" s="90" t="str">
        <x:v>Yes</x:v>
      </x:c>
      <x:c r="G422" s="90" t="str">
        <x:v>Yes — bundled</x:v>
      </x:c>
      <x:c r="H422" s="90" t="str">
        <x:v>Therapy-Only OASIS &amp; Specialty OT Services</x:v>
      </x:c>
      <x:c r="I422" s="90" t="str">
        <x:v>85% OASIS exam/coding exercise if authorized; skill checks for specialty care</x:v>
      </x:c>
      <x:c r="J422" s="90" t="str">
        <x:v>By day 14; before independent duty if earlier</x:v>
      </x:c>
      <x:c r="K422" s="90" t="str">
        <x:v>At hire; then on material revision</x:v>
      </x:c>
      <x:c r="L422" s="90" t="str">
        <x:v>Hold</x:v>
      </x:c>
      <x:c r="M422" s="90" t="str">
        <x:v>Federal rules permit OT assessment in specified therapy-only cases, but the supplied RN-only policy text must be corrected before release.</x:v>
      </x:c>
      <x:c r="N422" s="90" t="str">
        <x:v>12-allPoliciesContent.generated.ts — CL-OA-009</x:v>
      </x:c>
      <x:c r="O422" s="90" t="str">
        <x:v>https://www.ecfr.gov/current/title-42/part-484/section-484.55</x:v>
      </x:c>
      <x:c r="P422" s="90" t="str"/>
    </x:row>
    <x:row r="423" ht="42" customHeight="1">
      <x:c r="A423" s="90" t="str">
        <x:v>OT-03</x:v>
      </x:c>
      <x:c r="B423" s="90" t="str">
        <x:v>OT</x:v>
      </x:c>
      <x:c r="C423" s="90" t="str">
        <x:v>CL-OA-010</x:v>
      </x:c>
      <x:c r="D423" s="90" t="str">
        <x:v>CMS Look-Back Period Compliance for Assessment Items</x:v>
      </x:c>
      <x:c r="E423" s="90" t="str">
        <x:v>Hold</x:v>
      </x:c>
      <x:c r="F423" s="90" t="str">
        <x:v>Yes</x:v>
      </x:c>
      <x:c r="G423" s="90" t="str">
        <x:v>Yes — bundled</x:v>
      </x:c>
      <x:c r="H423" s="90" t="str">
        <x:v>Therapy-Only OASIS &amp; Specialty OT Services</x:v>
      </x:c>
      <x:c r="I423" s="90" t="str">
        <x:v>85% OASIS exam/coding exercise if authorized; skill checks for specialty care</x:v>
      </x:c>
      <x:c r="J423" s="90" t="str">
        <x:v>By day 14; before independent duty if earlier</x:v>
      </x:c>
      <x:c r="K423" s="90" t="str">
        <x:v>At hire; then on material revision</x:v>
      </x:c>
      <x:c r="L423" s="90" t="str">
        <x:v>Hold</x:v>
      </x:c>
      <x:c r="M423" s="90" t="str">
        <x:v>Federal rules permit OT assessment in specified therapy-only cases, but the supplied RN-only policy text must be corrected before release.</x:v>
      </x:c>
      <x:c r="N423" s="90" t="str">
        <x:v>12-allPoliciesContent.generated.ts — CL-OA-010</x:v>
      </x:c>
      <x:c r="O423" s="90" t="str">
        <x:v>https://www.ecfr.gov/current/title-42/part-484/section-484.55</x:v>
      </x:c>
      <x:c r="P423" s="90" t="str"/>
    </x:row>
    <x:row r="424" ht="42" customHeight="1">
      <x:c r="A424" s="90" t="str">
        <x:v>OT-03</x:v>
      </x:c>
      <x:c r="B424" s="90" t="str">
        <x:v>OT</x:v>
      </x:c>
      <x:c r="C424" s="90" t="str">
        <x:v>CL-OA-011</x:v>
      </x:c>
      <x:c r="D424" s="90" t="str">
        <x:v>Standardized Assessment Tool Administration and Validity</x:v>
      </x:c>
      <x:c r="E424" s="90" t="str">
        <x:v>Hold</x:v>
      </x:c>
      <x:c r="F424" s="90" t="str">
        <x:v>Yes</x:v>
      </x:c>
      <x:c r="G424" s="90" t="str">
        <x:v>Yes — bundled</x:v>
      </x:c>
      <x:c r="H424" s="90" t="str">
        <x:v>Therapy-Only OASIS &amp; Specialty OT Services</x:v>
      </x:c>
      <x:c r="I424" s="90" t="str">
        <x:v>85% OASIS exam/coding exercise if authorized; skill checks for specialty care</x:v>
      </x:c>
      <x:c r="J424" s="90" t="str">
        <x:v>By day 14; before independent duty if earlier</x:v>
      </x:c>
      <x:c r="K424" s="90" t="str">
        <x:v>At hire; then on material revision</x:v>
      </x:c>
      <x:c r="L424" s="90" t="str">
        <x:v>Hold</x:v>
      </x:c>
      <x:c r="M424" s="90" t="str">
        <x:v>Federal rules permit OT assessment in specified therapy-only cases, but the supplied RN-only policy text must be corrected before release.</x:v>
      </x:c>
      <x:c r="N424" s="90" t="str">
        <x:v>12-allPoliciesContent.generated.ts — CL-OA-011</x:v>
      </x:c>
      <x:c r="O424" s="90" t="str">
        <x:v>https://www.ecfr.gov/current/title-42/part-484/section-484.55</x:v>
      </x:c>
      <x:c r="P424" s="90" t="str"/>
    </x:row>
    <x:row r="425" ht="42" customHeight="1">
      <x:c r="A425" s="90" t="str">
        <x:v>OT-03</x:v>
      </x:c>
      <x:c r="B425" s="90" t="str">
        <x:v>OT</x:v>
      </x:c>
      <x:c r="C425" s="90" t="str">
        <x:v>CL-OA-012</x:v>
      </x:c>
      <x:c r="D425" s="90" t="str">
        <x:v>Clinical Reasoning Documentation for Coding Decisions</x:v>
      </x:c>
      <x:c r="E425" s="90" t="str">
        <x:v>Hold</x:v>
      </x:c>
      <x:c r="F425" s="90" t="str">
        <x:v>Yes</x:v>
      </x:c>
      <x:c r="G425" s="90" t="str">
        <x:v>Yes — bundled</x:v>
      </x:c>
      <x:c r="H425" s="90" t="str">
        <x:v>Therapy-Only OASIS &amp; Specialty OT Services</x:v>
      </x:c>
      <x:c r="I425" s="90" t="str">
        <x:v>85% OASIS exam/coding exercise if authorized; skill checks for specialty care</x:v>
      </x:c>
      <x:c r="J425" s="90" t="str">
        <x:v>By day 14; before independent duty if earlier</x:v>
      </x:c>
      <x:c r="K425" s="90" t="str">
        <x:v>At hire; then on material revision</x:v>
      </x:c>
      <x:c r="L425" s="90" t="str">
        <x:v>Hold</x:v>
      </x:c>
      <x:c r="M425" s="90" t="str">
        <x:v>Federal rules permit OT assessment in specified therapy-only cases, but the supplied RN-only policy text must be corrected before release.</x:v>
      </x:c>
      <x:c r="N425" s="90" t="str">
        <x:v>12-allPoliciesContent.generated.ts — CL-OA-012</x:v>
      </x:c>
      <x:c r="O425" s="90" t="str">
        <x:v>https://www.ecfr.gov/current/title-42/part-484/section-484.55</x:v>
      </x:c>
      <x:c r="P425" s="90" t="str"/>
    </x:row>
    <x:row r="426" ht="42" customHeight="1">
      <x:c r="A426" s="90" t="str">
        <x:v>OT-03</x:v>
      </x:c>
      <x:c r="B426" s="90" t="str">
        <x:v>OT</x:v>
      </x:c>
      <x:c r="C426" s="90" t="str">
        <x:v>CL-OA-013</x:v>
      </x:c>
      <x:c r="D426" s="90" t="str">
        <x:v>Cross-Document Verification Prior to Assessment Finalization</x:v>
      </x:c>
      <x:c r="E426" s="90" t="str">
        <x:v>Hold</x:v>
      </x:c>
      <x:c r="F426" s="90" t="str">
        <x:v>Yes</x:v>
      </x:c>
      <x:c r="G426" s="90" t="str">
        <x:v>Yes — bundled</x:v>
      </x:c>
      <x:c r="H426" s="90" t="str">
        <x:v>Therapy-Only OASIS &amp; Specialty OT Services</x:v>
      </x:c>
      <x:c r="I426" s="90" t="str">
        <x:v>85% OASIS exam/coding exercise if authorized; skill checks for specialty care</x:v>
      </x:c>
      <x:c r="J426" s="90" t="str">
        <x:v>By day 14; before independent duty if earlier</x:v>
      </x:c>
      <x:c r="K426" s="90" t="str">
        <x:v>At hire; then on material revision</x:v>
      </x:c>
      <x:c r="L426" s="90" t="str">
        <x:v>Hold</x:v>
      </x:c>
      <x:c r="M426" s="90" t="str">
        <x:v>Federal rules permit OT assessment in specified therapy-only cases, but the supplied RN-only policy text must be corrected before release.</x:v>
      </x:c>
      <x:c r="N426" s="90" t="str">
        <x:v>12-allPoliciesContent.generated.ts — CL-OA-013</x:v>
      </x:c>
      <x:c r="O426" s="90" t="str">
        <x:v>https://www.ecfr.gov/current/title-42/part-484/section-484.55</x:v>
      </x:c>
      <x:c r="P426" s="90" t="str"/>
    </x:row>
    <x:row r="427" ht="42" customHeight="1">
      <x:c r="A427" s="90" t="str">
        <x:v>OT-03</x:v>
      </x:c>
      <x:c r="B427" s="90" t="str">
        <x:v>OT</x:v>
      </x:c>
      <x:c r="C427" s="90" t="str">
        <x:v>CL-OA-014</x:v>
      </x:c>
      <x:c r="D427" s="90" t="str">
        <x:v>Medication Reconciliation — Prescribed Regimen vs. Actual Patient Behavior</x:v>
      </x:c>
      <x:c r="E427" s="90" t="str">
        <x:v>Hold</x:v>
      </x:c>
      <x:c r="F427" s="90" t="str">
        <x:v>Yes</x:v>
      </x:c>
      <x:c r="G427" s="90" t="str">
        <x:v>Yes — bundled</x:v>
      </x:c>
      <x:c r="H427" s="90" t="str">
        <x:v>Therapy-Only OASIS &amp; Specialty OT Services</x:v>
      </x:c>
      <x:c r="I427" s="90" t="str">
        <x:v>85% OASIS exam/coding exercise if authorized; skill checks for specialty care</x:v>
      </x:c>
      <x:c r="J427" s="90" t="str">
        <x:v>By day 14; before independent duty if earlier</x:v>
      </x:c>
      <x:c r="K427" s="90" t="str">
        <x:v>At hire; then on material revision</x:v>
      </x:c>
      <x:c r="L427" s="90" t="str">
        <x:v>Hold</x:v>
      </x:c>
      <x:c r="M427" s="90" t="str">
        <x:v>Federal rules permit OT assessment in specified therapy-only cases, but the supplied RN-only policy text must be corrected before release.</x:v>
      </x:c>
      <x:c r="N427" s="90" t="str">
        <x:v>12-allPoliciesContent.generated.ts — CL-OA-014</x:v>
      </x:c>
      <x:c r="O427" s="90" t="str">
        <x:v>https://www.ecfr.gov/current/title-42/part-484/section-484.55</x:v>
      </x:c>
      <x:c r="P427" s="90" t="str"/>
    </x:row>
    <x:row r="428" ht="42" customHeight="1">
      <x:c r="A428" s="90" t="str">
        <x:v>OT-03</x:v>
      </x:c>
      <x:c r="B428" s="90" t="str">
        <x:v>OT</x:v>
      </x:c>
      <x:c r="C428" s="90" t="str">
        <x:v>CL-OA-015</x:v>
      </x:c>
      <x:c r="D428" s="90" t="str">
        <x:v>Assessment Completion Timeframe Compliance</x:v>
      </x:c>
      <x:c r="E428" s="90" t="str">
        <x:v>Hold</x:v>
      </x:c>
      <x:c r="F428" s="90" t="str">
        <x:v>Yes</x:v>
      </x:c>
      <x:c r="G428" s="90" t="str">
        <x:v>Yes — bundled</x:v>
      </x:c>
      <x:c r="H428" s="90" t="str">
        <x:v>Therapy-Only OASIS &amp; Specialty OT Services</x:v>
      </x:c>
      <x:c r="I428" s="90" t="str">
        <x:v>85% OASIS exam/coding exercise if authorized; skill checks for specialty care</x:v>
      </x:c>
      <x:c r="J428" s="90" t="str">
        <x:v>By day 14; before independent duty if earlier</x:v>
      </x:c>
      <x:c r="K428" s="90" t="str">
        <x:v>At hire; then on material revision</x:v>
      </x:c>
      <x:c r="L428" s="90" t="str">
        <x:v>Hold</x:v>
      </x:c>
      <x:c r="M428" s="90" t="str">
        <x:v>Federal rules permit OT assessment in specified therapy-only cases, but the supplied RN-only policy text must be corrected before release.</x:v>
      </x:c>
      <x:c r="N428" s="90" t="str">
        <x:v>12-allPoliciesContent.generated.ts — CL-OA-015</x:v>
      </x:c>
      <x:c r="O428" s="90" t="str">
        <x:v>https://www.ecfr.gov/current/title-42/part-484/section-484.55</x:v>
      </x:c>
      <x:c r="P428" s="90" t="str"/>
    </x:row>
    <x:row r="429" ht="42" customHeight="1">
      <x:c r="A429" s="90" t="str">
        <x:v>OT-03</x:v>
      </x:c>
      <x:c r="B429" s="90" t="str">
        <x:v>OT</x:v>
      </x:c>
      <x:c r="C429" s="90" t="str">
        <x:v>CL-OA-016</x:v>
      </x:c>
      <x:c r="D429" s="90" t="str">
        <x:v>Scoring Methodology Integrity for Multi-Item Assessments</x:v>
      </x:c>
      <x:c r="E429" s="90" t="str">
        <x:v>Hold</x:v>
      </x:c>
      <x:c r="F429" s="90" t="str">
        <x:v>Yes</x:v>
      </x:c>
      <x:c r="G429" s="90" t="str">
        <x:v>Yes — bundled</x:v>
      </x:c>
      <x:c r="H429" s="90" t="str">
        <x:v>Therapy-Only OASIS &amp; Specialty OT Services</x:v>
      </x:c>
      <x:c r="I429" s="90" t="str">
        <x:v>85% OASIS exam/coding exercise if authorized; skill checks for specialty care</x:v>
      </x:c>
      <x:c r="J429" s="90" t="str">
        <x:v>By day 14; before independent duty if earlier</x:v>
      </x:c>
      <x:c r="K429" s="90" t="str">
        <x:v>At hire; then on material revision</x:v>
      </x:c>
      <x:c r="L429" s="90" t="str">
        <x:v>Hold</x:v>
      </x:c>
      <x:c r="M429" s="90" t="str">
        <x:v>Federal rules permit OT assessment in specified therapy-only cases, but the supplied RN-only policy text must be corrected before release.</x:v>
      </x:c>
      <x:c r="N429" s="90" t="str">
        <x:v>12-allPoliciesContent.generated.ts — CL-OA-016</x:v>
      </x:c>
      <x:c r="O429" s="90" t="str">
        <x:v>https://www.ecfr.gov/current/title-42/part-484/section-484.55</x:v>
      </x:c>
      <x:c r="P429" s="90" t="str"/>
    </x:row>
    <x:row r="430" ht="42" customHeight="1">
      <x:c r="A430" s="90" t="str">
        <x:v>OT-03</x:v>
      </x:c>
      <x:c r="B430" s="90" t="str">
        <x:v>OT</x:v>
      </x:c>
      <x:c r="C430" s="90" t="str">
        <x:v>CL-OA-017</x:v>
      </x:c>
      <x:c r="D430" s="90" t="str">
        <x:v>Contemporaneous Documentation Requirement</x:v>
      </x:c>
      <x:c r="E430" s="90" t="str">
        <x:v>Hold</x:v>
      </x:c>
      <x:c r="F430" s="90" t="str">
        <x:v>Yes</x:v>
      </x:c>
      <x:c r="G430" s="90" t="str">
        <x:v>Yes — bundled</x:v>
      </x:c>
      <x:c r="H430" s="90" t="str">
        <x:v>Therapy-Only OASIS &amp; Specialty OT Services</x:v>
      </x:c>
      <x:c r="I430" s="90" t="str">
        <x:v>85% OASIS exam/coding exercise if authorized; skill checks for specialty care</x:v>
      </x:c>
      <x:c r="J430" s="90" t="str">
        <x:v>By day 14; before independent duty if earlier</x:v>
      </x:c>
      <x:c r="K430" s="90" t="str">
        <x:v>At hire; then on material revision</x:v>
      </x:c>
      <x:c r="L430" s="90" t="str">
        <x:v>Hold</x:v>
      </x:c>
      <x:c r="M430" s="90" t="str">
        <x:v>Federal rules permit OT assessment in specified therapy-only cases, but the supplied RN-only policy text must be corrected before release.</x:v>
      </x:c>
      <x:c r="N430" s="90" t="str">
        <x:v>12-allPoliciesContent.generated.ts — CL-OA-017</x:v>
      </x:c>
      <x:c r="O430" s="90" t="str">
        <x:v>https://www.ecfr.gov/current/title-42/part-484/section-484.55</x:v>
      </x:c>
      <x:c r="P430" s="90" t="str"/>
    </x:row>
    <x:row r="431" ht="42" customHeight="1">
      <x:c r="A431" s="90" t="str">
        <x:v>OT-03</x:v>
      </x:c>
      <x:c r="B431" s="90" t="str">
        <x:v>OT</x:v>
      </x:c>
      <x:c r="C431" s="90" t="str">
        <x:v>CL-OA-018</x:v>
      </x:c>
      <x:c r="D431" s="90" t="str">
        <x:v>Clinician Competency Validation for OASIS Assessment</x:v>
      </x:c>
      <x:c r="E431" s="90" t="str">
        <x:v>Hold</x:v>
      </x:c>
      <x:c r="F431" s="90" t="str">
        <x:v>Yes</x:v>
      </x:c>
      <x:c r="G431" s="90" t="str">
        <x:v>Yes — bundled</x:v>
      </x:c>
      <x:c r="H431" s="90" t="str">
        <x:v>Therapy-Only OASIS &amp; Specialty OT Services</x:v>
      </x:c>
      <x:c r="I431" s="90" t="str">
        <x:v>85% OASIS exam/coding exercise if authorized; skill checks for specialty care</x:v>
      </x:c>
      <x:c r="J431" s="90" t="str">
        <x:v>By day 14; before independent duty if earlier</x:v>
      </x:c>
      <x:c r="K431" s="90" t="str">
        <x:v>At hire; then on material revision</x:v>
      </x:c>
      <x:c r="L431" s="90" t="str">
        <x:v>Hold</x:v>
      </x:c>
      <x:c r="M431" s="90" t="str">
        <x:v>Federal rules permit OT assessment in specified therapy-only cases, but the supplied RN-only policy text must be corrected before release.</x:v>
      </x:c>
      <x:c r="N431" s="90" t="str">
        <x:v>12-allPoliciesContent.generated.ts — CL-OA-018</x:v>
      </x:c>
      <x:c r="O431" s="90" t="str">
        <x:v>https://www.ecfr.gov/current/title-42/part-484/section-484.55</x:v>
      </x:c>
      <x:c r="P431" s="90" t="str"/>
    </x:row>
    <x:row r="432" ht="42" customHeight="1">
      <x:c r="A432" s="90" t="str">
        <x:v>OT-03</x:v>
      </x:c>
      <x:c r="B432" s="90" t="str">
        <x:v>OT</x:v>
      </x:c>
      <x:c r="C432" s="90" t="str">
        <x:v>CL-OA-019</x:v>
      </x:c>
      <x:c r="D432" s="90" t="str">
        <x:v>Pre-Submission Quality Review for Comprehensive Assessments</x:v>
      </x:c>
      <x:c r="E432" s="90" t="str">
        <x:v>Hold</x:v>
      </x:c>
      <x:c r="F432" s="90" t="str">
        <x:v>Yes</x:v>
      </x:c>
      <x:c r="G432" s="90" t="str">
        <x:v>Yes — bundled</x:v>
      </x:c>
      <x:c r="H432" s="90" t="str">
        <x:v>Therapy-Only OASIS &amp; Specialty OT Services</x:v>
      </x:c>
      <x:c r="I432" s="90" t="str">
        <x:v>85% OASIS exam/coding exercise if authorized; skill checks for specialty care</x:v>
      </x:c>
      <x:c r="J432" s="90" t="str">
        <x:v>By day 14; before independent duty if earlier</x:v>
      </x:c>
      <x:c r="K432" s="90" t="str">
        <x:v>At hire; then on material revision</x:v>
      </x:c>
      <x:c r="L432" s="90" t="str">
        <x:v>Hold</x:v>
      </x:c>
      <x:c r="M432" s="90" t="str">
        <x:v>Federal rules permit OT assessment in specified therapy-only cases, but the supplied RN-only policy text must be corrected before release.</x:v>
      </x:c>
      <x:c r="N432" s="90" t="str">
        <x:v>12-allPoliciesContent.generated.ts — CL-OA-019</x:v>
      </x:c>
      <x:c r="O432" s="90" t="str">
        <x:v>https://www.ecfr.gov/current/title-42/part-484/section-484.55</x:v>
      </x:c>
      <x:c r="P432" s="90" t="str"/>
    </x:row>
    <x:row r="433" ht="42" customHeight="1">
      <x:c r="A433" s="90" t="str">
        <x:v>OT-03</x:v>
      </x:c>
      <x:c r="B433" s="90" t="str">
        <x:v>OT</x:v>
      </x:c>
      <x:c r="C433" s="90" t="str">
        <x:v>CL-OA-101</x:v>
      </x:c>
      <x:c r="D433" s="90" t="str">
        <x:v>OASIS Data Accuracy, Validation &amp; Submission Integrity</x:v>
      </x:c>
      <x:c r="E433" s="90" t="str">
        <x:v>Hold</x:v>
      </x:c>
      <x:c r="F433" s="90" t="str">
        <x:v>Yes</x:v>
      </x:c>
      <x:c r="G433" s="90" t="str">
        <x:v>Yes — bundled</x:v>
      </x:c>
      <x:c r="H433" s="90" t="str">
        <x:v>Therapy-Only OASIS &amp; Specialty OT Services</x:v>
      </x:c>
      <x:c r="I433" s="90" t="str">
        <x:v>85% OASIS exam/coding exercise if authorized; skill checks for specialty care</x:v>
      </x:c>
      <x:c r="J433" s="90" t="str">
        <x:v>By day 14; before independent duty if earlier</x:v>
      </x:c>
      <x:c r="K433" s="90" t="str">
        <x:v>At hire; then on material revision</x:v>
      </x:c>
      <x:c r="L433" s="90" t="str">
        <x:v>Hold</x:v>
      </x:c>
      <x:c r="M433" s="90" t="str">
        <x:v>Federal rules permit OT assessment in specified therapy-only cases, but the supplied RN-only policy text must be corrected before release.</x:v>
      </x:c>
      <x:c r="N433" s="90" t="str">
        <x:v>12-allPoliciesContent.generated.ts — CL-OA-101</x:v>
      </x:c>
      <x:c r="O433" s="90" t="str">
        <x:v>https://www.ecfr.gov/current/title-42/part-484/section-484.55</x:v>
      </x:c>
      <x:c r="P433" s="90" t="str"/>
    </x:row>
    <x:row r="434" ht="42" customHeight="1">
      <x:c r="A434" s="90" t="str">
        <x:v>OT-03</x:v>
      </x:c>
      <x:c r="B434" s="90" t="str">
        <x:v>OT</x:v>
      </x:c>
      <x:c r="C434" s="90" t="str">
        <x:v>CL-SD-009</x:v>
      </x:c>
      <x:c r="D434" s="90" t="str">
        <x:v>Telehealth &amp; Remote Monitoring Services</x:v>
      </x:c>
      <x:c r="E434" s="90" t="str">
        <x:v>Conditional</x:v>
      </x:c>
      <x:c r="F434" s="90" t="str">
        <x:v>Yes</x:v>
      </x:c>
      <x:c r="G434" s="90" t="str">
        <x:v>Yes — bundled</x:v>
      </x:c>
      <x:c r="H434" s="90" t="str">
        <x:v>Therapy-Only OASIS &amp; Specialty OT Services</x:v>
      </x:c>
      <x:c r="I434" s="90" t="str">
        <x:v>85% OASIS exam/coding exercise if authorized; skill checks for specialty care</x:v>
      </x:c>
      <x:c r="J434" s="90" t="str">
        <x:v>By day 14; before independent duty if earlier</x:v>
      </x:c>
      <x:c r="K434" s="90" t="str">
        <x:v>At hire; then on material revision</x:v>
      </x:c>
      <x:c r="L434" s="90" t="str">
        <x:v>Partial hold</x:v>
      </x:c>
      <x:c r="M434" s="90" t="str">
        <x:v>Federal rules permit OT assessment in specified therapy-only cases, but the supplied RN-only policy text must be corrected before release.</x:v>
      </x:c>
      <x:c r="N434" s="90" t="str">
        <x:v>12-allPoliciesContent.generated.ts — CL-SD-009</x:v>
      </x:c>
      <x:c r="O434" s="90" t="str">
        <x:v>https://www.ecfr.gov/current/title-42/part-484/section-484.75</x:v>
      </x:c>
      <x:c r="P434" s="90" t="str"/>
    </x:row>
    <x:row r="435" ht="42" customHeight="1">
      <x:c r="A435" s="90" t="str">
        <x:v>OT-03</x:v>
      </x:c>
      <x:c r="B435" s="90" t="str">
        <x:v>OT</x:v>
      </x:c>
      <x:c r="C435" s="90" t="str">
        <x:v>CL-SD-011</x:v>
      </x:c>
      <x:c r="D435" s="90" t="str">
        <x:v>Wound Care Assessment &amp; Management</x:v>
      </x:c>
      <x:c r="E435" s="90" t="str">
        <x:v>Conditional</x:v>
      </x:c>
      <x:c r="F435" s="90" t="str">
        <x:v>Yes</x:v>
      </x:c>
      <x:c r="G435" s="90" t="str">
        <x:v>Yes — bundled</x:v>
      </x:c>
      <x:c r="H435" s="90" t="str">
        <x:v>Therapy-Only OASIS &amp; Specialty OT Services</x:v>
      </x:c>
      <x:c r="I435" s="90" t="str">
        <x:v>85% OASIS exam/coding exercise if authorized; skill checks for specialty care</x:v>
      </x:c>
      <x:c r="J435" s="90" t="str">
        <x:v>By day 14; before independent duty if earlier</x:v>
      </x:c>
      <x:c r="K435" s="90" t="str">
        <x:v>At hire; then on material revision</x:v>
      </x:c>
      <x:c r="L435" s="90" t="str">
        <x:v>Partial hold</x:v>
      </x:c>
      <x:c r="M435" s="90" t="str">
        <x:v>Federal rules permit OT assessment in specified therapy-only cases, but the supplied RN-only policy text must be corrected before release.</x:v>
      </x:c>
      <x:c r="N435" s="90" t="str">
        <x:v>12-allPoliciesContent.generated.ts — CL-SD-011</x:v>
      </x:c>
      <x:c r="O435" s="90" t="str">
        <x:v>https://www.ecfr.gov/current/title-42/part-484/section-484.75</x:v>
      </x:c>
      <x:c r="P435" s="90" t="str"/>
    </x:row>
    <x:row r="436" ht="42" customHeight="1">
      <x:c r="A436" s="90" t="str">
        <x:v>OT-03</x:v>
      </x:c>
      <x:c r="B436" s="90" t="str">
        <x:v>OT</x:v>
      </x:c>
      <x:c r="C436" s="90" t="str">
        <x:v>CL-SD-014</x:v>
      </x:c>
      <x:c r="D436" s="90" t="str">
        <x:v>Pain Assessment &amp; Management</x:v>
      </x:c>
      <x:c r="E436" s="90" t="str">
        <x:v>Conditional</x:v>
      </x:c>
      <x:c r="F436" s="90" t="str">
        <x:v>Yes</x:v>
      </x:c>
      <x:c r="G436" s="90" t="str">
        <x:v>Yes — bundled</x:v>
      </x:c>
      <x:c r="H436" s="90" t="str">
        <x:v>Therapy-Only OASIS &amp; Specialty OT Services</x:v>
      </x:c>
      <x:c r="I436" s="90" t="str">
        <x:v>85% OASIS exam/coding exercise if authorized; skill checks for specialty care</x:v>
      </x:c>
      <x:c r="J436" s="90" t="str">
        <x:v>By day 14; before independent duty if earlier</x:v>
      </x:c>
      <x:c r="K436" s="90" t="str">
        <x:v>At hire; then on material revision</x:v>
      </x:c>
      <x:c r="L436" s="90" t="str">
        <x:v>Partial hold</x:v>
      </x:c>
      <x:c r="M436" s="90" t="str">
        <x:v>Federal rules permit OT assessment in specified therapy-only cases, but the supplied RN-only policy text must be corrected before release.</x:v>
      </x:c>
      <x:c r="N436" s="90" t="str">
        <x:v>12-allPoliciesContent.generated.ts — CL-SD-014</x:v>
      </x:c>
      <x:c r="O436" s="90" t="str">
        <x:v>https://www.ecfr.gov/current/title-42/part-484/section-484.75</x:v>
      </x:c>
      <x:c r="P436" s="90" t="str"/>
    </x:row>
    <x:row r="437" ht="42" customHeight="1">
      <x:c r="A437" s="90" t="str">
        <x:v>OT-03</x:v>
      </x:c>
      <x:c r="B437" s="90" t="str">
        <x:v>OT</x:v>
      </x:c>
      <x:c r="C437" s="90" t="str">
        <x:v>CL-SD-015</x:v>
      </x:c>
      <x:c r="D437" s="90" t="str">
        <x:v>Fall Risk Assessment &amp; Prevention</x:v>
      </x:c>
      <x:c r="E437" s="90" t="str">
        <x:v>Conditional</x:v>
      </x:c>
      <x:c r="F437" s="90" t="str">
        <x:v>Yes</x:v>
      </x:c>
      <x:c r="G437" s="90" t="str">
        <x:v>Yes — bundled</x:v>
      </x:c>
      <x:c r="H437" s="90" t="str">
        <x:v>Therapy-Only OASIS &amp; Specialty OT Services</x:v>
      </x:c>
      <x:c r="I437" s="90" t="str">
        <x:v>85% OASIS exam/coding exercise if authorized; skill checks for specialty care</x:v>
      </x:c>
      <x:c r="J437" s="90" t="str">
        <x:v>By day 14; before independent duty if earlier</x:v>
      </x:c>
      <x:c r="K437" s="90" t="str">
        <x:v>At hire; then on material revision</x:v>
      </x:c>
      <x:c r="L437" s="90" t="str">
        <x:v>Partial hold</x:v>
      </x:c>
      <x:c r="M437" s="90" t="str">
        <x:v>Federal rules permit OT assessment in specified therapy-only cases, but the supplied RN-only policy text must be corrected before release.</x:v>
      </x:c>
      <x:c r="N437" s="90" t="str">
        <x:v>12-allPoliciesContent.generated.ts — CL-SD-015</x:v>
      </x:c>
      <x:c r="O437" s="90" t="str">
        <x:v>https://www.ecfr.gov/current/title-42/part-484/section-484.75</x:v>
      </x:c>
      <x:c r="P437" s="90" t="str"/>
    </x:row>
    <x:row r="438" ht="42" customHeight="1">
      <x:c r="A438" s="90" t="str">
        <x:v>OT-03</x:v>
      </x:c>
      <x:c r="B438" s="90" t="str">
        <x:v>OT</x:v>
      </x:c>
      <x:c r="C438" s="90" t="str">
        <x:v>CL-SD-016</x:v>
      </x:c>
      <x:c r="D438" s="90" t="str">
        <x:v>Infection Prevention &amp; Control</x:v>
      </x:c>
      <x:c r="E438" s="90" t="str">
        <x:v>Conditional</x:v>
      </x:c>
      <x:c r="F438" s="90" t="str">
        <x:v>Yes</x:v>
      </x:c>
      <x:c r="G438" s="90" t="str">
        <x:v>Yes — bundled</x:v>
      </x:c>
      <x:c r="H438" s="90" t="str">
        <x:v>Therapy-Only OASIS &amp; Specialty OT Services</x:v>
      </x:c>
      <x:c r="I438" s="90" t="str">
        <x:v>85% OASIS exam/coding exercise if authorized; skill checks for specialty care</x:v>
      </x:c>
      <x:c r="J438" s="90" t="str">
        <x:v>By day 14; before independent duty if earlier</x:v>
      </x:c>
      <x:c r="K438" s="90" t="str">
        <x:v>At hire; then on material revision</x:v>
      </x:c>
      <x:c r="L438" s="90" t="str">
        <x:v>Partial hold</x:v>
      </x:c>
      <x:c r="M438" s="90" t="str">
        <x:v>Federal rules permit OT assessment in specified therapy-only cases, but the supplied RN-only policy text must be corrected before release.</x:v>
      </x:c>
      <x:c r="N438" s="90" t="str">
        <x:v>12-allPoliciesContent.generated.ts — CL-SD-016</x:v>
      </x:c>
      <x:c r="O438" s="90" t="str">
        <x:v>https://www.ecfr.gov/current/title-42/part-484/section-484.75</x:v>
      </x:c>
      <x:c r="P438" s="90" t="str"/>
    </x:row>
    <x:row r="439" ht="42" customHeight="1">
      <x:c r="A439" s="90" t="str">
        <x:v>OT-03</x:v>
      </x:c>
      <x:c r="B439" s="90" t="str">
        <x:v>OT</x:v>
      </x:c>
      <x:c r="C439" s="90" t="str">
        <x:v>CL-SD-017</x:v>
      </x:c>
      <x:c r="D439" s="90" t="str">
        <x:v>Patient Education &amp; Self-Management</x:v>
      </x:c>
      <x:c r="E439" s="90" t="str">
        <x:v>Conditional</x:v>
      </x:c>
      <x:c r="F439" s="90" t="str">
        <x:v>Yes</x:v>
      </x:c>
      <x:c r="G439" s="90" t="str">
        <x:v>Yes — bundled</x:v>
      </x:c>
      <x:c r="H439" s="90" t="str">
        <x:v>Therapy-Only OASIS &amp; Specialty OT Services</x:v>
      </x:c>
      <x:c r="I439" s="90" t="str">
        <x:v>85% OASIS exam/coding exercise if authorized; skill checks for specialty care</x:v>
      </x:c>
      <x:c r="J439" s="90" t="str">
        <x:v>By day 14; before independent duty if earlier</x:v>
      </x:c>
      <x:c r="K439" s="90" t="str">
        <x:v>At hire; then on material revision</x:v>
      </x:c>
      <x:c r="L439" s="90" t="str">
        <x:v>Partial hold</x:v>
      </x:c>
      <x:c r="M439" s="90" t="str">
        <x:v>Federal rules permit OT assessment in specified therapy-only cases, but the supplied RN-only policy text must be corrected before release.</x:v>
      </x:c>
      <x:c r="N439" s="90" t="str">
        <x:v>12-allPoliciesContent.generated.ts — CL-SD-017</x:v>
      </x:c>
      <x:c r="O439" s="90" t="str">
        <x:v>https://www.ecfr.gov/current/title-42/part-484/section-484.75</x:v>
      </x:c>
      <x:c r="P439" s="90" t="str"/>
    </x:row>
    <x:row r="440" ht="42" customHeight="1">
      <x:c r="A440" s="90" t="str">
        <x:v>OT-03</x:v>
      </x:c>
      <x:c r="B440" s="90" t="str">
        <x:v>OT</x:v>
      </x:c>
      <x:c r="C440" s="90" t="str">
        <x:v>CL-SD-018</x:v>
      </x:c>
      <x:c r="D440" s="90" t="str">
        <x:v>Diabetic Management &amp; Monitoring</x:v>
      </x:c>
      <x:c r="E440" s="90" t="str">
        <x:v>Conditional</x:v>
      </x:c>
      <x:c r="F440" s="90" t="str">
        <x:v>Yes</x:v>
      </x:c>
      <x:c r="G440" s="90" t="str">
        <x:v>Yes — bundled</x:v>
      </x:c>
      <x:c r="H440" s="90" t="str">
        <x:v>Therapy-Only OASIS &amp; Specialty OT Services</x:v>
      </x:c>
      <x:c r="I440" s="90" t="str">
        <x:v>85% OASIS exam/coding exercise if authorized; skill checks for specialty care</x:v>
      </x:c>
      <x:c r="J440" s="90" t="str">
        <x:v>By day 14; before independent duty if earlier</x:v>
      </x:c>
      <x:c r="K440" s="90" t="str">
        <x:v>At hire; then on material revision</x:v>
      </x:c>
      <x:c r="L440" s="90" t="str">
        <x:v>Partial hold</x:v>
      </x:c>
      <x:c r="M440" s="90" t="str">
        <x:v>Federal rules permit OT assessment in specified therapy-only cases, but the supplied RN-only policy text must be corrected before release.</x:v>
      </x:c>
      <x:c r="N440" s="90" t="str">
        <x:v>12-allPoliciesContent.generated.ts — CL-SD-018</x:v>
      </x:c>
      <x:c r="O440" s="90" t="str">
        <x:v>https://www.ecfr.gov/current/title-42/part-484/section-484.75</x:v>
      </x:c>
      <x:c r="P440" s="90" t="str"/>
    </x:row>
    <x:row r="441" ht="42" customHeight="1">
      <x:c r="A441" s="90" t="str">
        <x:v>OT-03</x:v>
      </x:c>
      <x:c r="B441" s="90" t="str">
        <x:v>OT</x:v>
      </x:c>
      <x:c r="C441" s="90" t="str">
        <x:v>CL-SD-019</x:v>
      </x:c>
      <x:c r="D441" s="90" t="str">
        <x:v>Cardiac Care &amp; Monitoring</x:v>
      </x:c>
      <x:c r="E441" s="90" t="str">
        <x:v>Conditional</x:v>
      </x:c>
      <x:c r="F441" s="90" t="str">
        <x:v>Yes</x:v>
      </x:c>
      <x:c r="G441" s="90" t="str">
        <x:v>Yes — bundled</x:v>
      </x:c>
      <x:c r="H441" s="90" t="str">
        <x:v>Therapy-Only OASIS &amp; Specialty OT Services</x:v>
      </x:c>
      <x:c r="I441" s="90" t="str">
        <x:v>85% OASIS exam/coding exercise if authorized; skill checks for specialty care</x:v>
      </x:c>
      <x:c r="J441" s="90" t="str">
        <x:v>By day 14; before independent duty if earlier</x:v>
      </x:c>
      <x:c r="K441" s="90" t="str">
        <x:v>At hire; then on material revision</x:v>
      </x:c>
      <x:c r="L441" s="90" t="str">
        <x:v>Partial hold</x:v>
      </x:c>
      <x:c r="M441" s="90" t="str">
        <x:v>Federal rules permit OT assessment in specified therapy-only cases, but the supplied RN-only policy text must be corrected before release.</x:v>
      </x:c>
      <x:c r="N441" s="90" t="str">
        <x:v>12-allPoliciesContent.generated.ts — CL-SD-019</x:v>
      </x:c>
      <x:c r="O441" s="90" t="str">
        <x:v>https://www.ecfr.gov/current/title-42/part-484/section-484.75</x:v>
      </x:c>
      <x:c r="P441" s="90" t="str"/>
    </x:row>
    <x:row r="442" ht="42" customHeight="1">
      <x:c r="A442" s="90" t="str">
        <x:v>OT-03</x:v>
      </x:c>
      <x:c r="B442" s="90" t="str">
        <x:v>OT</x:v>
      </x:c>
      <x:c r="C442" s="90" t="str">
        <x:v>CL-SD-020</x:v>
      </x:c>
      <x:c r="D442" s="90" t="str">
        <x:v>Respiratory Care &amp; Management</x:v>
      </x:c>
      <x:c r="E442" s="90" t="str">
        <x:v>Conditional</x:v>
      </x:c>
      <x:c r="F442" s="90" t="str">
        <x:v>Yes</x:v>
      </x:c>
      <x:c r="G442" s="90" t="str">
        <x:v>Yes — bundled</x:v>
      </x:c>
      <x:c r="H442" s="90" t="str">
        <x:v>Therapy-Only OASIS &amp; Specialty OT Services</x:v>
      </x:c>
      <x:c r="I442" s="90" t="str">
        <x:v>85% OASIS exam/coding exercise if authorized; skill checks for specialty care</x:v>
      </x:c>
      <x:c r="J442" s="90" t="str">
        <x:v>By day 14; before independent duty if earlier</x:v>
      </x:c>
      <x:c r="K442" s="90" t="str">
        <x:v>At hire; then on material revision</x:v>
      </x:c>
      <x:c r="L442" s="90" t="str">
        <x:v>Partial hold</x:v>
      </x:c>
      <x:c r="M442" s="90" t="str">
        <x:v>Federal rules permit OT assessment in specified therapy-only cases, but the supplied RN-only policy text must be corrected before release.</x:v>
      </x:c>
      <x:c r="N442" s="90" t="str">
        <x:v>12-allPoliciesContent.generated.ts — CL-SD-020</x:v>
      </x:c>
      <x:c r="O442" s="90" t="str">
        <x:v>https://www.ecfr.gov/current/title-42/part-484/section-484.75</x:v>
      </x:c>
      <x:c r="P442" s="90" t="str"/>
    </x:row>
    <x:row r="443" ht="42" customHeight="1">
      <x:c r="A443" s="90" t="str">
        <x:v>OT-03</x:v>
      </x:c>
      <x:c r="B443" s="90" t="str">
        <x:v>OT</x:v>
      </x:c>
      <x:c r="C443" s="90" t="str">
        <x:v>CL-SD-021</x:v>
      </x:c>
      <x:c r="D443" s="90" t="str">
        <x:v>Pediatric Home Health Services</x:v>
      </x:c>
      <x:c r="E443" s="90" t="str">
        <x:v>Conditional</x:v>
      </x:c>
      <x:c r="F443" s="90" t="str">
        <x:v>Yes</x:v>
      </x:c>
      <x:c r="G443" s="90" t="str">
        <x:v>Yes — bundled</x:v>
      </x:c>
      <x:c r="H443" s="90" t="str">
        <x:v>Therapy-Only OASIS &amp; Specialty OT Services</x:v>
      </x:c>
      <x:c r="I443" s="90" t="str">
        <x:v>85% OASIS exam/coding exercise if authorized; skill checks for specialty care</x:v>
      </x:c>
      <x:c r="J443" s="90" t="str">
        <x:v>By day 14; before independent duty if earlier</x:v>
      </x:c>
      <x:c r="K443" s="90" t="str">
        <x:v>At hire; then on material revision</x:v>
      </x:c>
      <x:c r="L443" s="90" t="str">
        <x:v>Partial hold</x:v>
      </x:c>
      <x:c r="M443" s="90" t="str">
        <x:v>Federal rules permit OT assessment in specified therapy-only cases, but the supplied RN-only policy text must be corrected before release.</x:v>
      </x:c>
      <x:c r="N443" s="90" t="str">
        <x:v>12-allPoliciesContent.generated.ts — CL-SD-021</x:v>
      </x:c>
      <x:c r="O443" s="90" t="str">
        <x:v>https://www.ecfr.gov/current/title-42/part-484/section-484.75</x:v>
      </x:c>
      <x:c r="P443" s="90" t="str"/>
    </x:row>
    <x:row r="444" ht="42" customHeight="1">
      <x:c r="A444" s="90" t="str">
        <x:v>OT-03</x:v>
      </x:c>
      <x:c r="B444" s="90" t="str">
        <x:v>OT</x:v>
      </x:c>
      <x:c r="C444" s="90" t="str">
        <x:v>CL-SD-022</x:v>
      </x:c>
      <x:c r="D444" s="90" t="str">
        <x:v>Behavioral Health Screening &amp; Referral</x:v>
      </x:c>
      <x:c r="E444" s="90" t="str">
        <x:v>Conditional</x:v>
      </x:c>
      <x:c r="F444" s="90" t="str">
        <x:v>Yes</x:v>
      </x:c>
      <x:c r="G444" s="90" t="str">
        <x:v>Yes — bundled</x:v>
      </x:c>
      <x:c r="H444" s="90" t="str">
        <x:v>Therapy-Only OASIS &amp; Specialty OT Services</x:v>
      </x:c>
      <x:c r="I444" s="90" t="str">
        <x:v>85% OASIS exam/coding exercise if authorized; skill checks for specialty care</x:v>
      </x:c>
      <x:c r="J444" s="90" t="str">
        <x:v>By day 14; before independent duty if earlier</x:v>
      </x:c>
      <x:c r="K444" s="90" t="str">
        <x:v>At hire; then on material revision</x:v>
      </x:c>
      <x:c r="L444" s="90" t="str">
        <x:v>Partial hold</x:v>
      </x:c>
      <x:c r="M444" s="90" t="str">
        <x:v>Federal rules permit OT assessment in specified therapy-only cases, but the supplied RN-only policy text must be corrected before release.</x:v>
      </x:c>
      <x:c r="N444" s="90" t="str">
        <x:v>12-allPoliciesContent.generated.ts — CL-SD-022</x:v>
      </x:c>
      <x:c r="O444" s="90" t="str">
        <x:v>https://www.ecfr.gov/current/title-42/part-484/section-484.75</x:v>
      </x:c>
      <x:c r="P444" s="90" t="str"/>
    </x:row>
    <x:row r="445" ht="42" customHeight="1">
      <x:c r="A445" s="90" t="str">
        <x:v>OT-03</x:v>
      </x:c>
      <x:c r="B445" s="90" t="str">
        <x:v>OT</x:v>
      </x:c>
      <x:c r="C445" s="90" t="str">
        <x:v>CL-SD-023</x:v>
      </x:c>
      <x:c r="D445" s="90" t="str">
        <x:v>Palliative &amp; End-of-Life Care</x:v>
      </x:c>
      <x:c r="E445" s="90" t="str">
        <x:v>Conditional</x:v>
      </x:c>
      <x:c r="F445" s="90" t="str">
        <x:v>Yes</x:v>
      </x:c>
      <x:c r="G445" s="90" t="str">
        <x:v>Yes — bundled</x:v>
      </x:c>
      <x:c r="H445" s="90" t="str">
        <x:v>Therapy-Only OASIS &amp; Specialty OT Services</x:v>
      </x:c>
      <x:c r="I445" s="90" t="str">
        <x:v>85% OASIS exam/coding exercise if authorized; skill checks for specialty care</x:v>
      </x:c>
      <x:c r="J445" s="90" t="str">
        <x:v>By day 14; before independent duty if earlier</x:v>
      </x:c>
      <x:c r="K445" s="90" t="str">
        <x:v>At hire; then on material revision</x:v>
      </x:c>
      <x:c r="L445" s="90" t="str">
        <x:v>Partial hold</x:v>
      </x:c>
      <x:c r="M445" s="90" t="str">
        <x:v>Federal rules permit OT assessment in specified therapy-only cases, but the supplied RN-only policy text must be corrected before release.</x:v>
      </x:c>
      <x:c r="N445" s="90" t="str">
        <x:v>12-allPoliciesContent.generated.ts — CL-SD-023</x:v>
      </x:c>
      <x:c r="O445" s="90" t="str">
        <x:v>https://www.ecfr.gov/current/title-42/part-484/section-484.75</x:v>
      </x:c>
      <x:c r="P445" s="90" t="str"/>
    </x:row>
    <x:row r="446" ht="42" customHeight="1">
      <x:c r="A446" s="90" t="str">
        <x:v>OT-03</x:v>
      </x:c>
      <x:c r="B446" s="90" t="str">
        <x:v>OT</x:v>
      </x:c>
      <x:c r="C446" s="90" t="str">
        <x:v>CL-SD-024</x:v>
      </x:c>
      <x:c r="D446" s="90" t="str">
        <x:v>Missed Visit &amp; Rescheduling</x:v>
      </x:c>
      <x:c r="E446" s="90" t="str">
        <x:v>Conditional</x:v>
      </x:c>
      <x:c r="F446" s="90" t="str">
        <x:v>Yes</x:v>
      </x:c>
      <x:c r="G446" s="90" t="str">
        <x:v>Yes — bundled</x:v>
      </x:c>
      <x:c r="H446" s="90" t="str">
        <x:v>Therapy-Only OASIS &amp; Specialty OT Services</x:v>
      </x:c>
      <x:c r="I446" s="90" t="str">
        <x:v>85% OASIS exam/coding exercise if authorized; skill checks for specialty care</x:v>
      </x:c>
      <x:c r="J446" s="90" t="str">
        <x:v>By day 14; before independent duty if earlier</x:v>
      </x:c>
      <x:c r="K446" s="90" t="str">
        <x:v>At hire; then on material revision</x:v>
      </x:c>
      <x:c r="L446" s="90" t="str">
        <x:v>Partial hold</x:v>
      </x:c>
      <x:c r="M446" s="90" t="str">
        <x:v>Federal rules permit OT assessment in specified therapy-only cases, but the supplied RN-only policy text must be corrected before release.</x:v>
      </x:c>
      <x:c r="N446" s="90" t="str">
        <x:v>12-allPoliciesContent.generated.ts — CL-SD-024</x:v>
      </x:c>
      <x:c r="O446" s="90" t="str">
        <x:v>https://www.ecfr.gov/current/title-42/part-484/section-484.75</x:v>
      </x:c>
      <x:c r="P446" s="90" t="str"/>
    </x:row>
    <x:row r="447" ht="42" customHeight="1">
      <x:c r="A447" s="90" t="str">
        <x:v>OT-03</x:v>
      </x:c>
      <x:c r="B447" s="90" t="str">
        <x:v>OT</x:v>
      </x:c>
      <x:c r="C447" s="90" t="str">
        <x:v>CL-SD-025</x:v>
      </x:c>
      <x:c r="D447" s="90" t="str">
        <x:v>Ordered Visit Frequency Compliance &amp; Monitoring</x:v>
      </x:c>
      <x:c r="E447" s="90" t="str">
        <x:v>Conditional</x:v>
      </x:c>
      <x:c r="F447" s="90" t="str">
        <x:v>Yes</x:v>
      </x:c>
      <x:c r="G447" s="90" t="str">
        <x:v>Yes — bundled</x:v>
      </x:c>
      <x:c r="H447" s="90" t="str">
        <x:v>Therapy-Only OASIS &amp; Specialty OT Services</x:v>
      </x:c>
      <x:c r="I447" s="90" t="str">
        <x:v>85% OASIS exam/coding exercise if authorized; skill checks for specialty care</x:v>
      </x:c>
      <x:c r="J447" s="90" t="str">
        <x:v>By day 14; before independent duty if earlier</x:v>
      </x:c>
      <x:c r="K447" s="90" t="str">
        <x:v>At hire; then on material revision</x:v>
      </x:c>
      <x:c r="L447" s="90" t="str">
        <x:v>Partial hold</x:v>
      </x:c>
      <x:c r="M447" s="90" t="str">
        <x:v>Federal rules permit OT assessment in specified therapy-only cases, but the supplied RN-only policy text must be corrected before release.</x:v>
      </x:c>
      <x:c r="N447" s="90" t="str">
        <x:v>12-allPoliciesContent.generated.ts — CL-SD-025</x:v>
      </x:c>
      <x:c r="O447" s="90" t="str">
        <x:v>https://www.ecfr.gov/current/title-42/part-484/section-484.75</x:v>
      </x:c>
      <x:c r="P447" s="90" t="str"/>
    </x:row>
    <x:row r="448" ht="42" customHeight="1">
      <x:c r="A448" s="90" t="str">
        <x:v>OT-03</x:v>
      </x:c>
      <x:c r="B448" s="90" t="str">
        <x:v>OT</x:v>
      </x:c>
      <x:c r="C448" s="90" t="str">
        <x:v>RM-PS-005</x:v>
      </x:c>
      <x:c r="D448" s="90" t="str">
        <x:v>High-Risk Medication Safety</x:v>
      </x:c>
      <x:c r="E448" s="90" t="str">
        <x:v>Conditional</x:v>
      </x:c>
      <x:c r="F448" s="90" t="str">
        <x:v>Yes</x:v>
      </x:c>
      <x:c r="G448" s="90" t="str">
        <x:v>Yes — bundled</x:v>
      </x:c>
      <x:c r="H448" s="90" t="str">
        <x:v>Therapy-Only OASIS &amp; Specialty OT Services</x:v>
      </x:c>
      <x:c r="I448" s="90" t="str">
        <x:v>85% OASIS exam/coding exercise if authorized; skill checks for specialty care</x:v>
      </x:c>
      <x:c r="J448" s="90" t="str">
        <x:v>By day 14; before independent duty if earlier</x:v>
      </x:c>
      <x:c r="K448" s="90" t="str">
        <x:v>At hire; then on material revision</x:v>
      </x:c>
      <x:c r="L448" s="90" t="str">
        <x:v>Partial hold</x:v>
      </x:c>
      <x:c r="M448" s="90" t="str">
        <x:v>Federal rules permit OT assessment in specified therapy-only cases, but the supplied RN-only policy text must be corrected before release.</x:v>
      </x:c>
      <x:c r="N448" s="90" t="str">
        <x:v>12-allPoliciesContent.generated.ts — RM-PS-005</x:v>
      </x:c>
      <x:c r="O448" s="90" t="str"/>
      <x:c r="P448" s="90" t="str"/>
    </x:row>
    <x:row r="449" ht="42" customHeight="1">
      <x:c r="A449" s="90" t="str">
        <x:v>COTA-01</x:v>
      </x:c>
      <x:c r="B449" s="90" t="str">
        <x:v>COTA</x:v>
      </x:c>
      <x:c r="C449" s="90" t="str">
        <x:v>MISSING-COTA-JD</x:v>
      </x:c>
      <x:c r="D449" s="90" t="str">
        <x:v>Certified Occupational Therapy Assistant — dedicated job description not present</x:v>
      </x:c>
      <x:c r="E449" s="90" t="str">
        <x:v>Hold</x:v>
      </x:c>
      <x:c r="F449" s="90" t="str">
        <x:v>Yes</x:v>
      </x:c>
      <x:c r="G449" s="90" t="str">
        <x:v>Yes — bundled</x:v>
      </x:c>
      <x:c r="H449" s="90" t="str">
        <x:v>COTA Scope Under OT Supervision &amp; Competency</x:v>
      </x:c>
      <x:c r="I449" s="90" t="str">
        <x:v>80% quiz plus supervised competency validation</x:v>
      </x:c>
      <x:c r="J449" s="90" t="str">
        <x:v>By day 14; before independent duty if earlier</x:v>
      </x:c>
      <x:c r="K449" s="90" t="str">
        <x:v>At hire; then on material revision</x:v>
      </x:c>
      <x:c r="L449" s="90" t="str">
        <x:v>Hold</x:v>
      </x:c>
      <x:c r="M449" s="90" t="str">
        <x:v>COTA duties must be anchored to a dedicated job description and OT-supervised scope.</x:v>
      </x:c>
      <x:c r="N449" s="90" t="str">
        <x:v>Source gap: referenced in taxonomy/crosswalk, but full generated policy body is absent</x:v>
      </x:c>
      <x:c r="O449" s="90" t="str"/>
      <x:c r="P449" s="90" t="str"/>
    </x:row>
    <x:row r="450" ht="42" customHeight="1">
      <x:c r="A450" s="90" t="str">
        <x:v>COTA-01</x:v>
      </x:c>
      <x:c r="B450" s="90" t="str">
        <x:v>COTA</x:v>
      </x:c>
      <x:c r="C450" s="90" t="str">
        <x:v>HR-JD-000</x:v>
      </x:c>
      <x:c r="D450" s="90" t="str">
        <x:v>Job Description Framework &amp; Organizational Chart</x:v>
      </x:c>
      <x:c r="E450" s="90" t="str">
        <x:v>Core</x:v>
      </x:c>
      <x:c r="F450" s="90" t="str">
        <x:v>Yes</x:v>
      </x:c>
      <x:c r="G450" s="90" t="str">
        <x:v>Yes — bundled</x:v>
      </x:c>
      <x:c r="H450" s="90" t="str">
        <x:v>COTA Scope Under OT Supervision &amp; Competency</x:v>
      </x:c>
      <x:c r="I450" s="90" t="str">
        <x:v>80% quiz plus supervised competency validation</x:v>
      </x:c>
      <x:c r="J450" s="90" t="str">
        <x:v>By day 14; before independent duty if earlier</x:v>
      </x:c>
      <x:c r="K450" s="90" t="str">
        <x:v>At hire; then on material revision</x:v>
      </x:c>
      <x:c r="L450" s="90" t="str">
        <x:v>Partial hold</x:v>
      </x:c>
      <x:c r="M450" s="90" t="str">
        <x:v>COTA duties must be anchored to a dedicated job description and OT-supervised scope.</x:v>
      </x:c>
      <x:c r="N450" s="90" t="str">
        <x:v>12-allPoliciesContent.generated.ts — HR-JD-000</x:v>
      </x:c>
      <x:c r="O450" s="90" t="str">
        <x:v>https://www.ecfr.gov/current/title-42/part-484/section-484.105</x:v>
      </x:c>
      <x:c r="P450" s="90" t="str"/>
    </x:row>
    <x:row r="451" ht="42" customHeight="1">
      <x:c r="A451" s="90" t="str">
        <x:v>COTA-01</x:v>
      </x:c>
      <x:c r="B451" s="90" t="str">
        <x:v>COTA</x:v>
      </x:c>
      <x:c r="C451" s="90" t="str">
        <x:v>CL-SD-003</x:v>
      </x:c>
      <x:c r="D451" s="90" t="str">
        <x:v>Occupational Therapy Services</x:v>
      </x:c>
      <x:c r="E451" s="90" t="str">
        <x:v>Core</x:v>
      </x:c>
      <x:c r="F451" s="90" t="str">
        <x:v>Yes</x:v>
      </x:c>
      <x:c r="G451" s="90" t="str">
        <x:v>Yes — bundled</x:v>
      </x:c>
      <x:c r="H451" s="90" t="str">
        <x:v>COTA Scope Under OT Supervision &amp; Competency</x:v>
      </x:c>
      <x:c r="I451" s="90" t="str">
        <x:v>80% quiz plus supervised competency validation</x:v>
      </x:c>
      <x:c r="J451" s="90" t="str">
        <x:v>By day 14; before independent duty if earlier</x:v>
      </x:c>
      <x:c r="K451" s="90" t="str">
        <x:v>At hire; then on material revision</x:v>
      </x:c>
      <x:c r="L451" s="90" t="str">
        <x:v>Partial hold</x:v>
      </x:c>
      <x:c r="M451" s="90" t="str">
        <x:v>COTA duties must be anchored to a dedicated job description and OT-supervised scope.</x:v>
      </x:c>
      <x:c r="N451" s="90" t="str">
        <x:v>12-allPoliciesContent.generated.ts — CL-SD-003</x:v>
      </x:c>
      <x:c r="O451" s="90" t="str">
        <x:v>https://www.ecfr.gov/current/title-42/part-484/section-484.75</x:v>
      </x:c>
      <x:c r="P451" s="90" t="str"/>
    </x:row>
    <x:row r="452" ht="42" customHeight="1">
      <x:c r="A452" s="90" t="str">
        <x:v>COTA-01</x:v>
      </x:c>
      <x:c r="B452" s="90" t="str">
        <x:v>COTA</x:v>
      </x:c>
      <x:c r="C452" s="90" t="str">
        <x:v>CL-SD-008</x:v>
      </x:c>
      <x:c r="D452" s="90" t="str">
        <x:v>Clinical Supervision &amp; Oversight</x:v>
      </x:c>
      <x:c r="E452" s="90" t="str">
        <x:v>Core</x:v>
      </x:c>
      <x:c r="F452" s="90" t="str">
        <x:v>Yes</x:v>
      </x:c>
      <x:c r="G452" s="90" t="str">
        <x:v>Yes — bundled</x:v>
      </x:c>
      <x:c r="H452" s="90" t="str">
        <x:v>COTA Scope Under OT Supervision &amp; Competency</x:v>
      </x:c>
      <x:c r="I452" s="90" t="str">
        <x:v>80% quiz plus supervised competency validation</x:v>
      </x:c>
      <x:c r="J452" s="90" t="str">
        <x:v>By day 14; before independent duty if earlier</x:v>
      </x:c>
      <x:c r="K452" s="90" t="str">
        <x:v>At hire; then on material revision</x:v>
      </x:c>
      <x:c r="L452" s="90" t="str">
        <x:v>Partial hold</x:v>
      </x:c>
      <x:c r="M452" s="90" t="str">
        <x:v>COTA duties must be anchored to a dedicated job description and OT-supervised scope.</x:v>
      </x:c>
      <x:c r="N452" s="90" t="str">
        <x:v>12-allPoliciesContent.generated.ts — CL-SD-008</x:v>
      </x:c>
      <x:c r="O452" s="90" t="str">
        <x:v>https://www.ecfr.gov/current/title-42/part-484/section-484.75</x:v>
      </x:c>
      <x:c r="P452" s="90" t="str"/>
    </x:row>
    <x:row r="453" ht="42" customHeight="1">
      <x:c r="A453" s="90" t="str">
        <x:v>COTA-01</x:v>
      </x:c>
      <x:c r="B453" s="90" t="str">
        <x:v>COTA</x:v>
      </x:c>
      <x:c r="C453" s="90" t="str">
        <x:v>HR-TA-006</x:v>
      </x:c>
      <x:c r="D453" s="90" t="str">
        <x:v>Job Description &amp; Role Definition</x:v>
      </x:c>
      <x:c r="E453" s="90" t="str">
        <x:v>Core</x:v>
      </x:c>
      <x:c r="F453" s="90" t="str">
        <x:v>Yes</x:v>
      </x:c>
      <x:c r="G453" s="90" t="str">
        <x:v>Yes — bundled</x:v>
      </x:c>
      <x:c r="H453" s="90" t="str">
        <x:v>COTA Scope Under OT Supervision &amp; Competency</x:v>
      </x:c>
      <x:c r="I453" s="90" t="str">
        <x:v>80% quiz plus supervised competency validation</x:v>
      </x:c>
      <x:c r="J453" s="90" t="str">
        <x:v>By day 14; before independent duty if earlier</x:v>
      </x:c>
      <x:c r="K453" s="90" t="str">
        <x:v>At hire; then on material revision</x:v>
      </x:c>
      <x:c r="L453" s="90" t="str">
        <x:v>Partial hold</x:v>
      </x:c>
      <x:c r="M453" s="90" t="str">
        <x:v>COTA duties must be anchored to a dedicated job description and OT-supervised scope.</x:v>
      </x:c>
      <x:c r="N453" s="90" t="str">
        <x:v>12-allPoliciesContent.generated.ts — HR-TA-006</x:v>
      </x:c>
      <x:c r="O453" s="90" t="str"/>
      <x:c r="P453" s="90" t="str"/>
    </x:row>
    <x:row r="454" ht="42" customHeight="1">
      <x:c r="A454" s="90" t="str">
        <x:v>COTA-01</x:v>
      </x:c>
      <x:c r="B454" s="90" t="str">
        <x:v>COTA</x:v>
      </x:c>
      <x:c r="C454" s="90" t="str">
        <x:v>HR-TD-003</x:v>
      </x:c>
      <x:c r="D454" s="90" t="str">
        <x:v>Clinical Staff Competency Evaluation</x:v>
      </x:c>
      <x:c r="E454" s="90" t="str">
        <x:v>Core</x:v>
      </x:c>
      <x:c r="F454" s="90" t="str">
        <x:v>Yes</x:v>
      </x:c>
      <x:c r="G454" s="90" t="str">
        <x:v>Yes — bundled</x:v>
      </x:c>
      <x:c r="H454" s="90" t="str">
        <x:v>COTA Scope Under OT Supervision &amp; Competency</x:v>
      </x:c>
      <x:c r="I454" s="90" t="str">
        <x:v>80% quiz plus supervised competency validation</x:v>
      </x:c>
      <x:c r="J454" s="90" t="str">
        <x:v>By day 14; before independent duty if earlier</x:v>
      </x:c>
      <x:c r="K454" s="90" t="str">
        <x:v>At hire; then on material revision</x:v>
      </x:c>
      <x:c r="L454" s="90" t="str">
        <x:v>Partial hold</x:v>
      </x:c>
      <x:c r="M454" s="90" t="str">
        <x:v>COTA duties must be anchored to a dedicated job description and OT-supervised scope.</x:v>
      </x:c>
      <x:c r="N454" s="90" t="str">
        <x:v>12-allPoliciesContent.generated.ts — HR-TD-003</x:v>
      </x:c>
      <x:c r="O454" s="90" t="str"/>
      <x:c r="P454" s="90" t="str"/>
    </x:row>
    <x:row r="455" ht="42" customHeight="1">
      <x:c r="A455" s="90" t="str">
        <x:v>COTA-02</x:v>
      </x:c>
      <x:c r="B455" s="90" t="str">
        <x:v>COTA</x:v>
      </x:c>
      <x:c r="C455" s="90" t="str">
        <x:v>CL-CD-001</x:v>
      </x:c>
      <x:c r="D455" s="90" t="str">
        <x:v>Clinical Documentation Standards</x:v>
      </x:c>
      <x:c r="E455" s="90" t="str">
        <x:v>Core</x:v>
      </x:c>
      <x:c r="F455" s="90" t="str">
        <x:v>Yes</x:v>
      </x:c>
      <x:c r="G455" s="90" t="str">
        <x:v>Yes — bundled</x:v>
      </x:c>
      <x:c r="H455" s="90" t="str">
        <x:v>COTA Documentation, Care-Plan Compliance &amp; Field Safety</x:v>
      </x:c>
      <x:c r="I455" s="90" t="str">
        <x:v>80% quiz plus documentation/reporting scenarios</x:v>
      </x:c>
      <x:c r="J455" s="90" t="str">
        <x:v>By day 14; before independent duty if earlier</x:v>
      </x:c>
      <x:c r="K455" s="90" t="str">
        <x:v>At hire; then on material revision</x:v>
      </x:c>
      <x:c r="L455" s="90" t="str">
        <x:v>Ready</x:v>
      </x:c>
      <x:c r="M455" s="90" t="str">
        <x:v>Assistant-level documentation, coordination, safeguards, and field safety under OT direction.</x:v>
      </x:c>
      <x:c r="N455" s="90" t="str">
        <x:v>12-allPoliciesContent.generated.ts — CL-CD-001</x:v>
      </x:c>
      <x:c r="O455" s="90" t="str">
        <x:v>https://www.ecfr.gov/current/title-42/part-484/section-484.110</x:v>
      </x:c>
      <x:c r="P455" s="90" t="str"/>
    </x:row>
    <x:row r="456" ht="42" customHeight="1">
      <x:c r="A456" s="90" t="str">
        <x:v>COTA-02</x:v>
      </x:c>
      <x:c r="B456" s="90" t="str">
        <x:v>COTA</x:v>
      </x:c>
      <x:c r="C456" s="90" t="str">
        <x:v>CL-CD-002</x:v>
      </x:c>
      <x:c r="D456" s="90" t="str">
        <x:v>Clinical Record Content &amp; Organization</x:v>
      </x:c>
      <x:c r="E456" s="90" t="str">
        <x:v>Core</x:v>
      </x:c>
      <x:c r="F456" s="90" t="str">
        <x:v>Yes</x:v>
      </x:c>
      <x:c r="G456" s="90" t="str">
        <x:v>Yes — bundled</x:v>
      </x:c>
      <x:c r="H456" s="90" t="str">
        <x:v>COTA Documentation, Care-Plan Compliance &amp; Field Safety</x:v>
      </x:c>
      <x:c r="I456" s="90" t="str">
        <x:v>80% quiz plus documentation/reporting scenarios</x:v>
      </x:c>
      <x:c r="J456" s="90" t="str">
        <x:v>By day 14; before independent duty if earlier</x:v>
      </x:c>
      <x:c r="K456" s="90" t="str">
        <x:v>At hire; then on material revision</x:v>
      </x:c>
      <x:c r="L456" s="90" t="str">
        <x:v>Ready</x:v>
      </x:c>
      <x:c r="M456" s="90" t="str">
        <x:v>Assistant-level documentation, coordination, safeguards, and field safety under OT direction.</x:v>
      </x:c>
      <x:c r="N456" s="90" t="str">
        <x:v>12-allPoliciesContent.generated.ts — CL-CD-002</x:v>
      </x:c>
      <x:c r="O456" s="90" t="str">
        <x:v>https://www.ecfr.gov/current/title-42/part-484/section-484.110</x:v>
      </x:c>
      <x:c r="P456" s="90" t="str"/>
    </x:row>
    <x:row r="457" ht="42" customHeight="1">
      <x:c r="A457" s="90" t="str">
        <x:v>COTA-02</x:v>
      </x:c>
      <x:c r="B457" s="90" t="str">
        <x:v>COTA</x:v>
      </x:c>
      <x:c r="C457" s="90" t="str">
        <x:v>CL-CD-003</x:v>
      </x:c>
      <x:c r="D457" s="90" t="str">
        <x:v>Clinical Record Authentication &amp; Signature Requirements</x:v>
      </x:c>
      <x:c r="E457" s="90" t="str">
        <x:v>Core</x:v>
      </x:c>
      <x:c r="F457" s="90" t="str">
        <x:v>Yes</x:v>
      </x:c>
      <x:c r="G457" s="90" t="str">
        <x:v>Yes — bundled</x:v>
      </x:c>
      <x:c r="H457" s="90" t="str">
        <x:v>COTA Documentation, Care-Plan Compliance &amp; Field Safety</x:v>
      </x:c>
      <x:c r="I457" s="90" t="str">
        <x:v>80% quiz plus documentation/reporting scenarios</x:v>
      </x:c>
      <x:c r="J457" s="90" t="str">
        <x:v>By day 14; before independent duty if earlier</x:v>
      </x:c>
      <x:c r="K457" s="90" t="str">
        <x:v>At hire; then on material revision</x:v>
      </x:c>
      <x:c r="L457" s="90" t="str">
        <x:v>Ready</x:v>
      </x:c>
      <x:c r="M457" s="90" t="str">
        <x:v>Assistant-level documentation, coordination, safeguards, and field safety under OT direction.</x:v>
      </x:c>
      <x:c r="N457" s="90" t="str">
        <x:v>12-allPoliciesContent.generated.ts — CL-CD-003</x:v>
      </x:c>
      <x:c r="O457" s="90" t="str">
        <x:v>https://www.ecfr.gov/current/title-42/part-484/section-484.110</x:v>
      </x:c>
      <x:c r="P457" s="90" t="str"/>
    </x:row>
    <x:row r="458" ht="42" customHeight="1">
      <x:c r="A458" s="90" t="str">
        <x:v>COTA-02</x:v>
      </x:c>
      <x:c r="B458" s="90" t="str">
        <x:v>COTA</x:v>
      </x:c>
      <x:c r="C458" s="90" t="str">
        <x:v>CL-CD-004</x:v>
      </x:c>
      <x:c r="D458" s="90" t="str">
        <x:v>Timely Documentation Completion &amp; Lock Requirements</x:v>
      </x:c>
      <x:c r="E458" s="90" t="str">
        <x:v>Core</x:v>
      </x:c>
      <x:c r="F458" s="90" t="str">
        <x:v>Yes</x:v>
      </x:c>
      <x:c r="G458" s="90" t="str">
        <x:v>Yes — bundled</x:v>
      </x:c>
      <x:c r="H458" s="90" t="str">
        <x:v>COTA Documentation, Care-Plan Compliance &amp; Field Safety</x:v>
      </x:c>
      <x:c r="I458" s="90" t="str">
        <x:v>80% quiz plus documentation/reporting scenarios</x:v>
      </x:c>
      <x:c r="J458" s="90" t="str">
        <x:v>By day 14; before independent duty if earlier</x:v>
      </x:c>
      <x:c r="K458" s="90" t="str">
        <x:v>At hire; then on material revision</x:v>
      </x:c>
      <x:c r="L458" s="90" t="str">
        <x:v>Ready</x:v>
      </x:c>
      <x:c r="M458" s="90" t="str">
        <x:v>Assistant-level documentation, coordination, safeguards, and field safety under OT direction.</x:v>
      </x:c>
      <x:c r="N458" s="90" t="str">
        <x:v>12-allPoliciesContent.generated.ts — CL-CD-004</x:v>
      </x:c>
      <x:c r="O458" s="90" t="str">
        <x:v>https://www.ecfr.gov/current/title-42/part-484/section-484.110</x:v>
      </x:c>
      <x:c r="P458" s="90" t="str"/>
    </x:row>
    <x:row r="459" ht="42" customHeight="1">
      <x:c r="A459" s="90" t="str">
        <x:v>COTA-02</x:v>
      </x:c>
      <x:c r="B459" s="90" t="str">
        <x:v>COTA</x:v>
      </x:c>
      <x:c r="C459" s="90" t="str">
        <x:v>CO-DC-003</x:v>
      </x:c>
      <x:c r="D459" s="90" t="str">
        <x:v>Late Entry, Correction &amp; Amendment Standards</x:v>
      </x:c>
      <x:c r="E459" s="90" t="str">
        <x:v>Core</x:v>
      </x:c>
      <x:c r="F459" s="90" t="str">
        <x:v>Yes</x:v>
      </x:c>
      <x:c r="G459" s="90" t="str">
        <x:v>Yes — bundled</x:v>
      </x:c>
      <x:c r="H459" s="90" t="str">
        <x:v>COTA Documentation, Care-Plan Compliance &amp; Field Safety</x:v>
      </x:c>
      <x:c r="I459" s="90" t="str">
        <x:v>80% quiz plus documentation/reporting scenarios</x:v>
      </x:c>
      <x:c r="J459" s="90" t="str">
        <x:v>By day 14; before independent duty if earlier</x:v>
      </x:c>
      <x:c r="K459" s="90" t="str">
        <x:v>At hire; then on material revision</x:v>
      </x:c>
      <x:c r="L459" s="90" t="str">
        <x:v>Ready</x:v>
      </x:c>
      <x:c r="M459" s="90" t="str">
        <x:v>Assistant-level documentation, coordination, safeguards, and field safety under OT direction.</x:v>
      </x:c>
      <x:c r="N459" s="90" t="str">
        <x:v>12-allPoliciesContent.generated.ts — CO-DC-003</x:v>
      </x:c>
      <x:c r="O459" s="90" t="str">
        <x:v>https://www.ecfr.gov/current/title-42/part-484/section-484.110</x:v>
      </x:c>
      <x:c r="P459" s="90" t="str"/>
    </x:row>
    <x:row r="460" ht="42" customHeight="1">
      <x:c r="A460" s="90" t="str">
        <x:v>COTA-02</x:v>
      </x:c>
      <x:c r="B460" s="90" t="str">
        <x:v>COTA</x:v>
      </x:c>
      <x:c r="C460" s="90" t="str">
        <x:v>CL-CP-001</x:v>
      </x:c>
      <x:c r="D460" s="90" t="str">
        <x:v>Plan of Care Development &amp; Approval</x:v>
      </x:c>
      <x:c r="E460" s="90" t="str">
        <x:v>Core</x:v>
      </x:c>
      <x:c r="F460" s="90" t="str">
        <x:v>Yes</x:v>
      </x:c>
      <x:c r="G460" s="90" t="str">
        <x:v>Yes — bundled</x:v>
      </x:c>
      <x:c r="H460" s="90" t="str">
        <x:v>COTA Documentation, Care-Plan Compliance &amp; Field Safety</x:v>
      </x:c>
      <x:c r="I460" s="90" t="str">
        <x:v>80% quiz plus documentation/reporting scenarios</x:v>
      </x:c>
      <x:c r="J460" s="90" t="str">
        <x:v>By day 14; before independent duty if earlier</x:v>
      </x:c>
      <x:c r="K460" s="90" t="str">
        <x:v>At hire; then on material revision</x:v>
      </x:c>
      <x:c r="L460" s="90" t="str">
        <x:v>Ready</x:v>
      </x:c>
      <x:c r="M460" s="90" t="str">
        <x:v>Assistant-level documentation, coordination, safeguards, and field safety under OT direction.</x:v>
      </x:c>
      <x:c r="N460" s="90" t="str">
        <x:v>12-allPoliciesContent.generated.ts — CL-CP-001</x:v>
      </x:c>
      <x:c r="O460" s="90" t="str">
        <x:v>https://www.ecfr.gov/current/title-42/part-484/section-484.60</x:v>
      </x:c>
      <x:c r="P460" s="90" t="str"/>
    </x:row>
    <x:row r="461" ht="42" customHeight="1">
      <x:c r="A461" s="90" t="str">
        <x:v>COTA-02</x:v>
      </x:c>
      <x:c r="B461" s="90" t="str">
        <x:v>COTA</x:v>
      </x:c>
      <x:c r="C461" s="90" t="str">
        <x:v>CL-CP-005</x:v>
      </x:c>
      <x:c r="D461" s="90" t="str">
        <x:v>Coordination of Care</x:v>
      </x:c>
      <x:c r="E461" s="90" t="str">
        <x:v>Core</x:v>
      </x:c>
      <x:c r="F461" s="90" t="str">
        <x:v>Yes</x:v>
      </x:c>
      <x:c r="G461" s="90" t="str">
        <x:v>Yes — bundled</x:v>
      </x:c>
      <x:c r="H461" s="90" t="str">
        <x:v>COTA Documentation, Care-Plan Compliance &amp; Field Safety</x:v>
      </x:c>
      <x:c r="I461" s="90" t="str">
        <x:v>80% quiz plus documentation/reporting scenarios</x:v>
      </x:c>
      <x:c r="J461" s="90" t="str">
        <x:v>By day 14; before independent duty if earlier</x:v>
      </x:c>
      <x:c r="K461" s="90" t="str">
        <x:v>At hire; then on material revision</x:v>
      </x:c>
      <x:c r="L461" s="90" t="str">
        <x:v>Ready</x:v>
      </x:c>
      <x:c r="M461" s="90" t="str">
        <x:v>Assistant-level documentation, coordination, safeguards, and field safety under OT direction.</x:v>
      </x:c>
      <x:c r="N461" s="90" t="str">
        <x:v>12-allPoliciesContent.generated.ts — CL-CP-005</x:v>
      </x:c>
      <x:c r="O461" s="90" t="str">
        <x:v>https://www.ecfr.gov/current/title-42/part-484/section-484.60</x:v>
      </x:c>
      <x:c r="P461" s="90" t="str"/>
    </x:row>
    <x:row r="462" ht="42" customHeight="1">
      <x:c r="A462" s="90" t="str">
        <x:v>COTA-02</x:v>
      </x:c>
      <x:c r="B462" s="90" t="str">
        <x:v>COTA</x:v>
      </x:c>
      <x:c r="C462" s="90" t="str">
        <x:v>CL-CP-006</x:v>
      </x:c>
      <x:c r="D462" s="90" t="str">
        <x:v>Discharge Planning &amp; Criteria</x:v>
      </x:c>
      <x:c r="E462" s="90" t="str">
        <x:v>Core</x:v>
      </x:c>
      <x:c r="F462" s="90" t="str">
        <x:v>Yes</x:v>
      </x:c>
      <x:c r="G462" s="90" t="str">
        <x:v>Yes — bundled</x:v>
      </x:c>
      <x:c r="H462" s="90" t="str">
        <x:v>COTA Documentation, Care-Plan Compliance &amp; Field Safety</x:v>
      </x:c>
      <x:c r="I462" s="90" t="str">
        <x:v>80% quiz plus documentation/reporting scenarios</x:v>
      </x:c>
      <x:c r="J462" s="90" t="str">
        <x:v>By day 14; before independent duty if earlier</x:v>
      </x:c>
      <x:c r="K462" s="90" t="str">
        <x:v>At hire; then on material revision</x:v>
      </x:c>
      <x:c r="L462" s="90" t="str">
        <x:v>Ready</x:v>
      </x:c>
      <x:c r="M462" s="90" t="str">
        <x:v>Assistant-level documentation, coordination, safeguards, and field safety under OT direction.</x:v>
      </x:c>
      <x:c r="N462" s="90" t="str">
        <x:v>12-allPoliciesContent.generated.ts — CL-CP-006</x:v>
      </x:c>
      <x:c r="O462" s="90" t="str">
        <x:v>https://www.ecfr.gov/current/title-42/part-484/section-484.60</x:v>
      </x:c>
      <x:c r="P462" s="90" t="str"/>
    </x:row>
    <x:row r="463" ht="42" customHeight="1">
      <x:c r="A463" s="90" t="str">
        <x:v>COTA-02</x:v>
      </x:c>
      <x:c r="B463" s="90" t="str">
        <x:v>COTA</x:v>
      </x:c>
      <x:c r="C463" s="90" t="str">
        <x:v>CL-CP-007</x:v>
      </x:c>
      <x:c r="D463" s="90" t="str">
        <x:v>Transfer &amp; Referral Procedures</x:v>
      </x:c>
      <x:c r="E463" s="90" t="str">
        <x:v>Core</x:v>
      </x:c>
      <x:c r="F463" s="90" t="str">
        <x:v>Yes</x:v>
      </x:c>
      <x:c r="G463" s="90" t="str">
        <x:v>Yes — bundled</x:v>
      </x:c>
      <x:c r="H463" s="90" t="str">
        <x:v>COTA Documentation, Care-Plan Compliance &amp; Field Safety</x:v>
      </x:c>
      <x:c r="I463" s="90" t="str">
        <x:v>80% quiz plus documentation/reporting scenarios</x:v>
      </x:c>
      <x:c r="J463" s="90" t="str">
        <x:v>By day 14; before independent duty if earlier</x:v>
      </x:c>
      <x:c r="K463" s="90" t="str">
        <x:v>At hire; then on material revision</x:v>
      </x:c>
      <x:c r="L463" s="90" t="str">
        <x:v>Ready</x:v>
      </x:c>
      <x:c r="M463" s="90" t="str">
        <x:v>Assistant-level documentation, coordination, safeguards, and field safety under OT direction.</x:v>
      </x:c>
      <x:c r="N463" s="90" t="str">
        <x:v>12-allPoliciesContent.generated.ts — CL-CP-007</x:v>
      </x:c>
      <x:c r="O463" s="90" t="str">
        <x:v>https://www.ecfr.gov/current/title-42/part-484/section-484.60</x:v>
      </x:c>
      <x:c r="P463" s="90" t="str"/>
    </x:row>
    <x:row r="464" ht="42" customHeight="1">
      <x:c r="A464" s="90" t="str">
        <x:v>COTA-02</x:v>
      </x:c>
      <x:c r="B464" s="90" t="str">
        <x:v>COTA</x:v>
      </x:c>
      <x:c r="C464" s="90" t="str">
        <x:v>CL-CC-101</x:v>
      </x:c>
      <x:c r="D464" s="90" t="str">
        <x:v>Care Coordination &amp; SDOH Management</x:v>
      </x:c>
      <x:c r="E464" s="90" t="str">
        <x:v>Core</x:v>
      </x:c>
      <x:c r="F464" s="90" t="str">
        <x:v>Yes</x:v>
      </x:c>
      <x:c r="G464" s="90" t="str">
        <x:v>Yes — bundled</x:v>
      </x:c>
      <x:c r="H464" s="90" t="str">
        <x:v>COTA Documentation, Care-Plan Compliance &amp; Field Safety</x:v>
      </x:c>
      <x:c r="I464" s="90" t="str">
        <x:v>80% quiz plus documentation/reporting scenarios</x:v>
      </x:c>
      <x:c r="J464" s="90" t="str">
        <x:v>By day 14; before independent duty if earlier</x:v>
      </x:c>
      <x:c r="K464" s="90" t="str">
        <x:v>At hire; then on material revision</x:v>
      </x:c>
      <x:c r="L464" s="90" t="str">
        <x:v>Ready</x:v>
      </x:c>
      <x:c r="M464" s="90" t="str">
        <x:v>Assistant-level documentation, coordination, safeguards, and field safety under OT direction.</x:v>
      </x:c>
      <x:c r="N464" s="90" t="str">
        <x:v>12-allPoliciesContent.generated.ts — CL-CC-101</x:v>
      </x:c>
      <x:c r="O464" s="90" t="str">
        <x:v>https://www.ecfr.gov/current/title-42/part-484/section-484.60</x:v>
      </x:c>
      <x:c r="P464" s="90" t="str"/>
    </x:row>
    <x:row r="465" ht="42" customHeight="1">
      <x:c r="A465" s="90" t="str">
        <x:v>COTA-02</x:v>
      </x:c>
      <x:c r="B465" s="90" t="str">
        <x:v>COTA</x:v>
      </x:c>
      <x:c r="C465" s="90" t="str">
        <x:v>CL-PR-002</x:v>
      </x:c>
      <x:c r="D465" s="90" t="str">
        <x:v>Advance Directive Compliance</x:v>
      </x:c>
      <x:c r="E465" s="90" t="str">
        <x:v>Core</x:v>
      </x:c>
      <x:c r="F465" s="90" t="str">
        <x:v>Yes</x:v>
      </x:c>
      <x:c r="G465" s="90" t="str">
        <x:v>Yes — bundled</x:v>
      </x:c>
      <x:c r="H465" s="90" t="str">
        <x:v>COTA Documentation, Care-Plan Compliance &amp; Field Safety</x:v>
      </x:c>
      <x:c r="I465" s="90" t="str">
        <x:v>80% quiz plus documentation/reporting scenarios</x:v>
      </x:c>
      <x:c r="J465" s="90" t="str">
        <x:v>By day 14; before independent duty if earlier</x:v>
      </x:c>
      <x:c r="K465" s="90" t="str">
        <x:v>At hire; then on material revision</x:v>
      </x:c>
      <x:c r="L465" s="90" t="str">
        <x:v>Ready</x:v>
      </x:c>
      <x:c r="M465" s="90" t="str">
        <x:v>Assistant-level documentation, coordination, safeguards, and field safety under OT direction.</x:v>
      </x:c>
      <x:c r="N465" s="90" t="str">
        <x:v>12-allPoliciesContent.generated.ts — CL-PR-002</x:v>
      </x:c>
      <x:c r="O465" s="90" t="str">
        <x:v>https://www.ecfr.gov/current/title-42/part-484/section-484.50</x:v>
      </x:c>
      <x:c r="P465" s="90" t="str"/>
    </x:row>
    <x:row r="466" ht="42" customHeight="1">
      <x:c r="A466" s="90" t="str">
        <x:v>COTA-02</x:v>
      </x:c>
      <x:c r="B466" s="90" t="str">
        <x:v>COTA</x:v>
      </x:c>
      <x:c r="C466" s="90" t="str">
        <x:v>CL-PR-003</x:v>
      </x:c>
      <x:c r="D466" s="90" t="str">
        <x:v>Informed Consent</x:v>
      </x:c>
      <x:c r="E466" s="90" t="str">
        <x:v>Core</x:v>
      </x:c>
      <x:c r="F466" s="90" t="str">
        <x:v>Yes</x:v>
      </x:c>
      <x:c r="G466" s="90" t="str">
        <x:v>Yes — bundled</x:v>
      </x:c>
      <x:c r="H466" s="90" t="str">
        <x:v>COTA Documentation, Care-Plan Compliance &amp; Field Safety</x:v>
      </x:c>
      <x:c r="I466" s="90" t="str">
        <x:v>80% quiz plus documentation/reporting scenarios</x:v>
      </x:c>
      <x:c r="J466" s="90" t="str">
        <x:v>By day 14; before independent duty if earlier</x:v>
      </x:c>
      <x:c r="K466" s="90" t="str">
        <x:v>At hire; then on material revision</x:v>
      </x:c>
      <x:c r="L466" s="90" t="str">
        <x:v>Ready</x:v>
      </x:c>
      <x:c r="M466" s="90" t="str">
        <x:v>Assistant-level documentation, coordination, safeguards, and field safety under OT direction.</x:v>
      </x:c>
      <x:c r="N466" s="90" t="str">
        <x:v>12-allPoliciesContent.generated.ts — CL-PR-003</x:v>
      </x:c>
      <x:c r="O466" s="90" t="str">
        <x:v>https://www.ecfr.gov/current/title-42/part-484/section-484.50</x:v>
      </x:c>
      <x:c r="P466" s="90" t="str"/>
    </x:row>
    <x:row r="467" ht="42" customHeight="1">
      <x:c r="A467" s="90" t="str">
        <x:v>COTA-02</x:v>
      </x:c>
      <x:c r="B467" s="90" t="str">
        <x:v>COTA</x:v>
      </x:c>
      <x:c r="C467" s="90" t="str">
        <x:v>CL-PR-004</x:v>
      </x:c>
      <x:c r="D467" s="90" t="str">
        <x:v>Restraint &amp; Seclusion Prohibition</x:v>
      </x:c>
      <x:c r="E467" s="90" t="str">
        <x:v>Core</x:v>
      </x:c>
      <x:c r="F467" s="90" t="str">
        <x:v>Yes</x:v>
      </x:c>
      <x:c r="G467" s="90" t="str">
        <x:v>Yes — bundled</x:v>
      </x:c>
      <x:c r="H467" s="90" t="str">
        <x:v>COTA Documentation, Care-Plan Compliance &amp; Field Safety</x:v>
      </x:c>
      <x:c r="I467" s="90" t="str">
        <x:v>80% quiz plus documentation/reporting scenarios</x:v>
      </x:c>
      <x:c r="J467" s="90" t="str">
        <x:v>By day 14; before independent duty if earlier</x:v>
      </x:c>
      <x:c r="K467" s="90" t="str">
        <x:v>At hire; then on material revision</x:v>
      </x:c>
      <x:c r="L467" s="90" t="str">
        <x:v>Ready</x:v>
      </x:c>
      <x:c r="M467" s="90" t="str">
        <x:v>Assistant-level documentation, coordination, safeguards, and field safety under OT direction.</x:v>
      </x:c>
      <x:c r="N467" s="90" t="str">
        <x:v>12-allPoliciesContent.generated.ts — CL-PR-004</x:v>
      </x:c>
      <x:c r="O467" s="90" t="str">
        <x:v>https://www.ecfr.gov/current/title-42/part-484/section-484.50</x:v>
      </x:c>
      <x:c r="P467" s="90" t="str"/>
    </x:row>
    <x:row r="468" ht="42" customHeight="1">
      <x:c r="A468" s="90" t="str">
        <x:v>COTA-02</x:v>
      </x:c>
      <x:c r="B468" s="90" t="str">
        <x:v>COTA</x:v>
      </x:c>
      <x:c r="C468" s="90" t="str">
        <x:v>CL-PR-005</x:v>
      </x:c>
      <x:c r="D468" s="90" t="str">
        <x:v>Emergency Preparedness — Clinical</x:v>
      </x:c>
      <x:c r="E468" s="90" t="str">
        <x:v>Core</x:v>
      </x:c>
      <x:c r="F468" s="90" t="str">
        <x:v>Yes</x:v>
      </x:c>
      <x:c r="G468" s="90" t="str">
        <x:v>Yes — bundled</x:v>
      </x:c>
      <x:c r="H468" s="90" t="str">
        <x:v>COTA Documentation, Care-Plan Compliance &amp; Field Safety</x:v>
      </x:c>
      <x:c r="I468" s="90" t="str">
        <x:v>80% quiz plus documentation/reporting scenarios</x:v>
      </x:c>
      <x:c r="J468" s="90" t="str">
        <x:v>By day 14; before independent duty if earlier</x:v>
      </x:c>
      <x:c r="K468" s="90" t="str">
        <x:v>At hire; then on material revision</x:v>
      </x:c>
      <x:c r="L468" s="90" t="str">
        <x:v>Ready</x:v>
      </x:c>
      <x:c r="M468" s="90" t="str">
        <x:v>Assistant-level documentation, coordination, safeguards, and field safety under OT direction.</x:v>
      </x:c>
      <x:c r="N468" s="90" t="str">
        <x:v>12-allPoliciesContent.generated.ts — CL-PR-005</x:v>
      </x:c>
      <x:c r="O468" s="90" t="str">
        <x:v>https://www.ecfr.gov/current/title-42/part-484/section-484.50</x:v>
      </x:c>
      <x:c r="P468" s="90" t="str"/>
    </x:row>
    <x:row r="469" ht="42" customHeight="1">
      <x:c r="A469" s="90" t="str">
        <x:v>COTA-02</x:v>
      </x:c>
      <x:c r="B469" s="90" t="str">
        <x:v>COTA</x:v>
      </x:c>
      <x:c r="C469" s="90" t="str">
        <x:v>OP-PA-002</x:v>
      </x:c>
      <x:c r="D469" s="90" t="str">
        <x:v>Patient Identification &amp; Verification</x:v>
      </x:c>
      <x:c r="E469" s="90" t="str">
        <x:v>Core</x:v>
      </x:c>
      <x:c r="F469" s="90" t="str">
        <x:v>Yes</x:v>
      </x:c>
      <x:c r="G469" s="90" t="str">
        <x:v>Yes — bundled</x:v>
      </x:c>
      <x:c r="H469" s="90" t="str">
        <x:v>COTA Documentation, Care-Plan Compliance &amp; Field Safety</x:v>
      </x:c>
      <x:c r="I469" s="90" t="str">
        <x:v>80% quiz plus documentation/reporting scenarios</x:v>
      </x:c>
      <x:c r="J469" s="90" t="str">
        <x:v>By day 14; before independent duty if earlier</x:v>
      </x:c>
      <x:c r="K469" s="90" t="str">
        <x:v>At hire; then on material revision</x:v>
      </x:c>
      <x:c r="L469" s="90" t="str">
        <x:v>Ready</x:v>
      </x:c>
      <x:c r="M469" s="90" t="str">
        <x:v>Assistant-level documentation, coordination, safeguards, and field safety under OT direction.</x:v>
      </x:c>
      <x:c r="N469" s="90" t="str">
        <x:v>12-allPoliciesContent.generated.ts — OP-PA-002</x:v>
      </x:c>
      <x:c r="O469" s="90" t="str"/>
      <x:c r="P469" s="90" t="str"/>
    </x:row>
    <x:row r="470" ht="42" customHeight="1">
      <x:c r="A470" s="90" t="str">
        <x:v>COTA-02</x:v>
      </x:c>
      <x:c r="B470" s="90" t="str">
        <x:v>COTA</x:v>
      </x:c>
      <x:c r="C470" s="90" t="str">
        <x:v>OP-PA-003</x:v>
      </x:c>
      <x:c r="D470" s="90" t="str">
        <x:v>Interpreter &amp; Language Access Services</x:v>
      </x:c>
      <x:c r="E470" s="90" t="str">
        <x:v>Core</x:v>
      </x:c>
      <x:c r="F470" s="90" t="str">
        <x:v>Yes</x:v>
      </x:c>
      <x:c r="G470" s="90" t="str">
        <x:v>Yes — bundled</x:v>
      </x:c>
      <x:c r="H470" s="90" t="str">
        <x:v>COTA Documentation, Care-Plan Compliance &amp; Field Safety</x:v>
      </x:c>
      <x:c r="I470" s="90" t="str">
        <x:v>80% quiz plus documentation/reporting scenarios</x:v>
      </x:c>
      <x:c r="J470" s="90" t="str">
        <x:v>By day 14; before independent duty if earlier</x:v>
      </x:c>
      <x:c r="K470" s="90" t="str">
        <x:v>At hire; then on material revision</x:v>
      </x:c>
      <x:c r="L470" s="90" t="str">
        <x:v>Ready</x:v>
      </x:c>
      <x:c r="M470" s="90" t="str">
        <x:v>Assistant-level documentation, coordination, safeguards, and field safety under OT direction.</x:v>
      </x:c>
      <x:c r="N470" s="90" t="str">
        <x:v>12-allPoliciesContent.generated.ts — OP-PA-003</x:v>
      </x:c>
      <x:c r="O470" s="90" t="str"/>
      <x:c r="P470" s="90" t="str"/>
    </x:row>
    <x:row r="471" ht="42" customHeight="1">
      <x:c r="A471" s="90" t="str">
        <x:v>COTA-02</x:v>
      </x:c>
      <x:c r="B471" s="90" t="str">
        <x:v>COTA</x:v>
      </x:c>
      <x:c r="C471" s="90" t="str">
        <x:v>OP-PA-004</x:v>
      </x:c>
      <x:c r="D471" s="90" t="str">
        <x:v>Cultural Competency in Service Delivery</x:v>
      </x:c>
      <x:c r="E471" s="90" t="str">
        <x:v>Core</x:v>
      </x:c>
      <x:c r="F471" s="90" t="str">
        <x:v>Yes</x:v>
      </x:c>
      <x:c r="G471" s="90" t="str">
        <x:v>Yes — bundled</x:v>
      </x:c>
      <x:c r="H471" s="90" t="str">
        <x:v>COTA Documentation, Care-Plan Compliance &amp; Field Safety</x:v>
      </x:c>
      <x:c r="I471" s="90" t="str">
        <x:v>80% quiz plus documentation/reporting scenarios</x:v>
      </x:c>
      <x:c r="J471" s="90" t="str">
        <x:v>By day 14; before independent duty if earlier</x:v>
      </x:c>
      <x:c r="K471" s="90" t="str">
        <x:v>At hire; then on material revision</x:v>
      </x:c>
      <x:c r="L471" s="90" t="str">
        <x:v>Ready</x:v>
      </x:c>
      <x:c r="M471" s="90" t="str">
        <x:v>Assistant-level documentation, coordination, safeguards, and field safety under OT direction.</x:v>
      </x:c>
      <x:c r="N471" s="90" t="str">
        <x:v>12-allPoliciesContent.generated.ts — OP-PA-004</x:v>
      </x:c>
      <x:c r="O471" s="90" t="str"/>
      <x:c r="P471" s="90" t="str"/>
    </x:row>
    <x:row r="472" ht="42" customHeight="1">
      <x:c r="A472" s="90" t="str">
        <x:v>COTA-02</x:v>
      </x:c>
      <x:c r="B472" s="90" t="str">
        <x:v>COTA</x:v>
      </x:c>
      <x:c r="C472" s="90" t="str">
        <x:v>OP-PA-005</x:v>
      </x:c>
      <x:c r="D472" s="90" t="str">
        <x:v>Patient Property &amp; Belongings</x:v>
      </x:c>
      <x:c r="E472" s="90" t="str">
        <x:v>Core</x:v>
      </x:c>
      <x:c r="F472" s="90" t="str">
        <x:v>Yes</x:v>
      </x:c>
      <x:c r="G472" s="90" t="str">
        <x:v>Yes — bundled</x:v>
      </x:c>
      <x:c r="H472" s="90" t="str">
        <x:v>COTA Documentation, Care-Plan Compliance &amp; Field Safety</x:v>
      </x:c>
      <x:c r="I472" s="90" t="str">
        <x:v>80% quiz plus documentation/reporting scenarios</x:v>
      </x:c>
      <x:c r="J472" s="90" t="str">
        <x:v>By day 14; before independent duty if earlier</x:v>
      </x:c>
      <x:c r="K472" s="90" t="str">
        <x:v>At hire; then on material revision</x:v>
      </x:c>
      <x:c r="L472" s="90" t="str">
        <x:v>Ready</x:v>
      </x:c>
      <x:c r="M472" s="90" t="str">
        <x:v>Assistant-level documentation, coordination, safeguards, and field safety under OT direction.</x:v>
      </x:c>
      <x:c r="N472" s="90" t="str">
        <x:v>12-allPoliciesContent.generated.ts — OP-PA-005</x:v>
      </x:c>
      <x:c r="O472" s="90" t="str"/>
      <x:c r="P472" s="90" t="str"/>
    </x:row>
    <x:row r="473" ht="42" customHeight="1">
      <x:c r="A473" s="90" t="str">
        <x:v>COTA-02</x:v>
      </x:c>
      <x:c r="B473" s="90" t="str">
        <x:v>COTA</x:v>
      </x:c>
      <x:c r="C473" s="90" t="str">
        <x:v>OP-SL-001</x:v>
      </x:c>
      <x:c r="D473" s="90" t="str">
        <x:v>Scheduling &amp; Visit Management</x:v>
      </x:c>
      <x:c r="E473" s="90" t="str">
        <x:v>Core</x:v>
      </x:c>
      <x:c r="F473" s="90" t="str">
        <x:v>Yes</x:v>
      </x:c>
      <x:c r="G473" s="90" t="str">
        <x:v>Yes — bundled</x:v>
      </x:c>
      <x:c r="H473" s="90" t="str">
        <x:v>COTA Documentation, Care-Plan Compliance &amp; Field Safety</x:v>
      </x:c>
      <x:c r="I473" s="90" t="str">
        <x:v>80% quiz plus documentation/reporting scenarios</x:v>
      </x:c>
      <x:c r="J473" s="90" t="str">
        <x:v>By day 14; before independent duty if earlier</x:v>
      </x:c>
      <x:c r="K473" s="90" t="str">
        <x:v>At hire; then on material revision</x:v>
      </x:c>
      <x:c r="L473" s="90" t="str">
        <x:v>Ready</x:v>
      </x:c>
      <x:c r="M473" s="90" t="str">
        <x:v>Assistant-level documentation, coordination, safeguards, and field safety under OT direction.</x:v>
      </x:c>
      <x:c r="N473" s="90" t="str">
        <x:v>12-allPoliciesContent.generated.ts — OP-SL-001</x:v>
      </x:c>
      <x:c r="O473" s="90" t="str"/>
      <x:c r="P473" s="90" t="str"/>
    </x:row>
    <x:row r="474" ht="42" customHeight="1">
      <x:c r="A474" s="90" t="str">
        <x:v>COTA-02</x:v>
      </x:c>
      <x:c r="B474" s="90" t="str">
        <x:v>COTA</x:v>
      </x:c>
      <x:c r="C474" s="90" t="str">
        <x:v>OP-SL-004</x:v>
      </x:c>
      <x:c r="D474" s="90" t="str">
        <x:v>Equipment &amp; Supply Management</x:v>
      </x:c>
      <x:c r="E474" s="90" t="str">
        <x:v>Core</x:v>
      </x:c>
      <x:c r="F474" s="90" t="str">
        <x:v>Yes</x:v>
      </x:c>
      <x:c r="G474" s="90" t="str">
        <x:v>Yes — bundled</x:v>
      </x:c>
      <x:c r="H474" s="90" t="str">
        <x:v>COTA Documentation, Care-Plan Compliance &amp; Field Safety</x:v>
      </x:c>
      <x:c r="I474" s="90" t="str">
        <x:v>80% quiz plus documentation/reporting scenarios</x:v>
      </x:c>
      <x:c r="J474" s="90" t="str">
        <x:v>By day 14; before independent duty if earlier</x:v>
      </x:c>
      <x:c r="K474" s="90" t="str">
        <x:v>At hire; then on material revision</x:v>
      </x:c>
      <x:c r="L474" s="90" t="str">
        <x:v>Ready</x:v>
      </x:c>
      <x:c r="M474" s="90" t="str">
        <x:v>Assistant-level documentation, coordination, safeguards, and field safety under OT direction.</x:v>
      </x:c>
      <x:c r="N474" s="90" t="str">
        <x:v>12-allPoliciesContent.generated.ts — OP-SL-004</x:v>
      </x:c>
      <x:c r="O474" s="90" t="str"/>
      <x:c r="P474" s="90" t="str"/>
    </x:row>
    <x:row r="475" ht="42" customHeight="1">
      <x:c r="A475" s="90" t="str">
        <x:v>COTA-02</x:v>
      </x:c>
      <x:c r="B475" s="90" t="str">
        <x:v>COTA</x:v>
      </x:c>
      <x:c r="C475" s="90" t="str">
        <x:v>OP-SL-007</x:v>
      </x:c>
      <x:c r="D475" s="90" t="str">
        <x:v>Inclement Weather &amp; Hazardous Conditions</x:v>
      </x:c>
      <x:c r="E475" s="90" t="str">
        <x:v>Core</x:v>
      </x:c>
      <x:c r="F475" s="90" t="str">
        <x:v>Yes</x:v>
      </x:c>
      <x:c r="G475" s="90" t="str">
        <x:v>Yes — bundled</x:v>
      </x:c>
      <x:c r="H475" s="90" t="str">
        <x:v>COTA Documentation, Care-Plan Compliance &amp; Field Safety</x:v>
      </x:c>
      <x:c r="I475" s="90" t="str">
        <x:v>80% quiz plus documentation/reporting scenarios</x:v>
      </x:c>
      <x:c r="J475" s="90" t="str">
        <x:v>By day 14; before independent duty if earlier</x:v>
      </x:c>
      <x:c r="K475" s="90" t="str">
        <x:v>At hire; then on material revision</x:v>
      </x:c>
      <x:c r="L475" s="90" t="str">
        <x:v>Ready</x:v>
      </x:c>
      <x:c r="M475" s="90" t="str">
        <x:v>Assistant-level documentation, coordination, safeguards, and field safety under OT direction.</x:v>
      </x:c>
      <x:c r="N475" s="90" t="str">
        <x:v>12-allPoliciesContent.generated.ts — OP-SL-007</x:v>
      </x:c>
      <x:c r="O475" s="90" t="str"/>
      <x:c r="P475" s="90" t="str"/>
    </x:row>
    <x:row r="476" ht="42" customHeight="1">
      <x:c r="A476" s="90" t="str">
        <x:v>COTA-02</x:v>
      </x:c>
      <x:c r="B476" s="90" t="str">
        <x:v>COTA</x:v>
      </x:c>
      <x:c r="C476" s="90" t="str">
        <x:v>RM-OS-002</x:v>
      </x:c>
      <x:c r="D476" s="90" t="str">
        <x:v>Aerosol Transmissible Disease (ATD) Exposure Control Plan</x:v>
      </x:c>
      <x:c r="E476" s="90" t="str">
        <x:v>Core</x:v>
      </x:c>
      <x:c r="F476" s="90" t="str">
        <x:v>Yes</x:v>
      </x:c>
      <x:c r="G476" s="90" t="str">
        <x:v>Yes — bundled</x:v>
      </x:c>
      <x:c r="H476" s="90" t="str">
        <x:v>COTA Documentation, Care-Plan Compliance &amp; Field Safety</x:v>
      </x:c>
      <x:c r="I476" s="90" t="str">
        <x:v>80% quiz plus documentation/reporting scenarios</x:v>
      </x:c>
      <x:c r="J476" s="90" t="str">
        <x:v>By day 14; before independent duty if earlier</x:v>
      </x:c>
      <x:c r="K476" s="90" t="str">
        <x:v>At hire; then on material revision</x:v>
      </x:c>
      <x:c r="L476" s="90" t="str">
        <x:v>Ready</x:v>
      </x:c>
      <x:c r="M476" s="90" t="str">
        <x:v>Assistant-level documentation, coordination, safeguards, and field safety under OT direction.</x:v>
      </x:c>
      <x:c r="N476" s="90" t="str">
        <x:v>12-allPoliciesContent.generated.ts — RM-OS-002</x:v>
      </x:c>
      <x:c r="O476" s="90" t="str">
        <x:v>https://www.dir.ca.gov/title8/5199.html</x:v>
      </x:c>
      <x:c r="P476" s="90" t="str"/>
    </x:row>
    <x:row r="477" ht="42" customHeight="1">
      <x:c r="A477" s="90" t="str">
        <x:v>COTA-02</x:v>
      </x:c>
      <x:c r="B477" s="90" t="str">
        <x:v>COTA</x:v>
      </x:c>
      <x:c r="C477" s="90" t="str">
        <x:v>RM-OS-003</x:v>
      </x:c>
      <x:c r="D477" s="90" t="str">
        <x:v>Bloodborne Pathogen (BBP) Exposure Control Plan</x:v>
      </x:c>
      <x:c r="E477" s="90" t="str">
        <x:v>Core</x:v>
      </x:c>
      <x:c r="F477" s="90" t="str">
        <x:v>Yes</x:v>
      </x:c>
      <x:c r="G477" s="90" t="str">
        <x:v>Yes — bundled</x:v>
      </x:c>
      <x:c r="H477" s="90" t="str">
        <x:v>COTA Documentation, Care-Plan Compliance &amp; Field Safety</x:v>
      </x:c>
      <x:c r="I477" s="90" t="str">
        <x:v>80% quiz plus documentation/reporting scenarios</x:v>
      </x:c>
      <x:c r="J477" s="90" t="str">
        <x:v>By day 14; before independent duty if earlier</x:v>
      </x:c>
      <x:c r="K477" s="90" t="str">
        <x:v>At hire; then on material revision</x:v>
      </x:c>
      <x:c r="L477" s="90" t="str">
        <x:v>Ready</x:v>
      </x:c>
      <x:c r="M477" s="90" t="str">
        <x:v>Assistant-level documentation, coordination, safeguards, and field safety under OT direction.</x:v>
      </x:c>
      <x:c r="N477" s="90" t="str">
        <x:v>12-allPoliciesContent.generated.ts — RM-OS-003</x:v>
      </x:c>
      <x:c r="O477" s="90" t="str">
        <x:v>https://www.dir.ca.gov/title8/5193.html</x:v>
      </x:c>
      <x:c r="P477" s="90" t="str"/>
    </x:row>
    <x:row r="478" ht="42" customHeight="1">
      <x:c r="A478" s="90" t="str">
        <x:v>COTA-02</x:v>
      </x:c>
      <x:c r="B478" s="90" t="str">
        <x:v>COTA</x:v>
      </x:c>
      <x:c r="C478" s="90" t="str">
        <x:v>RM-OS-004</x:v>
      </x:c>
      <x:c r="D478" s="90" t="str">
        <x:v>Heat Illness Prevention Program</x:v>
      </x:c>
      <x:c r="E478" s="90" t="str">
        <x:v>Conditional</x:v>
      </x:c>
      <x:c r="F478" s="90" t="str">
        <x:v>Yes</x:v>
      </x:c>
      <x:c r="G478" s="90" t="str">
        <x:v>Yes — bundled</x:v>
      </x:c>
      <x:c r="H478" s="90" t="str">
        <x:v>COTA Documentation, Care-Plan Compliance &amp; Field Safety</x:v>
      </x:c>
      <x:c r="I478" s="90" t="str">
        <x:v>80% quiz plus documentation/reporting scenarios</x:v>
      </x:c>
      <x:c r="J478" s="90" t="str">
        <x:v>By day 14; before independent duty if earlier</x:v>
      </x:c>
      <x:c r="K478" s="90" t="str">
        <x:v>At hire; then on material revision</x:v>
      </x:c>
      <x:c r="L478" s="90" t="str">
        <x:v>Ready</x:v>
      </x:c>
      <x:c r="M478" s="90" t="str">
        <x:v>Assistant-level documentation, coordination, safeguards, and field safety under OT direction.</x:v>
      </x:c>
      <x:c r="N478" s="90" t="str">
        <x:v>12-allPoliciesContent.generated.ts — RM-OS-004</x:v>
      </x:c>
      <x:c r="O478" s="90" t="str"/>
      <x:c r="P478" s="90" t="str"/>
    </x:row>
    <x:row r="479" ht="42" customHeight="1">
      <x:c r="A479" s="90" t="str">
        <x:v>COTA-02</x:v>
      </x:c>
      <x:c r="B479" s="90" t="str">
        <x:v>COTA</x:v>
      </x:c>
      <x:c r="C479" s="90" t="str">
        <x:v>RM-PS-001</x:v>
      </x:c>
      <x:c r="D479" s="90" t="str">
        <x:v>Environmental Safety Assessment</x:v>
      </x:c>
      <x:c r="E479" s="90" t="str">
        <x:v>Core</x:v>
      </x:c>
      <x:c r="F479" s="90" t="str">
        <x:v>Yes</x:v>
      </x:c>
      <x:c r="G479" s="90" t="str">
        <x:v>Yes — bundled</x:v>
      </x:c>
      <x:c r="H479" s="90" t="str">
        <x:v>COTA Documentation, Care-Plan Compliance &amp; Field Safety</x:v>
      </x:c>
      <x:c r="I479" s="90" t="str">
        <x:v>80% quiz plus documentation/reporting scenarios</x:v>
      </x:c>
      <x:c r="J479" s="90" t="str">
        <x:v>By day 14; before independent duty if earlier</x:v>
      </x:c>
      <x:c r="K479" s="90" t="str">
        <x:v>At hire; then on material revision</x:v>
      </x:c>
      <x:c r="L479" s="90" t="str">
        <x:v>Ready</x:v>
      </x:c>
      <x:c r="M479" s="90" t="str">
        <x:v>Assistant-level documentation, coordination, safeguards, and field safety under OT direction.</x:v>
      </x:c>
      <x:c r="N479" s="90" t="str">
        <x:v>12-allPoliciesContent.generated.ts — RM-PS-001</x:v>
      </x:c>
      <x:c r="O479" s="90" t="str"/>
      <x:c r="P479" s="90" t="str"/>
    </x:row>
    <x:row r="480" ht="42" customHeight="1">
      <x:c r="A480" s="90" t="str">
        <x:v>COTA-02</x:v>
      </x:c>
      <x:c r="B480" s="90" t="str">
        <x:v>COTA</x:v>
      </x:c>
      <x:c r="C480" s="90" t="str">
        <x:v>RM-PS-003</x:v>
      </x:c>
      <x:c r="D480" s="90" t="str">
        <x:v>Product &amp; Equipment Safety Recall Management</x:v>
      </x:c>
      <x:c r="E480" s="90" t="str">
        <x:v>Core</x:v>
      </x:c>
      <x:c r="F480" s="90" t="str">
        <x:v>Yes</x:v>
      </x:c>
      <x:c r="G480" s="90" t="str">
        <x:v>Yes — bundled</x:v>
      </x:c>
      <x:c r="H480" s="90" t="str">
        <x:v>COTA Documentation, Care-Plan Compliance &amp; Field Safety</x:v>
      </x:c>
      <x:c r="I480" s="90" t="str">
        <x:v>80% quiz plus documentation/reporting scenarios</x:v>
      </x:c>
      <x:c r="J480" s="90" t="str">
        <x:v>By day 14; before independent duty if earlier</x:v>
      </x:c>
      <x:c r="K480" s="90" t="str">
        <x:v>At hire; then on material revision</x:v>
      </x:c>
      <x:c r="L480" s="90" t="str">
        <x:v>Ready</x:v>
      </x:c>
      <x:c r="M480" s="90" t="str">
        <x:v>Assistant-level documentation, coordination, safeguards, and field safety under OT direction.</x:v>
      </x:c>
      <x:c r="N480" s="90" t="str">
        <x:v>12-allPoliciesContent.generated.ts — RM-PS-003</x:v>
      </x:c>
      <x:c r="O480" s="90" t="str"/>
      <x:c r="P480" s="90" t="str"/>
    </x:row>
    <x:row r="481" ht="42" customHeight="1">
      <x:c r="A481" s="90" t="str">
        <x:v>COTA-02</x:v>
      </x:c>
      <x:c r="B481" s="90" t="str">
        <x:v>COTA</x:v>
      </x:c>
      <x:c r="C481" s="90" t="str">
        <x:v>RM-SS-001</x:v>
      </x:c>
      <x:c r="D481" s="90" t="str">
        <x:v>Staff Safety &amp; Personal Security</x:v>
      </x:c>
      <x:c r="E481" s="90" t="str">
        <x:v>Core</x:v>
      </x:c>
      <x:c r="F481" s="90" t="str">
        <x:v>Yes</x:v>
      </x:c>
      <x:c r="G481" s="90" t="str">
        <x:v>Yes — bundled</x:v>
      </x:c>
      <x:c r="H481" s="90" t="str">
        <x:v>COTA Documentation, Care-Plan Compliance &amp; Field Safety</x:v>
      </x:c>
      <x:c r="I481" s="90" t="str">
        <x:v>80% quiz plus documentation/reporting scenarios</x:v>
      </x:c>
      <x:c r="J481" s="90" t="str">
        <x:v>By day 14; before independent duty if earlier</x:v>
      </x:c>
      <x:c r="K481" s="90" t="str">
        <x:v>At hire; then on material revision</x:v>
      </x:c>
      <x:c r="L481" s="90" t="str">
        <x:v>Ready</x:v>
      </x:c>
      <x:c r="M481" s="90" t="str">
        <x:v>Assistant-level documentation, coordination, safeguards, and field safety under OT direction.</x:v>
      </x:c>
      <x:c r="N481" s="90" t="str">
        <x:v>12-allPoliciesContent.generated.ts — RM-SS-001</x:v>
      </x:c>
      <x:c r="O481" s="90" t="str"/>
      <x:c r="P481" s="90" t="str"/>
    </x:row>
    <x:row r="482" ht="42" customHeight="1">
      <x:c r="A482" s="90" t="str">
        <x:v>COTA-02</x:v>
      </x:c>
      <x:c r="B482" s="90" t="str">
        <x:v>COTA</x:v>
      </x:c>
      <x:c r="C482" s="90" t="str">
        <x:v>RM-SS-003</x:v>
      </x:c>
      <x:c r="D482" s="90" t="str">
        <x:v>Motor Vehicle Safety &amp; Accident Reporting</x:v>
      </x:c>
      <x:c r="E482" s="90" t="str">
        <x:v>Conditional</x:v>
      </x:c>
      <x:c r="F482" s="90" t="str">
        <x:v>Yes</x:v>
      </x:c>
      <x:c r="G482" s="90" t="str">
        <x:v>Yes — bundled</x:v>
      </x:c>
      <x:c r="H482" s="90" t="str">
        <x:v>COTA Documentation, Care-Plan Compliance &amp; Field Safety</x:v>
      </x:c>
      <x:c r="I482" s="90" t="str">
        <x:v>80% quiz plus documentation/reporting scenarios</x:v>
      </x:c>
      <x:c r="J482" s="90" t="str">
        <x:v>By day 14; before independent duty if earlier</x:v>
      </x:c>
      <x:c r="K482" s="90" t="str">
        <x:v>At hire; then on material revision</x:v>
      </x:c>
      <x:c r="L482" s="90" t="str">
        <x:v>Ready</x:v>
      </x:c>
      <x:c r="M482" s="90" t="str">
        <x:v>Assistant-level documentation, coordination, safeguards, and field safety under OT direction.</x:v>
      </x:c>
      <x:c r="N482" s="90" t="str">
        <x:v>12-allPoliciesContent.generated.ts — RM-SS-003</x:v>
      </x:c>
      <x:c r="O482" s="90" t="str"/>
      <x:c r="P482" s="90" t="str"/>
    </x:row>
    <x:row r="483" ht="42" customHeight="1">
      <x:c r="A483" s="90" t="str">
        <x:v>COTA-02</x:v>
      </x:c>
      <x:c r="B483" s="90" t="str">
        <x:v>COTA</x:v>
      </x:c>
      <x:c r="C483" s="90" t="str">
        <x:v>OP-SL-003</x:v>
      </x:c>
      <x:c r="D483" s="90" t="str">
        <x:v>Vehicle &amp; Transportation Safety</x:v>
      </x:c>
      <x:c r="E483" s="90" t="str">
        <x:v>Conditional</x:v>
      </x:c>
      <x:c r="F483" s="90" t="str">
        <x:v>Yes</x:v>
      </x:c>
      <x:c r="G483" s="90" t="str">
        <x:v>Yes — bundled</x:v>
      </x:c>
      <x:c r="H483" s="90" t="str">
        <x:v>COTA Documentation, Care-Plan Compliance &amp; Field Safety</x:v>
      </x:c>
      <x:c r="I483" s="90" t="str">
        <x:v>80% quiz plus documentation/reporting scenarios</x:v>
      </x:c>
      <x:c r="J483" s="90" t="str">
        <x:v>By day 14; before independent duty if earlier</x:v>
      </x:c>
      <x:c r="K483" s="90" t="str">
        <x:v>At hire; then on material revision</x:v>
      </x:c>
      <x:c r="L483" s="90" t="str">
        <x:v>Ready</x:v>
      </x:c>
      <x:c r="M483" s="90" t="str">
        <x:v>Assistant-level documentation, coordination, safeguards, and field safety under OT direction.</x:v>
      </x:c>
      <x:c r="N483" s="90" t="str">
        <x:v>12-allPoliciesContent.generated.ts — OP-SL-003</x:v>
      </x:c>
      <x:c r="O483" s="90" t="str"/>
      <x:c r="P483" s="90" t="str"/>
    </x:row>
    <x:row r="484" ht="42" customHeight="1">
      <x:c r="A484" s="90" t="str">
        <x:v>COTA-03</x:v>
      </x:c>
      <x:c r="B484" s="90" t="str">
        <x:v>COTA</x:v>
      </x:c>
      <x:c r="C484" s="90" t="str">
        <x:v>CL-SD-009</x:v>
      </x:c>
      <x:c r="D484" s="90" t="str">
        <x:v>Telehealth &amp; Remote Monitoring Services</x:v>
      </x:c>
      <x:c r="E484" s="90" t="str">
        <x:v>Conditional</x:v>
      </x:c>
      <x:c r="F484" s="90" t="str">
        <x:v>Yes</x:v>
      </x:c>
      <x:c r="G484" s="90" t="str">
        <x:v>Yes — bundled</x:v>
      </x:c>
      <x:c r="H484" s="90" t="str">
        <x:v>COTA Specialty Safety &amp; Transitions</x:v>
      </x:c>
      <x:c r="I484" s="90" t="str">
        <x:v>80% quiz plus discipline-specific skill validation</x:v>
      </x:c>
      <x:c r="J484" s="90" t="str">
        <x:v>By day 14; before independent duty if earlier</x:v>
      </x:c>
      <x:c r="K484" s="90" t="str">
        <x:v>At hire; then on material revision</x:v>
      </x:c>
      <x:c r="L484" s="90" t="str">
        <x:v>Conditional</x:v>
      </x:c>
      <x:c r="M484" s="90" t="str">
        <x:v>Assign only for services within COTA scope and the supervising OT plan; no independent OASIS assignment.</x:v>
      </x:c>
      <x:c r="N484" s="90" t="str">
        <x:v>12-allPoliciesContent.generated.ts — CL-SD-009</x:v>
      </x:c>
      <x:c r="O484" s="90" t="str">
        <x:v>https://www.ecfr.gov/current/title-42/part-484/section-484.75</x:v>
      </x:c>
      <x:c r="P484" s="90" t="str"/>
    </x:row>
    <x:row r="485" ht="42" customHeight="1">
      <x:c r="A485" s="90" t="str">
        <x:v>COTA-03</x:v>
      </x:c>
      <x:c r="B485" s="90" t="str">
        <x:v>COTA</x:v>
      </x:c>
      <x:c r="C485" s="90" t="str">
        <x:v>CL-SD-011</x:v>
      </x:c>
      <x:c r="D485" s="90" t="str">
        <x:v>Wound Care Assessment &amp; Management</x:v>
      </x:c>
      <x:c r="E485" s="90" t="str">
        <x:v>Conditional</x:v>
      </x:c>
      <x:c r="F485" s="90" t="str">
        <x:v>Yes</x:v>
      </x:c>
      <x:c r="G485" s="90" t="str">
        <x:v>Yes — bundled</x:v>
      </x:c>
      <x:c r="H485" s="90" t="str">
        <x:v>COTA Specialty Safety &amp; Transitions</x:v>
      </x:c>
      <x:c r="I485" s="90" t="str">
        <x:v>80% quiz plus discipline-specific skill validation</x:v>
      </x:c>
      <x:c r="J485" s="90" t="str">
        <x:v>By day 14; before independent duty if earlier</x:v>
      </x:c>
      <x:c r="K485" s="90" t="str">
        <x:v>At hire; then on material revision</x:v>
      </x:c>
      <x:c r="L485" s="90" t="str">
        <x:v>Conditional</x:v>
      </x:c>
      <x:c r="M485" s="90" t="str">
        <x:v>Assign only for services within COTA scope and the supervising OT plan; no independent OASIS assignment.</x:v>
      </x:c>
      <x:c r="N485" s="90" t="str">
        <x:v>12-allPoliciesContent.generated.ts — CL-SD-011</x:v>
      </x:c>
      <x:c r="O485" s="90" t="str">
        <x:v>https://www.ecfr.gov/current/title-42/part-484/section-484.75</x:v>
      </x:c>
      <x:c r="P485" s="90" t="str"/>
    </x:row>
    <x:row r="486" ht="42" customHeight="1">
      <x:c r="A486" s="90" t="str">
        <x:v>COTA-03</x:v>
      </x:c>
      <x:c r="B486" s="90" t="str">
        <x:v>COTA</x:v>
      </x:c>
      <x:c r="C486" s="90" t="str">
        <x:v>CL-SD-014</x:v>
      </x:c>
      <x:c r="D486" s="90" t="str">
        <x:v>Pain Assessment &amp; Management</x:v>
      </x:c>
      <x:c r="E486" s="90" t="str">
        <x:v>Conditional</x:v>
      </x:c>
      <x:c r="F486" s="90" t="str">
        <x:v>Yes</x:v>
      </x:c>
      <x:c r="G486" s="90" t="str">
        <x:v>Yes — bundled</x:v>
      </x:c>
      <x:c r="H486" s="90" t="str">
        <x:v>COTA Specialty Safety &amp; Transitions</x:v>
      </x:c>
      <x:c r="I486" s="90" t="str">
        <x:v>80% quiz plus discipline-specific skill validation</x:v>
      </x:c>
      <x:c r="J486" s="90" t="str">
        <x:v>By day 14; before independent duty if earlier</x:v>
      </x:c>
      <x:c r="K486" s="90" t="str">
        <x:v>At hire; then on material revision</x:v>
      </x:c>
      <x:c r="L486" s="90" t="str">
        <x:v>Conditional</x:v>
      </x:c>
      <x:c r="M486" s="90" t="str">
        <x:v>Assign only for services within COTA scope and the supervising OT plan; no independent OASIS assignment.</x:v>
      </x:c>
      <x:c r="N486" s="90" t="str">
        <x:v>12-allPoliciesContent.generated.ts — CL-SD-014</x:v>
      </x:c>
      <x:c r="O486" s="90" t="str">
        <x:v>https://www.ecfr.gov/current/title-42/part-484/section-484.75</x:v>
      </x:c>
      <x:c r="P486" s="90" t="str"/>
    </x:row>
    <x:row r="487" ht="42" customHeight="1">
      <x:c r="A487" s="90" t="str">
        <x:v>COTA-03</x:v>
      </x:c>
      <x:c r="B487" s="90" t="str">
        <x:v>COTA</x:v>
      </x:c>
      <x:c r="C487" s="90" t="str">
        <x:v>CL-SD-015</x:v>
      </x:c>
      <x:c r="D487" s="90" t="str">
        <x:v>Fall Risk Assessment &amp; Prevention</x:v>
      </x:c>
      <x:c r="E487" s="90" t="str">
        <x:v>Conditional</x:v>
      </x:c>
      <x:c r="F487" s="90" t="str">
        <x:v>Yes</x:v>
      </x:c>
      <x:c r="G487" s="90" t="str">
        <x:v>Yes — bundled</x:v>
      </x:c>
      <x:c r="H487" s="90" t="str">
        <x:v>COTA Specialty Safety &amp; Transitions</x:v>
      </x:c>
      <x:c r="I487" s="90" t="str">
        <x:v>80% quiz plus discipline-specific skill validation</x:v>
      </x:c>
      <x:c r="J487" s="90" t="str">
        <x:v>By day 14; before independent duty if earlier</x:v>
      </x:c>
      <x:c r="K487" s="90" t="str">
        <x:v>At hire; then on material revision</x:v>
      </x:c>
      <x:c r="L487" s="90" t="str">
        <x:v>Conditional</x:v>
      </x:c>
      <x:c r="M487" s="90" t="str">
        <x:v>Assign only for services within COTA scope and the supervising OT plan; no independent OASIS assignment.</x:v>
      </x:c>
      <x:c r="N487" s="90" t="str">
        <x:v>12-allPoliciesContent.generated.ts — CL-SD-015</x:v>
      </x:c>
      <x:c r="O487" s="90" t="str">
        <x:v>https://www.ecfr.gov/current/title-42/part-484/section-484.75</x:v>
      </x:c>
      <x:c r="P487" s="90" t="str"/>
    </x:row>
    <x:row r="488" ht="42" customHeight="1">
      <x:c r="A488" s="90" t="str">
        <x:v>COTA-03</x:v>
      </x:c>
      <x:c r="B488" s="90" t="str">
        <x:v>COTA</x:v>
      </x:c>
      <x:c r="C488" s="90" t="str">
        <x:v>CL-SD-016</x:v>
      </x:c>
      <x:c r="D488" s="90" t="str">
        <x:v>Infection Prevention &amp; Control</x:v>
      </x:c>
      <x:c r="E488" s="90" t="str">
        <x:v>Conditional</x:v>
      </x:c>
      <x:c r="F488" s="90" t="str">
        <x:v>Yes</x:v>
      </x:c>
      <x:c r="G488" s="90" t="str">
        <x:v>Yes — bundled</x:v>
      </x:c>
      <x:c r="H488" s="90" t="str">
        <x:v>COTA Specialty Safety &amp; Transitions</x:v>
      </x:c>
      <x:c r="I488" s="90" t="str">
        <x:v>80% quiz plus discipline-specific skill validation</x:v>
      </x:c>
      <x:c r="J488" s="90" t="str">
        <x:v>By day 14; before independent duty if earlier</x:v>
      </x:c>
      <x:c r="K488" s="90" t="str">
        <x:v>At hire; then on material revision</x:v>
      </x:c>
      <x:c r="L488" s="90" t="str">
        <x:v>Conditional</x:v>
      </x:c>
      <x:c r="M488" s="90" t="str">
        <x:v>Assign only for services within COTA scope and the supervising OT plan; no independent OASIS assignment.</x:v>
      </x:c>
      <x:c r="N488" s="90" t="str">
        <x:v>12-allPoliciesContent.generated.ts — CL-SD-016</x:v>
      </x:c>
      <x:c r="O488" s="90" t="str">
        <x:v>https://www.ecfr.gov/current/title-42/part-484/section-484.75</x:v>
      </x:c>
      <x:c r="P488" s="90" t="str"/>
    </x:row>
    <x:row r="489" ht="42" customHeight="1">
      <x:c r="A489" s="90" t="str">
        <x:v>COTA-03</x:v>
      </x:c>
      <x:c r="B489" s="90" t="str">
        <x:v>COTA</x:v>
      </x:c>
      <x:c r="C489" s="90" t="str">
        <x:v>CL-SD-017</x:v>
      </x:c>
      <x:c r="D489" s="90" t="str">
        <x:v>Patient Education &amp; Self-Management</x:v>
      </x:c>
      <x:c r="E489" s="90" t="str">
        <x:v>Conditional</x:v>
      </x:c>
      <x:c r="F489" s="90" t="str">
        <x:v>Yes</x:v>
      </x:c>
      <x:c r="G489" s="90" t="str">
        <x:v>Yes — bundled</x:v>
      </x:c>
      <x:c r="H489" s="90" t="str">
        <x:v>COTA Specialty Safety &amp; Transitions</x:v>
      </x:c>
      <x:c r="I489" s="90" t="str">
        <x:v>80% quiz plus discipline-specific skill validation</x:v>
      </x:c>
      <x:c r="J489" s="90" t="str">
        <x:v>By day 14; before independent duty if earlier</x:v>
      </x:c>
      <x:c r="K489" s="90" t="str">
        <x:v>At hire; then on material revision</x:v>
      </x:c>
      <x:c r="L489" s="90" t="str">
        <x:v>Conditional</x:v>
      </x:c>
      <x:c r="M489" s="90" t="str">
        <x:v>Assign only for services within COTA scope and the supervising OT plan; no independent OASIS assignment.</x:v>
      </x:c>
      <x:c r="N489" s="90" t="str">
        <x:v>12-allPoliciesContent.generated.ts — CL-SD-017</x:v>
      </x:c>
      <x:c r="O489" s="90" t="str">
        <x:v>https://www.ecfr.gov/current/title-42/part-484/section-484.75</x:v>
      </x:c>
      <x:c r="P489" s="90" t="str"/>
    </x:row>
    <x:row r="490" ht="42" customHeight="1">
      <x:c r="A490" s="90" t="str">
        <x:v>COTA-03</x:v>
      </x:c>
      <x:c r="B490" s="90" t="str">
        <x:v>COTA</x:v>
      </x:c>
      <x:c r="C490" s="90" t="str">
        <x:v>CL-SD-018</x:v>
      </x:c>
      <x:c r="D490" s="90" t="str">
        <x:v>Diabetic Management &amp; Monitoring</x:v>
      </x:c>
      <x:c r="E490" s="90" t="str">
        <x:v>Conditional</x:v>
      </x:c>
      <x:c r="F490" s="90" t="str">
        <x:v>Yes</x:v>
      </x:c>
      <x:c r="G490" s="90" t="str">
        <x:v>Yes — bundled</x:v>
      </x:c>
      <x:c r="H490" s="90" t="str">
        <x:v>COTA Specialty Safety &amp; Transitions</x:v>
      </x:c>
      <x:c r="I490" s="90" t="str">
        <x:v>80% quiz plus discipline-specific skill validation</x:v>
      </x:c>
      <x:c r="J490" s="90" t="str">
        <x:v>By day 14; before independent duty if earlier</x:v>
      </x:c>
      <x:c r="K490" s="90" t="str">
        <x:v>At hire; then on material revision</x:v>
      </x:c>
      <x:c r="L490" s="90" t="str">
        <x:v>Conditional</x:v>
      </x:c>
      <x:c r="M490" s="90" t="str">
        <x:v>Assign only for services within COTA scope and the supervising OT plan; no independent OASIS assignment.</x:v>
      </x:c>
      <x:c r="N490" s="90" t="str">
        <x:v>12-allPoliciesContent.generated.ts — CL-SD-018</x:v>
      </x:c>
      <x:c r="O490" s="90" t="str">
        <x:v>https://www.ecfr.gov/current/title-42/part-484/section-484.75</x:v>
      </x:c>
      <x:c r="P490" s="90" t="str"/>
    </x:row>
    <x:row r="491" ht="42" customHeight="1">
      <x:c r="A491" s="90" t="str">
        <x:v>COTA-03</x:v>
      </x:c>
      <x:c r="B491" s="90" t="str">
        <x:v>COTA</x:v>
      </x:c>
      <x:c r="C491" s="90" t="str">
        <x:v>CL-SD-019</x:v>
      </x:c>
      <x:c r="D491" s="90" t="str">
        <x:v>Cardiac Care &amp; Monitoring</x:v>
      </x:c>
      <x:c r="E491" s="90" t="str">
        <x:v>Conditional</x:v>
      </x:c>
      <x:c r="F491" s="90" t="str">
        <x:v>Yes</x:v>
      </x:c>
      <x:c r="G491" s="90" t="str">
        <x:v>Yes — bundled</x:v>
      </x:c>
      <x:c r="H491" s="90" t="str">
        <x:v>COTA Specialty Safety &amp; Transitions</x:v>
      </x:c>
      <x:c r="I491" s="90" t="str">
        <x:v>80% quiz plus discipline-specific skill validation</x:v>
      </x:c>
      <x:c r="J491" s="90" t="str">
        <x:v>By day 14; before independent duty if earlier</x:v>
      </x:c>
      <x:c r="K491" s="90" t="str">
        <x:v>At hire; then on material revision</x:v>
      </x:c>
      <x:c r="L491" s="90" t="str">
        <x:v>Conditional</x:v>
      </x:c>
      <x:c r="M491" s="90" t="str">
        <x:v>Assign only for services within COTA scope and the supervising OT plan; no independent OASIS assignment.</x:v>
      </x:c>
      <x:c r="N491" s="90" t="str">
        <x:v>12-allPoliciesContent.generated.ts — CL-SD-019</x:v>
      </x:c>
      <x:c r="O491" s="90" t="str">
        <x:v>https://www.ecfr.gov/current/title-42/part-484/section-484.75</x:v>
      </x:c>
      <x:c r="P491" s="90" t="str"/>
    </x:row>
    <x:row r="492" ht="42" customHeight="1">
      <x:c r="A492" s="90" t="str">
        <x:v>COTA-03</x:v>
      </x:c>
      <x:c r="B492" s="90" t="str">
        <x:v>COTA</x:v>
      </x:c>
      <x:c r="C492" s="90" t="str">
        <x:v>CL-SD-020</x:v>
      </x:c>
      <x:c r="D492" s="90" t="str">
        <x:v>Respiratory Care &amp; Management</x:v>
      </x:c>
      <x:c r="E492" s="90" t="str">
        <x:v>Conditional</x:v>
      </x:c>
      <x:c r="F492" s="90" t="str">
        <x:v>Yes</x:v>
      </x:c>
      <x:c r="G492" s="90" t="str">
        <x:v>Yes — bundled</x:v>
      </x:c>
      <x:c r="H492" s="90" t="str">
        <x:v>COTA Specialty Safety &amp; Transitions</x:v>
      </x:c>
      <x:c r="I492" s="90" t="str">
        <x:v>80% quiz plus discipline-specific skill validation</x:v>
      </x:c>
      <x:c r="J492" s="90" t="str">
        <x:v>By day 14; before independent duty if earlier</x:v>
      </x:c>
      <x:c r="K492" s="90" t="str">
        <x:v>At hire; then on material revision</x:v>
      </x:c>
      <x:c r="L492" s="90" t="str">
        <x:v>Conditional</x:v>
      </x:c>
      <x:c r="M492" s="90" t="str">
        <x:v>Assign only for services within COTA scope and the supervising OT plan; no independent OASIS assignment.</x:v>
      </x:c>
      <x:c r="N492" s="90" t="str">
        <x:v>12-allPoliciesContent.generated.ts — CL-SD-020</x:v>
      </x:c>
      <x:c r="O492" s="90" t="str">
        <x:v>https://www.ecfr.gov/current/title-42/part-484/section-484.75</x:v>
      </x:c>
      <x:c r="P492" s="90" t="str"/>
    </x:row>
    <x:row r="493" ht="42" customHeight="1">
      <x:c r="A493" s="90" t="str">
        <x:v>COTA-03</x:v>
      </x:c>
      <x:c r="B493" s="90" t="str">
        <x:v>COTA</x:v>
      </x:c>
      <x:c r="C493" s="90" t="str">
        <x:v>CL-SD-021</x:v>
      </x:c>
      <x:c r="D493" s="90" t="str">
        <x:v>Pediatric Home Health Services</x:v>
      </x:c>
      <x:c r="E493" s="90" t="str">
        <x:v>Conditional</x:v>
      </x:c>
      <x:c r="F493" s="90" t="str">
        <x:v>Yes</x:v>
      </x:c>
      <x:c r="G493" s="90" t="str">
        <x:v>Yes — bundled</x:v>
      </x:c>
      <x:c r="H493" s="90" t="str">
        <x:v>COTA Specialty Safety &amp; Transitions</x:v>
      </x:c>
      <x:c r="I493" s="90" t="str">
        <x:v>80% quiz plus discipline-specific skill validation</x:v>
      </x:c>
      <x:c r="J493" s="90" t="str">
        <x:v>By day 14; before independent duty if earlier</x:v>
      </x:c>
      <x:c r="K493" s="90" t="str">
        <x:v>At hire; then on material revision</x:v>
      </x:c>
      <x:c r="L493" s="90" t="str">
        <x:v>Conditional</x:v>
      </x:c>
      <x:c r="M493" s="90" t="str">
        <x:v>Assign only for services within COTA scope and the supervising OT plan; no independent OASIS assignment.</x:v>
      </x:c>
      <x:c r="N493" s="90" t="str">
        <x:v>12-allPoliciesContent.generated.ts — CL-SD-021</x:v>
      </x:c>
      <x:c r="O493" s="90" t="str">
        <x:v>https://www.ecfr.gov/current/title-42/part-484/section-484.75</x:v>
      </x:c>
      <x:c r="P493" s="90" t="str"/>
    </x:row>
    <x:row r="494" ht="42" customHeight="1">
      <x:c r="A494" s="90" t="str">
        <x:v>COTA-03</x:v>
      </x:c>
      <x:c r="B494" s="90" t="str">
        <x:v>COTA</x:v>
      </x:c>
      <x:c r="C494" s="90" t="str">
        <x:v>CL-SD-022</x:v>
      </x:c>
      <x:c r="D494" s="90" t="str">
        <x:v>Behavioral Health Screening &amp; Referral</x:v>
      </x:c>
      <x:c r="E494" s="90" t="str">
        <x:v>Conditional</x:v>
      </x:c>
      <x:c r="F494" s="90" t="str">
        <x:v>Yes</x:v>
      </x:c>
      <x:c r="G494" s="90" t="str">
        <x:v>Yes — bundled</x:v>
      </x:c>
      <x:c r="H494" s="90" t="str">
        <x:v>COTA Specialty Safety &amp; Transitions</x:v>
      </x:c>
      <x:c r="I494" s="90" t="str">
        <x:v>80% quiz plus discipline-specific skill validation</x:v>
      </x:c>
      <x:c r="J494" s="90" t="str">
        <x:v>By day 14; before independent duty if earlier</x:v>
      </x:c>
      <x:c r="K494" s="90" t="str">
        <x:v>At hire; then on material revision</x:v>
      </x:c>
      <x:c r="L494" s="90" t="str">
        <x:v>Conditional</x:v>
      </x:c>
      <x:c r="M494" s="90" t="str">
        <x:v>Assign only for services within COTA scope and the supervising OT plan; no independent OASIS assignment.</x:v>
      </x:c>
      <x:c r="N494" s="90" t="str">
        <x:v>12-allPoliciesContent.generated.ts — CL-SD-022</x:v>
      </x:c>
      <x:c r="O494" s="90" t="str">
        <x:v>https://www.ecfr.gov/current/title-42/part-484/section-484.75</x:v>
      </x:c>
      <x:c r="P494" s="90" t="str"/>
    </x:row>
    <x:row r="495" ht="42" customHeight="1">
      <x:c r="A495" s="90" t="str">
        <x:v>COTA-03</x:v>
      </x:c>
      <x:c r="B495" s="90" t="str">
        <x:v>COTA</x:v>
      </x:c>
      <x:c r="C495" s="90" t="str">
        <x:v>CL-SD-023</x:v>
      </x:c>
      <x:c r="D495" s="90" t="str">
        <x:v>Palliative &amp; End-of-Life Care</x:v>
      </x:c>
      <x:c r="E495" s="90" t="str">
        <x:v>Conditional</x:v>
      </x:c>
      <x:c r="F495" s="90" t="str">
        <x:v>Yes</x:v>
      </x:c>
      <x:c r="G495" s="90" t="str">
        <x:v>Yes — bundled</x:v>
      </x:c>
      <x:c r="H495" s="90" t="str">
        <x:v>COTA Specialty Safety &amp; Transitions</x:v>
      </x:c>
      <x:c r="I495" s="90" t="str">
        <x:v>80% quiz plus discipline-specific skill validation</x:v>
      </x:c>
      <x:c r="J495" s="90" t="str">
        <x:v>By day 14; before independent duty if earlier</x:v>
      </x:c>
      <x:c r="K495" s="90" t="str">
        <x:v>At hire; then on material revision</x:v>
      </x:c>
      <x:c r="L495" s="90" t="str">
        <x:v>Conditional</x:v>
      </x:c>
      <x:c r="M495" s="90" t="str">
        <x:v>Assign only for services within COTA scope and the supervising OT plan; no independent OASIS assignment.</x:v>
      </x:c>
      <x:c r="N495" s="90" t="str">
        <x:v>12-allPoliciesContent.generated.ts — CL-SD-023</x:v>
      </x:c>
      <x:c r="O495" s="90" t="str">
        <x:v>https://www.ecfr.gov/current/title-42/part-484/section-484.75</x:v>
      </x:c>
      <x:c r="P495" s="90" t="str"/>
    </x:row>
    <x:row r="496" ht="42" customHeight="1">
      <x:c r="A496" s="90" t="str">
        <x:v>COTA-03</x:v>
      </x:c>
      <x:c r="B496" s="90" t="str">
        <x:v>COTA</x:v>
      </x:c>
      <x:c r="C496" s="90" t="str">
        <x:v>CL-SD-024</x:v>
      </x:c>
      <x:c r="D496" s="90" t="str">
        <x:v>Missed Visit &amp; Rescheduling</x:v>
      </x:c>
      <x:c r="E496" s="90" t="str">
        <x:v>Conditional</x:v>
      </x:c>
      <x:c r="F496" s="90" t="str">
        <x:v>Yes</x:v>
      </x:c>
      <x:c r="G496" s="90" t="str">
        <x:v>Yes — bundled</x:v>
      </x:c>
      <x:c r="H496" s="90" t="str">
        <x:v>COTA Specialty Safety &amp; Transitions</x:v>
      </x:c>
      <x:c r="I496" s="90" t="str">
        <x:v>80% quiz plus discipline-specific skill validation</x:v>
      </x:c>
      <x:c r="J496" s="90" t="str">
        <x:v>By day 14; before independent duty if earlier</x:v>
      </x:c>
      <x:c r="K496" s="90" t="str">
        <x:v>At hire; then on material revision</x:v>
      </x:c>
      <x:c r="L496" s="90" t="str">
        <x:v>Conditional</x:v>
      </x:c>
      <x:c r="M496" s="90" t="str">
        <x:v>Assign only for services within COTA scope and the supervising OT plan; no independent OASIS assignment.</x:v>
      </x:c>
      <x:c r="N496" s="90" t="str">
        <x:v>12-allPoliciesContent.generated.ts — CL-SD-024</x:v>
      </x:c>
      <x:c r="O496" s="90" t="str">
        <x:v>https://www.ecfr.gov/current/title-42/part-484/section-484.75</x:v>
      </x:c>
      <x:c r="P496" s="90" t="str"/>
    </x:row>
    <x:row r="497" ht="42" customHeight="1">
      <x:c r="A497" s="90" t="str">
        <x:v>COTA-03</x:v>
      </x:c>
      <x:c r="B497" s="90" t="str">
        <x:v>COTA</x:v>
      </x:c>
      <x:c r="C497" s="90" t="str">
        <x:v>CL-SD-025</x:v>
      </x:c>
      <x:c r="D497" s="90" t="str">
        <x:v>Ordered Visit Frequency Compliance &amp; Monitoring</x:v>
      </x:c>
      <x:c r="E497" s="90" t="str">
        <x:v>Conditional</x:v>
      </x:c>
      <x:c r="F497" s="90" t="str">
        <x:v>Yes</x:v>
      </x:c>
      <x:c r="G497" s="90" t="str">
        <x:v>Yes — bundled</x:v>
      </x:c>
      <x:c r="H497" s="90" t="str">
        <x:v>COTA Specialty Safety &amp; Transitions</x:v>
      </x:c>
      <x:c r="I497" s="90" t="str">
        <x:v>80% quiz plus discipline-specific skill validation</x:v>
      </x:c>
      <x:c r="J497" s="90" t="str">
        <x:v>By day 14; before independent duty if earlier</x:v>
      </x:c>
      <x:c r="K497" s="90" t="str">
        <x:v>At hire; then on material revision</x:v>
      </x:c>
      <x:c r="L497" s="90" t="str">
        <x:v>Conditional</x:v>
      </x:c>
      <x:c r="M497" s="90" t="str">
        <x:v>Assign only for services within COTA scope and the supervising OT plan; no independent OASIS assignment.</x:v>
      </x:c>
      <x:c r="N497" s="90" t="str">
        <x:v>12-allPoliciesContent.generated.ts — CL-SD-025</x:v>
      </x:c>
      <x:c r="O497" s="90" t="str">
        <x:v>https://www.ecfr.gov/current/title-42/part-484/section-484.75</x:v>
      </x:c>
      <x:c r="P497" s="90" t="str"/>
    </x:row>
    <x:row r="498" ht="42" customHeight="1">
      <x:c r="A498" s="90" t="str">
        <x:v>COTA-03</x:v>
      </x:c>
      <x:c r="B498" s="90" t="str">
        <x:v>COTA</x:v>
      </x:c>
      <x:c r="C498" s="90" t="str">
        <x:v>RM-PS-005</x:v>
      </x:c>
      <x:c r="D498" s="90" t="str">
        <x:v>High-Risk Medication Safety</x:v>
      </x:c>
      <x:c r="E498" s="90" t="str">
        <x:v>Conditional</x:v>
      </x:c>
      <x:c r="F498" s="90" t="str">
        <x:v>Yes</x:v>
      </x:c>
      <x:c r="G498" s="90" t="str">
        <x:v>Yes — bundled</x:v>
      </x:c>
      <x:c r="H498" s="90" t="str">
        <x:v>COTA Specialty Safety &amp; Transitions</x:v>
      </x:c>
      <x:c r="I498" s="90" t="str">
        <x:v>80% quiz plus discipline-specific skill validation</x:v>
      </x:c>
      <x:c r="J498" s="90" t="str">
        <x:v>By day 14; before independent duty if earlier</x:v>
      </x:c>
      <x:c r="K498" s="90" t="str">
        <x:v>At hire; then on material revision</x:v>
      </x:c>
      <x:c r="L498" s="90" t="str">
        <x:v>Conditional</x:v>
      </x:c>
      <x:c r="M498" s="90" t="str">
        <x:v>Assign only for services within COTA scope and the supervising OT plan; no independent OASIS assignment.</x:v>
      </x:c>
      <x:c r="N498" s="90" t="str">
        <x:v>12-allPoliciesContent.generated.ts — RM-PS-005</x:v>
      </x:c>
      <x:c r="O498" s="90" t="str"/>
      <x:c r="P498" s="90" t="str"/>
    </x:row>
    <x:row r="499" ht="42" customHeight="1">
      <x:c r="A499" s="90" t="str">
        <x:v>SLP-01</x:v>
      </x:c>
      <x:c r="B499" s="90" t="str">
        <x:v>SLP</x:v>
      </x:c>
      <x:c r="C499" s="90" t="str">
        <x:v>HR-JD-010</x:v>
      </x:c>
      <x:c r="D499" s="90" t="str">
        <x:v>Speech-Language Pathologist — Job Description (full policy body missing)</x:v>
      </x:c>
      <x:c r="E499" s="90" t="str">
        <x:v>Hold</x:v>
      </x:c>
      <x:c r="F499" s="90" t="str">
        <x:v>Yes</x:v>
      </x:c>
      <x:c r="G499" s="90" t="str">
        <x:v>Yes — bundled</x:v>
      </x:c>
      <x:c r="H499" s="90" t="str">
        <x:v>SLP Practice, Documentation, Field Safety &amp; Conditional OASIS</x:v>
      </x:c>
      <x:c r="I499" s="90" t="str">
        <x:v>80% role quiz; 85% OASIS assessment and coding exercise if authorized</x:v>
      </x:c>
      <x:c r="J499" s="90" t="str">
        <x:v>By day 14; before independent duty if earlier</x:v>
      </x:c>
      <x:c r="K499" s="90" t="str">
        <x:v>At hire; then on material revision</x:v>
      </x:c>
      <x:c r="L499" s="90" t="str">
        <x:v>Hold</x:v>
      </x:c>
      <x:c r="M499" s="90" t="str">
        <x:v>One integrated SLP course covers the smaller pathway while gating OASIS and specialty content by assignment.</x:v>
      </x:c>
      <x:c r="N499" s="90" t="str">
        <x:v>Source gap: referenced in taxonomy/crosswalk, but full generated policy body is absent</x:v>
      </x:c>
      <x:c r="O499" s="90" t="str">
        <x:v>https://www.ecfr.gov/current/title-42/part-484/section-484.105</x:v>
      </x:c>
      <x:c r="P499" s="90" t="str"/>
    </x:row>
    <x:row r="500" ht="42" customHeight="1">
      <x:c r="A500" s="90" t="str">
        <x:v>SLP-01</x:v>
      </x:c>
      <x:c r="B500" s="90" t="str">
        <x:v>SLP</x:v>
      </x:c>
      <x:c r="C500" s="90" t="str">
        <x:v>HR-JD-000</x:v>
      </x:c>
      <x:c r="D500" s="90" t="str">
        <x:v>Job Description Framework &amp; Organizational Chart</x:v>
      </x:c>
      <x:c r="E500" s="90" t="str">
        <x:v>Core</x:v>
      </x:c>
      <x:c r="F500" s="90" t="str">
        <x:v>Yes</x:v>
      </x:c>
      <x:c r="G500" s="90" t="str">
        <x:v>Yes — bundled</x:v>
      </x:c>
      <x:c r="H500" s="90" t="str">
        <x:v>SLP Practice, Documentation, Field Safety &amp; Conditional OASIS</x:v>
      </x:c>
      <x:c r="I500" s="90" t="str">
        <x:v>80% role quiz; 85% OASIS assessment and coding exercise if authorized</x:v>
      </x:c>
      <x:c r="J500" s="90" t="str">
        <x:v>By day 14; before independent duty if earlier</x:v>
      </x:c>
      <x:c r="K500" s="90" t="str">
        <x:v>At hire; then on material revision</x:v>
      </x:c>
      <x:c r="L500" s="90" t="str">
        <x:v>Partial hold</x:v>
      </x:c>
      <x:c r="M500" s="90" t="str">
        <x:v>One integrated SLP course covers the smaller pathway while gating OASIS and specialty content by assignment.</x:v>
      </x:c>
      <x:c r="N500" s="90" t="str">
        <x:v>12-allPoliciesContent.generated.ts — HR-JD-000</x:v>
      </x:c>
      <x:c r="O500" s="90" t="str">
        <x:v>https://www.ecfr.gov/current/title-42/part-484/section-484.105</x:v>
      </x:c>
      <x:c r="P500" s="90" t="str"/>
    </x:row>
    <x:row r="501" ht="42" customHeight="1">
      <x:c r="A501" s="90" t="str">
        <x:v>SLP-01</x:v>
      </x:c>
      <x:c r="B501" s="90" t="str">
        <x:v>SLP</x:v>
      </x:c>
      <x:c r="C501" s="90" t="str">
        <x:v>CL-SD-004</x:v>
      </x:c>
      <x:c r="D501" s="90" t="str">
        <x:v>Speech-Language Pathology Services</x:v>
      </x:c>
      <x:c r="E501" s="90" t="str">
        <x:v>Core</x:v>
      </x:c>
      <x:c r="F501" s="90" t="str">
        <x:v>Yes</x:v>
      </x:c>
      <x:c r="G501" s="90" t="str">
        <x:v>Yes — bundled</x:v>
      </x:c>
      <x:c r="H501" s="90" t="str">
        <x:v>SLP Practice, Documentation, Field Safety &amp; Conditional OASIS</x:v>
      </x:c>
      <x:c r="I501" s="90" t="str">
        <x:v>80% role quiz; 85% OASIS assessment and coding exercise if authorized</x:v>
      </x:c>
      <x:c r="J501" s="90" t="str">
        <x:v>By day 14; before independent duty if earlier</x:v>
      </x:c>
      <x:c r="K501" s="90" t="str">
        <x:v>At hire; then on material revision</x:v>
      </x:c>
      <x:c r="L501" s="90" t="str">
        <x:v>Partial hold</x:v>
      </x:c>
      <x:c r="M501" s="90" t="str">
        <x:v>One integrated SLP course covers the smaller pathway while gating OASIS and specialty content by assignment.</x:v>
      </x:c>
      <x:c r="N501" s="90" t="str">
        <x:v>12-allPoliciesContent.generated.ts — CL-SD-004</x:v>
      </x:c>
      <x:c r="O501" s="90" t="str">
        <x:v>https://www.ecfr.gov/current/title-42/part-484/section-484.75</x:v>
      </x:c>
      <x:c r="P501" s="90" t="str"/>
    </x:row>
    <x:row r="502" ht="42" customHeight="1">
      <x:c r="A502" s="90" t="str">
        <x:v>SLP-01</x:v>
      </x:c>
      <x:c r="B502" s="90" t="str">
        <x:v>SLP</x:v>
      </x:c>
      <x:c r="C502" s="90" t="str">
        <x:v>HR-TA-006</x:v>
      </x:c>
      <x:c r="D502" s="90" t="str">
        <x:v>Job Description &amp; Role Definition</x:v>
      </x:c>
      <x:c r="E502" s="90" t="str">
        <x:v>Core</x:v>
      </x:c>
      <x:c r="F502" s="90" t="str">
        <x:v>Yes</x:v>
      </x:c>
      <x:c r="G502" s="90" t="str">
        <x:v>Yes — bundled</x:v>
      </x:c>
      <x:c r="H502" s="90" t="str">
        <x:v>SLP Practice, Documentation, Field Safety &amp; Conditional OASIS</x:v>
      </x:c>
      <x:c r="I502" s="90" t="str">
        <x:v>80% role quiz; 85% OASIS assessment and coding exercise if authorized</x:v>
      </x:c>
      <x:c r="J502" s="90" t="str">
        <x:v>By day 14; before independent duty if earlier</x:v>
      </x:c>
      <x:c r="K502" s="90" t="str">
        <x:v>At hire; then on material revision</x:v>
      </x:c>
      <x:c r="L502" s="90" t="str">
        <x:v>Partial hold</x:v>
      </x:c>
      <x:c r="M502" s="90" t="str">
        <x:v>One integrated SLP course covers the smaller pathway while gating OASIS and specialty content by assignment.</x:v>
      </x:c>
      <x:c r="N502" s="90" t="str">
        <x:v>12-allPoliciesContent.generated.ts — HR-TA-006</x:v>
      </x:c>
      <x:c r="O502" s="90" t="str"/>
      <x:c r="P502" s="90" t="str"/>
    </x:row>
    <x:row r="503" ht="42" customHeight="1">
      <x:c r="A503" s="90" t="str">
        <x:v>SLP-01</x:v>
      </x:c>
      <x:c r="B503" s="90" t="str">
        <x:v>SLP</x:v>
      </x:c>
      <x:c r="C503" s="90" t="str">
        <x:v>HR-TD-003</x:v>
      </x:c>
      <x:c r="D503" s="90" t="str">
        <x:v>Clinical Staff Competency Evaluation</x:v>
      </x:c>
      <x:c r="E503" s="90" t="str">
        <x:v>Core</x:v>
      </x:c>
      <x:c r="F503" s="90" t="str">
        <x:v>Yes</x:v>
      </x:c>
      <x:c r="G503" s="90" t="str">
        <x:v>Yes — bundled</x:v>
      </x:c>
      <x:c r="H503" s="90" t="str">
        <x:v>SLP Practice, Documentation, Field Safety &amp; Conditional OASIS</x:v>
      </x:c>
      <x:c r="I503" s="90" t="str">
        <x:v>80% role quiz; 85% OASIS assessment and coding exercise if authorized</x:v>
      </x:c>
      <x:c r="J503" s="90" t="str">
        <x:v>By day 14; before independent duty if earlier</x:v>
      </x:c>
      <x:c r="K503" s="90" t="str">
        <x:v>At hire; then on material revision</x:v>
      </x:c>
      <x:c r="L503" s="90" t="str">
        <x:v>Partial hold</x:v>
      </x:c>
      <x:c r="M503" s="90" t="str">
        <x:v>One integrated SLP course covers the smaller pathway while gating OASIS and specialty content by assignment.</x:v>
      </x:c>
      <x:c r="N503" s="90" t="str">
        <x:v>12-allPoliciesContent.generated.ts — HR-TD-003</x:v>
      </x:c>
      <x:c r="O503" s="90" t="str"/>
      <x:c r="P503" s="90" t="str"/>
    </x:row>
    <x:row r="504" ht="42" customHeight="1">
      <x:c r="A504" s="90" t="str">
        <x:v>SLP-01</x:v>
      </x:c>
      <x:c r="B504" s="90" t="str">
        <x:v>SLP</x:v>
      </x:c>
      <x:c r="C504" s="90" t="str">
        <x:v>CL-CD-001</x:v>
      </x:c>
      <x:c r="D504" s="90" t="str">
        <x:v>Clinical Documentation Standards</x:v>
      </x:c>
      <x:c r="E504" s="90" t="str">
        <x:v>Core</x:v>
      </x:c>
      <x:c r="F504" s="90" t="str">
        <x:v>Yes</x:v>
      </x:c>
      <x:c r="G504" s="90" t="str">
        <x:v>Yes — bundled</x:v>
      </x:c>
      <x:c r="H504" s="90" t="str">
        <x:v>SLP Practice, Documentation, Field Safety &amp; Conditional OASIS</x:v>
      </x:c>
      <x:c r="I504" s="90" t="str">
        <x:v>80% role quiz; 85% OASIS assessment and coding exercise if authorized</x:v>
      </x:c>
      <x:c r="J504" s="90" t="str">
        <x:v>By day 14; before independent duty if earlier</x:v>
      </x:c>
      <x:c r="K504" s="90" t="str">
        <x:v>At hire; then on material revision</x:v>
      </x:c>
      <x:c r="L504" s="90" t="str">
        <x:v>Partial hold</x:v>
      </x:c>
      <x:c r="M504" s="90" t="str">
        <x:v>One integrated SLP course covers the smaller pathway while gating OASIS and specialty content by assignment.</x:v>
      </x:c>
      <x:c r="N504" s="90" t="str">
        <x:v>12-allPoliciesContent.generated.ts — CL-CD-001</x:v>
      </x:c>
      <x:c r="O504" s="90" t="str">
        <x:v>https://www.ecfr.gov/current/title-42/part-484/section-484.110</x:v>
      </x:c>
      <x:c r="P504" s="90" t="str"/>
    </x:row>
    <x:row r="505" ht="42" customHeight="1">
      <x:c r="A505" s="90" t="str">
        <x:v>SLP-01</x:v>
      </x:c>
      <x:c r="B505" s="90" t="str">
        <x:v>SLP</x:v>
      </x:c>
      <x:c r="C505" s="90" t="str">
        <x:v>CL-CD-002</x:v>
      </x:c>
      <x:c r="D505" s="90" t="str">
        <x:v>Clinical Record Content &amp; Organization</x:v>
      </x:c>
      <x:c r="E505" s="90" t="str">
        <x:v>Core</x:v>
      </x:c>
      <x:c r="F505" s="90" t="str">
        <x:v>Yes</x:v>
      </x:c>
      <x:c r="G505" s="90" t="str">
        <x:v>Yes — bundled</x:v>
      </x:c>
      <x:c r="H505" s="90" t="str">
        <x:v>SLP Practice, Documentation, Field Safety &amp; Conditional OASIS</x:v>
      </x:c>
      <x:c r="I505" s="90" t="str">
        <x:v>80% role quiz; 85% OASIS assessment and coding exercise if authorized</x:v>
      </x:c>
      <x:c r="J505" s="90" t="str">
        <x:v>By day 14; before independent duty if earlier</x:v>
      </x:c>
      <x:c r="K505" s="90" t="str">
        <x:v>At hire; then on material revision</x:v>
      </x:c>
      <x:c r="L505" s="90" t="str">
        <x:v>Partial hold</x:v>
      </x:c>
      <x:c r="M505" s="90" t="str">
        <x:v>One integrated SLP course covers the smaller pathway while gating OASIS and specialty content by assignment.</x:v>
      </x:c>
      <x:c r="N505" s="90" t="str">
        <x:v>12-allPoliciesContent.generated.ts — CL-CD-002</x:v>
      </x:c>
      <x:c r="O505" s="90" t="str">
        <x:v>https://www.ecfr.gov/current/title-42/part-484/section-484.110</x:v>
      </x:c>
      <x:c r="P505" s="90" t="str"/>
    </x:row>
    <x:row r="506" ht="42" customHeight="1">
      <x:c r="A506" s="90" t="str">
        <x:v>SLP-01</x:v>
      </x:c>
      <x:c r="B506" s="90" t="str">
        <x:v>SLP</x:v>
      </x:c>
      <x:c r="C506" s="90" t="str">
        <x:v>CL-CD-003</x:v>
      </x:c>
      <x:c r="D506" s="90" t="str">
        <x:v>Clinical Record Authentication &amp; Signature Requirements</x:v>
      </x:c>
      <x:c r="E506" s="90" t="str">
        <x:v>Core</x:v>
      </x:c>
      <x:c r="F506" s="90" t="str">
        <x:v>Yes</x:v>
      </x:c>
      <x:c r="G506" s="90" t="str">
        <x:v>Yes — bundled</x:v>
      </x:c>
      <x:c r="H506" s="90" t="str">
        <x:v>SLP Practice, Documentation, Field Safety &amp; Conditional OASIS</x:v>
      </x:c>
      <x:c r="I506" s="90" t="str">
        <x:v>80% role quiz; 85% OASIS assessment and coding exercise if authorized</x:v>
      </x:c>
      <x:c r="J506" s="90" t="str">
        <x:v>By day 14; before independent duty if earlier</x:v>
      </x:c>
      <x:c r="K506" s="90" t="str">
        <x:v>At hire; then on material revision</x:v>
      </x:c>
      <x:c r="L506" s="90" t="str">
        <x:v>Partial hold</x:v>
      </x:c>
      <x:c r="M506" s="90" t="str">
        <x:v>One integrated SLP course covers the smaller pathway while gating OASIS and specialty content by assignment.</x:v>
      </x:c>
      <x:c r="N506" s="90" t="str">
        <x:v>12-allPoliciesContent.generated.ts — CL-CD-003</x:v>
      </x:c>
      <x:c r="O506" s="90" t="str">
        <x:v>https://www.ecfr.gov/current/title-42/part-484/section-484.110</x:v>
      </x:c>
      <x:c r="P506" s="90" t="str"/>
    </x:row>
    <x:row r="507" ht="42" customHeight="1">
      <x:c r="A507" s="90" t="str">
        <x:v>SLP-01</x:v>
      </x:c>
      <x:c r="B507" s="90" t="str">
        <x:v>SLP</x:v>
      </x:c>
      <x:c r="C507" s="90" t="str">
        <x:v>CL-CD-004</x:v>
      </x:c>
      <x:c r="D507" s="90" t="str">
        <x:v>Timely Documentation Completion &amp; Lock Requirements</x:v>
      </x:c>
      <x:c r="E507" s="90" t="str">
        <x:v>Core</x:v>
      </x:c>
      <x:c r="F507" s="90" t="str">
        <x:v>Yes</x:v>
      </x:c>
      <x:c r="G507" s="90" t="str">
        <x:v>Yes — bundled</x:v>
      </x:c>
      <x:c r="H507" s="90" t="str">
        <x:v>SLP Practice, Documentation, Field Safety &amp; Conditional OASIS</x:v>
      </x:c>
      <x:c r="I507" s="90" t="str">
        <x:v>80% role quiz; 85% OASIS assessment and coding exercise if authorized</x:v>
      </x:c>
      <x:c r="J507" s="90" t="str">
        <x:v>By day 14; before independent duty if earlier</x:v>
      </x:c>
      <x:c r="K507" s="90" t="str">
        <x:v>At hire; then on material revision</x:v>
      </x:c>
      <x:c r="L507" s="90" t="str">
        <x:v>Partial hold</x:v>
      </x:c>
      <x:c r="M507" s="90" t="str">
        <x:v>One integrated SLP course covers the smaller pathway while gating OASIS and specialty content by assignment.</x:v>
      </x:c>
      <x:c r="N507" s="90" t="str">
        <x:v>12-allPoliciesContent.generated.ts — CL-CD-004</x:v>
      </x:c>
      <x:c r="O507" s="90" t="str">
        <x:v>https://www.ecfr.gov/current/title-42/part-484/section-484.110</x:v>
      </x:c>
      <x:c r="P507" s="90" t="str"/>
    </x:row>
    <x:row r="508" ht="42" customHeight="1">
      <x:c r="A508" s="90" t="str">
        <x:v>SLP-01</x:v>
      </x:c>
      <x:c r="B508" s="90" t="str">
        <x:v>SLP</x:v>
      </x:c>
      <x:c r="C508" s="90" t="str">
        <x:v>CO-DC-003</x:v>
      </x:c>
      <x:c r="D508" s="90" t="str">
        <x:v>Late Entry, Correction &amp; Amendment Standards</x:v>
      </x:c>
      <x:c r="E508" s="90" t="str">
        <x:v>Core</x:v>
      </x:c>
      <x:c r="F508" s="90" t="str">
        <x:v>Yes</x:v>
      </x:c>
      <x:c r="G508" s="90" t="str">
        <x:v>Yes — bundled</x:v>
      </x:c>
      <x:c r="H508" s="90" t="str">
        <x:v>SLP Practice, Documentation, Field Safety &amp; Conditional OASIS</x:v>
      </x:c>
      <x:c r="I508" s="90" t="str">
        <x:v>80% role quiz; 85% OASIS assessment and coding exercise if authorized</x:v>
      </x:c>
      <x:c r="J508" s="90" t="str">
        <x:v>By day 14; before independent duty if earlier</x:v>
      </x:c>
      <x:c r="K508" s="90" t="str">
        <x:v>At hire; then on material revision</x:v>
      </x:c>
      <x:c r="L508" s="90" t="str">
        <x:v>Partial hold</x:v>
      </x:c>
      <x:c r="M508" s="90" t="str">
        <x:v>One integrated SLP course covers the smaller pathway while gating OASIS and specialty content by assignment.</x:v>
      </x:c>
      <x:c r="N508" s="90" t="str">
        <x:v>12-allPoliciesContent.generated.ts — CO-DC-003</x:v>
      </x:c>
      <x:c r="O508" s="90" t="str">
        <x:v>https://www.ecfr.gov/current/title-42/part-484/section-484.110</x:v>
      </x:c>
      <x:c r="P508" s="90" t="str"/>
    </x:row>
    <x:row r="509" ht="42" customHeight="1">
      <x:c r="A509" s="90" t="str">
        <x:v>SLP-01</x:v>
      </x:c>
      <x:c r="B509" s="90" t="str">
        <x:v>SLP</x:v>
      </x:c>
      <x:c r="C509" s="90" t="str">
        <x:v>CL-CP-001</x:v>
      </x:c>
      <x:c r="D509" s="90" t="str">
        <x:v>Plan of Care Development &amp; Approval</x:v>
      </x:c>
      <x:c r="E509" s="90" t="str">
        <x:v>Core</x:v>
      </x:c>
      <x:c r="F509" s="90" t="str">
        <x:v>Yes</x:v>
      </x:c>
      <x:c r="G509" s="90" t="str">
        <x:v>Yes — bundled</x:v>
      </x:c>
      <x:c r="H509" s="90" t="str">
        <x:v>SLP Practice, Documentation, Field Safety &amp; Conditional OASIS</x:v>
      </x:c>
      <x:c r="I509" s="90" t="str">
        <x:v>80% role quiz; 85% OASIS assessment and coding exercise if authorized</x:v>
      </x:c>
      <x:c r="J509" s="90" t="str">
        <x:v>By day 14; before independent duty if earlier</x:v>
      </x:c>
      <x:c r="K509" s="90" t="str">
        <x:v>At hire; then on material revision</x:v>
      </x:c>
      <x:c r="L509" s="90" t="str">
        <x:v>Partial hold</x:v>
      </x:c>
      <x:c r="M509" s="90" t="str">
        <x:v>One integrated SLP course covers the smaller pathway while gating OASIS and specialty content by assignment.</x:v>
      </x:c>
      <x:c r="N509" s="90" t="str">
        <x:v>12-allPoliciesContent.generated.ts — CL-CP-001</x:v>
      </x:c>
      <x:c r="O509" s="90" t="str">
        <x:v>https://www.ecfr.gov/current/title-42/part-484/section-484.60</x:v>
      </x:c>
      <x:c r="P509" s="90" t="str"/>
    </x:row>
    <x:row r="510" ht="42" customHeight="1">
      <x:c r="A510" s="90" t="str">
        <x:v>SLP-01</x:v>
      </x:c>
      <x:c r="B510" s="90" t="str">
        <x:v>SLP</x:v>
      </x:c>
      <x:c r="C510" s="90" t="str">
        <x:v>CL-CP-002</x:v>
      </x:c>
      <x:c r="D510" s="90" t="str">
        <x:v>Plan of Care Review &amp; Update</x:v>
      </x:c>
      <x:c r="E510" s="90" t="str">
        <x:v>Core</x:v>
      </x:c>
      <x:c r="F510" s="90" t="str">
        <x:v>Yes</x:v>
      </x:c>
      <x:c r="G510" s="90" t="str">
        <x:v>Yes — bundled</x:v>
      </x:c>
      <x:c r="H510" s="90" t="str">
        <x:v>SLP Practice, Documentation, Field Safety &amp; Conditional OASIS</x:v>
      </x:c>
      <x:c r="I510" s="90" t="str">
        <x:v>80% role quiz; 85% OASIS assessment and coding exercise if authorized</x:v>
      </x:c>
      <x:c r="J510" s="90" t="str">
        <x:v>By day 14; before independent duty if earlier</x:v>
      </x:c>
      <x:c r="K510" s="90" t="str">
        <x:v>At hire; then on material revision</x:v>
      </x:c>
      <x:c r="L510" s="90" t="str">
        <x:v>Partial hold</x:v>
      </x:c>
      <x:c r="M510" s="90" t="str">
        <x:v>One integrated SLP course covers the smaller pathway while gating OASIS and specialty content by assignment.</x:v>
      </x:c>
      <x:c r="N510" s="90" t="str">
        <x:v>12-allPoliciesContent.generated.ts — CL-CP-002</x:v>
      </x:c>
      <x:c r="O510" s="90" t="str">
        <x:v>https://www.ecfr.gov/current/title-42/part-484/section-484.60</x:v>
      </x:c>
      <x:c r="P510" s="90" t="str"/>
    </x:row>
    <x:row r="511" ht="42" customHeight="1">
      <x:c r="A511" s="90" t="str">
        <x:v>SLP-01</x:v>
      </x:c>
      <x:c r="B511" s="90" t="str">
        <x:v>SLP</x:v>
      </x:c>
      <x:c r="C511" s="90" t="str">
        <x:v>CL-CP-003</x:v>
      </x:c>
      <x:c r="D511" s="90" t="str">
        <x:v>Physician Orders &amp; Order Management</x:v>
      </x:c>
      <x:c r="E511" s="90" t="str">
        <x:v>Core</x:v>
      </x:c>
      <x:c r="F511" s="90" t="str">
        <x:v>Yes</x:v>
      </x:c>
      <x:c r="G511" s="90" t="str">
        <x:v>Yes — bundled</x:v>
      </x:c>
      <x:c r="H511" s="90" t="str">
        <x:v>SLP Practice, Documentation, Field Safety &amp; Conditional OASIS</x:v>
      </x:c>
      <x:c r="I511" s="90" t="str">
        <x:v>80% role quiz; 85% OASIS assessment and coding exercise if authorized</x:v>
      </x:c>
      <x:c r="J511" s="90" t="str">
        <x:v>By day 14; before independent duty if earlier</x:v>
      </x:c>
      <x:c r="K511" s="90" t="str">
        <x:v>At hire; then on material revision</x:v>
      </x:c>
      <x:c r="L511" s="90" t="str">
        <x:v>Partial hold</x:v>
      </x:c>
      <x:c r="M511" s="90" t="str">
        <x:v>One integrated SLP course covers the smaller pathway while gating OASIS and specialty content by assignment.</x:v>
      </x:c>
      <x:c r="N511" s="90" t="str">
        <x:v>12-allPoliciesContent.generated.ts — CL-CP-003</x:v>
      </x:c>
      <x:c r="O511" s="90" t="str">
        <x:v>https://www.ecfr.gov/current/title-42/part-484/section-484.60</x:v>
      </x:c>
      <x:c r="P511" s="90" t="str"/>
    </x:row>
    <x:row r="512" ht="42" customHeight="1">
      <x:c r="A512" s="90" t="str">
        <x:v>SLP-01</x:v>
      </x:c>
      <x:c r="B512" s="90" t="str">
        <x:v>SLP</x:v>
      </x:c>
      <x:c r="C512" s="90" t="str">
        <x:v>CL-CP-005</x:v>
      </x:c>
      <x:c r="D512" s="90" t="str">
        <x:v>Coordination of Care</x:v>
      </x:c>
      <x:c r="E512" s="90" t="str">
        <x:v>Core</x:v>
      </x:c>
      <x:c r="F512" s="90" t="str">
        <x:v>Yes</x:v>
      </x:c>
      <x:c r="G512" s="90" t="str">
        <x:v>Yes — bundled</x:v>
      </x:c>
      <x:c r="H512" s="90" t="str">
        <x:v>SLP Practice, Documentation, Field Safety &amp; Conditional OASIS</x:v>
      </x:c>
      <x:c r="I512" s="90" t="str">
        <x:v>80% role quiz; 85% OASIS assessment and coding exercise if authorized</x:v>
      </x:c>
      <x:c r="J512" s="90" t="str">
        <x:v>By day 14; before independent duty if earlier</x:v>
      </x:c>
      <x:c r="K512" s="90" t="str">
        <x:v>At hire; then on material revision</x:v>
      </x:c>
      <x:c r="L512" s="90" t="str">
        <x:v>Partial hold</x:v>
      </x:c>
      <x:c r="M512" s="90" t="str">
        <x:v>One integrated SLP course covers the smaller pathway while gating OASIS and specialty content by assignment.</x:v>
      </x:c>
      <x:c r="N512" s="90" t="str">
        <x:v>12-allPoliciesContent.generated.ts — CL-CP-005</x:v>
      </x:c>
      <x:c r="O512" s="90" t="str">
        <x:v>https://www.ecfr.gov/current/title-42/part-484/section-484.60</x:v>
      </x:c>
      <x:c r="P512" s="90" t="str"/>
    </x:row>
    <x:row r="513" ht="42" customHeight="1">
      <x:c r="A513" s="90" t="str">
        <x:v>SLP-01</x:v>
      </x:c>
      <x:c r="B513" s="90" t="str">
        <x:v>SLP</x:v>
      </x:c>
      <x:c r="C513" s="90" t="str">
        <x:v>CL-CP-006</x:v>
      </x:c>
      <x:c r="D513" s="90" t="str">
        <x:v>Discharge Planning &amp; Criteria</x:v>
      </x:c>
      <x:c r="E513" s="90" t="str">
        <x:v>Core</x:v>
      </x:c>
      <x:c r="F513" s="90" t="str">
        <x:v>Yes</x:v>
      </x:c>
      <x:c r="G513" s="90" t="str">
        <x:v>Yes — bundled</x:v>
      </x:c>
      <x:c r="H513" s="90" t="str">
        <x:v>SLP Practice, Documentation, Field Safety &amp; Conditional OASIS</x:v>
      </x:c>
      <x:c r="I513" s="90" t="str">
        <x:v>80% role quiz; 85% OASIS assessment and coding exercise if authorized</x:v>
      </x:c>
      <x:c r="J513" s="90" t="str">
        <x:v>By day 14; before independent duty if earlier</x:v>
      </x:c>
      <x:c r="K513" s="90" t="str">
        <x:v>At hire; then on material revision</x:v>
      </x:c>
      <x:c r="L513" s="90" t="str">
        <x:v>Partial hold</x:v>
      </x:c>
      <x:c r="M513" s="90" t="str">
        <x:v>One integrated SLP course covers the smaller pathway while gating OASIS and specialty content by assignment.</x:v>
      </x:c>
      <x:c r="N513" s="90" t="str">
        <x:v>12-allPoliciesContent.generated.ts — CL-CP-006</x:v>
      </x:c>
      <x:c r="O513" s="90" t="str">
        <x:v>https://www.ecfr.gov/current/title-42/part-484/section-484.60</x:v>
      </x:c>
      <x:c r="P513" s="90" t="str"/>
    </x:row>
    <x:row r="514" ht="42" customHeight="1">
      <x:c r="A514" s="90" t="str">
        <x:v>SLP-01</x:v>
      </x:c>
      <x:c r="B514" s="90" t="str">
        <x:v>SLP</x:v>
      </x:c>
      <x:c r="C514" s="90" t="str">
        <x:v>CL-CP-007</x:v>
      </x:c>
      <x:c r="D514" s="90" t="str">
        <x:v>Transfer &amp; Referral Procedures</x:v>
      </x:c>
      <x:c r="E514" s="90" t="str">
        <x:v>Core</x:v>
      </x:c>
      <x:c r="F514" s="90" t="str">
        <x:v>Yes</x:v>
      </x:c>
      <x:c r="G514" s="90" t="str">
        <x:v>Yes — bundled</x:v>
      </x:c>
      <x:c r="H514" s="90" t="str">
        <x:v>SLP Practice, Documentation, Field Safety &amp; Conditional OASIS</x:v>
      </x:c>
      <x:c r="I514" s="90" t="str">
        <x:v>80% role quiz; 85% OASIS assessment and coding exercise if authorized</x:v>
      </x:c>
      <x:c r="J514" s="90" t="str">
        <x:v>By day 14; before independent duty if earlier</x:v>
      </x:c>
      <x:c r="K514" s="90" t="str">
        <x:v>At hire; then on material revision</x:v>
      </x:c>
      <x:c r="L514" s="90" t="str">
        <x:v>Partial hold</x:v>
      </x:c>
      <x:c r="M514" s="90" t="str">
        <x:v>One integrated SLP course covers the smaller pathway while gating OASIS and specialty content by assignment.</x:v>
      </x:c>
      <x:c r="N514" s="90" t="str">
        <x:v>12-allPoliciesContent.generated.ts — CL-CP-007</x:v>
      </x:c>
      <x:c r="O514" s="90" t="str">
        <x:v>https://www.ecfr.gov/current/title-42/part-484/section-484.60</x:v>
      </x:c>
      <x:c r="P514" s="90" t="str"/>
    </x:row>
    <x:row r="515" ht="42" customHeight="1">
      <x:c r="A515" s="90" t="str">
        <x:v>SLP-01</x:v>
      </x:c>
      <x:c r="B515" s="90" t="str">
        <x:v>SLP</x:v>
      </x:c>
      <x:c r="C515" s="90" t="str">
        <x:v>CL-CC-101</x:v>
      </x:c>
      <x:c r="D515" s="90" t="str">
        <x:v>Care Coordination &amp; SDOH Management</x:v>
      </x:c>
      <x:c r="E515" s="90" t="str">
        <x:v>Core</x:v>
      </x:c>
      <x:c r="F515" s="90" t="str">
        <x:v>Yes</x:v>
      </x:c>
      <x:c r="G515" s="90" t="str">
        <x:v>Yes — bundled</x:v>
      </x:c>
      <x:c r="H515" s="90" t="str">
        <x:v>SLP Practice, Documentation, Field Safety &amp; Conditional OASIS</x:v>
      </x:c>
      <x:c r="I515" s="90" t="str">
        <x:v>80% role quiz; 85% OASIS assessment and coding exercise if authorized</x:v>
      </x:c>
      <x:c r="J515" s="90" t="str">
        <x:v>By day 14; before independent duty if earlier</x:v>
      </x:c>
      <x:c r="K515" s="90" t="str">
        <x:v>At hire; then on material revision</x:v>
      </x:c>
      <x:c r="L515" s="90" t="str">
        <x:v>Partial hold</x:v>
      </x:c>
      <x:c r="M515" s="90" t="str">
        <x:v>One integrated SLP course covers the smaller pathway while gating OASIS and specialty content by assignment.</x:v>
      </x:c>
      <x:c r="N515" s="90" t="str">
        <x:v>12-allPoliciesContent.generated.ts — CL-CC-101</x:v>
      </x:c>
      <x:c r="O515" s="90" t="str">
        <x:v>https://www.ecfr.gov/current/title-42/part-484/section-484.60</x:v>
      </x:c>
      <x:c r="P515" s="90" t="str"/>
    </x:row>
    <x:row r="516" ht="42" customHeight="1">
      <x:c r="A516" s="90" t="str">
        <x:v>SLP-01</x:v>
      </x:c>
      <x:c r="B516" s="90" t="str">
        <x:v>SLP</x:v>
      </x:c>
      <x:c r="C516" s="90" t="str">
        <x:v>CL-PR-002</x:v>
      </x:c>
      <x:c r="D516" s="90" t="str">
        <x:v>Advance Directive Compliance</x:v>
      </x:c>
      <x:c r="E516" s="90" t="str">
        <x:v>Core</x:v>
      </x:c>
      <x:c r="F516" s="90" t="str">
        <x:v>Yes</x:v>
      </x:c>
      <x:c r="G516" s="90" t="str">
        <x:v>Yes — bundled</x:v>
      </x:c>
      <x:c r="H516" s="90" t="str">
        <x:v>SLP Practice, Documentation, Field Safety &amp; Conditional OASIS</x:v>
      </x:c>
      <x:c r="I516" s="90" t="str">
        <x:v>80% role quiz; 85% OASIS assessment and coding exercise if authorized</x:v>
      </x:c>
      <x:c r="J516" s="90" t="str">
        <x:v>By day 14; before independent duty if earlier</x:v>
      </x:c>
      <x:c r="K516" s="90" t="str">
        <x:v>At hire; then on material revision</x:v>
      </x:c>
      <x:c r="L516" s="90" t="str">
        <x:v>Partial hold</x:v>
      </x:c>
      <x:c r="M516" s="90" t="str">
        <x:v>One integrated SLP course covers the smaller pathway while gating OASIS and specialty content by assignment.</x:v>
      </x:c>
      <x:c r="N516" s="90" t="str">
        <x:v>12-allPoliciesContent.generated.ts — CL-PR-002</x:v>
      </x:c>
      <x:c r="O516" s="90" t="str">
        <x:v>https://www.ecfr.gov/current/title-42/part-484/section-484.50</x:v>
      </x:c>
      <x:c r="P516" s="90" t="str"/>
    </x:row>
    <x:row r="517" ht="42" customHeight="1">
      <x:c r="A517" s="90" t="str">
        <x:v>SLP-01</x:v>
      </x:c>
      <x:c r="B517" s="90" t="str">
        <x:v>SLP</x:v>
      </x:c>
      <x:c r="C517" s="90" t="str">
        <x:v>CL-PR-003</x:v>
      </x:c>
      <x:c r="D517" s="90" t="str">
        <x:v>Informed Consent</x:v>
      </x:c>
      <x:c r="E517" s="90" t="str">
        <x:v>Core</x:v>
      </x:c>
      <x:c r="F517" s="90" t="str">
        <x:v>Yes</x:v>
      </x:c>
      <x:c r="G517" s="90" t="str">
        <x:v>Yes — bundled</x:v>
      </x:c>
      <x:c r="H517" s="90" t="str">
        <x:v>SLP Practice, Documentation, Field Safety &amp; Conditional OASIS</x:v>
      </x:c>
      <x:c r="I517" s="90" t="str">
        <x:v>80% role quiz; 85% OASIS assessment and coding exercise if authorized</x:v>
      </x:c>
      <x:c r="J517" s="90" t="str">
        <x:v>By day 14; before independent duty if earlier</x:v>
      </x:c>
      <x:c r="K517" s="90" t="str">
        <x:v>At hire; then on material revision</x:v>
      </x:c>
      <x:c r="L517" s="90" t="str">
        <x:v>Partial hold</x:v>
      </x:c>
      <x:c r="M517" s="90" t="str">
        <x:v>One integrated SLP course covers the smaller pathway while gating OASIS and specialty content by assignment.</x:v>
      </x:c>
      <x:c r="N517" s="90" t="str">
        <x:v>12-allPoliciesContent.generated.ts — CL-PR-003</x:v>
      </x:c>
      <x:c r="O517" s="90" t="str">
        <x:v>https://www.ecfr.gov/current/title-42/part-484/section-484.50</x:v>
      </x:c>
      <x:c r="P517" s="90" t="str"/>
    </x:row>
    <x:row r="518" ht="42" customHeight="1">
      <x:c r="A518" s="90" t="str">
        <x:v>SLP-01</x:v>
      </x:c>
      <x:c r="B518" s="90" t="str">
        <x:v>SLP</x:v>
      </x:c>
      <x:c r="C518" s="90" t="str">
        <x:v>CL-PR-004</x:v>
      </x:c>
      <x:c r="D518" s="90" t="str">
        <x:v>Restraint &amp; Seclusion Prohibition</x:v>
      </x:c>
      <x:c r="E518" s="90" t="str">
        <x:v>Core</x:v>
      </x:c>
      <x:c r="F518" s="90" t="str">
        <x:v>Yes</x:v>
      </x:c>
      <x:c r="G518" s="90" t="str">
        <x:v>Yes — bundled</x:v>
      </x:c>
      <x:c r="H518" s="90" t="str">
        <x:v>SLP Practice, Documentation, Field Safety &amp; Conditional OASIS</x:v>
      </x:c>
      <x:c r="I518" s="90" t="str">
        <x:v>80% role quiz; 85% OASIS assessment and coding exercise if authorized</x:v>
      </x:c>
      <x:c r="J518" s="90" t="str">
        <x:v>By day 14; before independent duty if earlier</x:v>
      </x:c>
      <x:c r="K518" s="90" t="str">
        <x:v>At hire; then on material revision</x:v>
      </x:c>
      <x:c r="L518" s="90" t="str">
        <x:v>Partial hold</x:v>
      </x:c>
      <x:c r="M518" s="90" t="str">
        <x:v>One integrated SLP course covers the smaller pathway while gating OASIS and specialty content by assignment.</x:v>
      </x:c>
      <x:c r="N518" s="90" t="str">
        <x:v>12-allPoliciesContent.generated.ts — CL-PR-004</x:v>
      </x:c>
      <x:c r="O518" s="90" t="str">
        <x:v>https://www.ecfr.gov/current/title-42/part-484/section-484.50</x:v>
      </x:c>
      <x:c r="P518" s="90" t="str"/>
    </x:row>
    <x:row r="519" ht="42" customHeight="1">
      <x:c r="A519" s="90" t="str">
        <x:v>SLP-01</x:v>
      </x:c>
      <x:c r="B519" s="90" t="str">
        <x:v>SLP</x:v>
      </x:c>
      <x:c r="C519" s="90" t="str">
        <x:v>CL-PR-005</x:v>
      </x:c>
      <x:c r="D519" s="90" t="str">
        <x:v>Emergency Preparedness — Clinical</x:v>
      </x:c>
      <x:c r="E519" s="90" t="str">
        <x:v>Core</x:v>
      </x:c>
      <x:c r="F519" s="90" t="str">
        <x:v>Yes</x:v>
      </x:c>
      <x:c r="G519" s="90" t="str">
        <x:v>Yes — bundled</x:v>
      </x:c>
      <x:c r="H519" s="90" t="str">
        <x:v>SLP Practice, Documentation, Field Safety &amp; Conditional OASIS</x:v>
      </x:c>
      <x:c r="I519" s="90" t="str">
        <x:v>80% role quiz; 85% OASIS assessment and coding exercise if authorized</x:v>
      </x:c>
      <x:c r="J519" s="90" t="str">
        <x:v>By day 14; before independent duty if earlier</x:v>
      </x:c>
      <x:c r="K519" s="90" t="str">
        <x:v>At hire; then on material revision</x:v>
      </x:c>
      <x:c r="L519" s="90" t="str">
        <x:v>Partial hold</x:v>
      </x:c>
      <x:c r="M519" s="90" t="str">
        <x:v>One integrated SLP course covers the smaller pathway while gating OASIS and specialty content by assignment.</x:v>
      </x:c>
      <x:c r="N519" s="90" t="str">
        <x:v>12-allPoliciesContent.generated.ts — CL-PR-005</x:v>
      </x:c>
      <x:c r="O519" s="90" t="str">
        <x:v>https://www.ecfr.gov/current/title-42/part-484/section-484.50</x:v>
      </x:c>
      <x:c r="P519" s="90" t="str"/>
    </x:row>
    <x:row r="520" ht="42" customHeight="1">
      <x:c r="A520" s="90" t="str">
        <x:v>SLP-01</x:v>
      </x:c>
      <x:c r="B520" s="90" t="str">
        <x:v>SLP</x:v>
      </x:c>
      <x:c r="C520" s="90" t="str">
        <x:v>OP-PA-002</x:v>
      </x:c>
      <x:c r="D520" s="90" t="str">
        <x:v>Patient Identification &amp; Verification</x:v>
      </x:c>
      <x:c r="E520" s="90" t="str">
        <x:v>Core</x:v>
      </x:c>
      <x:c r="F520" s="90" t="str">
        <x:v>Yes</x:v>
      </x:c>
      <x:c r="G520" s="90" t="str">
        <x:v>Yes — bundled</x:v>
      </x:c>
      <x:c r="H520" s="90" t="str">
        <x:v>SLP Practice, Documentation, Field Safety &amp; Conditional OASIS</x:v>
      </x:c>
      <x:c r="I520" s="90" t="str">
        <x:v>80% role quiz; 85% OASIS assessment and coding exercise if authorized</x:v>
      </x:c>
      <x:c r="J520" s="90" t="str">
        <x:v>By day 14; before independent duty if earlier</x:v>
      </x:c>
      <x:c r="K520" s="90" t="str">
        <x:v>At hire; then on material revision</x:v>
      </x:c>
      <x:c r="L520" s="90" t="str">
        <x:v>Partial hold</x:v>
      </x:c>
      <x:c r="M520" s="90" t="str">
        <x:v>One integrated SLP course covers the smaller pathway while gating OASIS and specialty content by assignment.</x:v>
      </x:c>
      <x:c r="N520" s="90" t="str">
        <x:v>12-allPoliciesContent.generated.ts — OP-PA-002</x:v>
      </x:c>
      <x:c r="O520" s="90" t="str"/>
      <x:c r="P520" s="90" t="str"/>
    </x:row>
    <x:row r="521" ht="42" customHeight="1">
      <x:c r="A521" s="90" t="str">
        <x:v>SLP-01</x:v>
      </x:c>
      <x:c r="B521" s="90" t="str">
        <x:v>SLP</x:v>
      </x:c>
      <x:c r="C521" s="90" t="str">
        <x:v>OP-PA-003</x:v>
      </x:c>
      <x:c r="D521" s="90" t="str">
        <x:v>Interpreter &amp; Language Access Services</x:v>
      </x:c>
      <x:c r="E521" s="90" t="str">
        <x:v>Core</x:v>
      </x:c>
      <x:c r="F521" s="90" t="str">
        <x:v>Yes</x:v>
      </x:c>
      <x:c r="G521" s="90" t="str">
        <x:v>Yes — bundled</x:v>
      </x:c>
      <x:c r="H521" s="90" t="str">
        <x:v>SLP Practice, Documentation, Field Safety &amp; Conditional OASIS</x:v>
      </x:c>
      <x:c r="I521" s="90" t="str">
        <x:v>80% role quiz; 85% OASIS assessment and coding exercise if authorized</x:v>
      </x:c>
      <x:c r="J521" s="90" t="str">
        <x:v>By day 14; before independent duty if earlier</x:v>
      </x:c>
      <x:c r="K521" s="90" t="str">
        <x:v>At hire; then on material revision</x:v>
      </x:c>
      <x:c r="L521" s="90" t="str">
        <x:v>Partial hold</x:v>
      </x:c>
      <x:c r="M521" s="90" t="str">
        <x:v>One integrated SLP course covers the smaller pathway while gating OASIS and specialty content by assignment.</x:v>
      </x:c>
      <x:c r="N521" s="90" t="str">
        <x:v>12-allPoliciesContent.generated.ts — OP-PA-003</x:v>
      </x:c>
      <x:c r="O521" s="90" t="str"/>
      <x:c r="P521" s="90" t="str"/>
    </x:row>
    <x:row r="522" ht="42" customHeight="1">
      <x:c r="A522" s="90" t="str">
        <x:v>SLP-01</x:v>
      </x:c>
      <x:c r="B522" s="90" t="str">
        <x:v>SLP</x:v>
      </x:c>
      <x:c r="C522" s="90" t="str">
        <x:v>OP-PA-004</x:v>
      </x:c>
      <x:c r="D522" s="90" t="str">
        <x:v>Cultural Competency in Service Delivery</x:v>
      </x:c>
      <x:c r="E522" s="90" t="str">
        <x:v>Core</x:v>
      </x:c>
      <x:c r="F522" s="90" t="str">
        <x:v>Yes</x:v>
      </x:c>
      <x:c r="G522" s="90" t="str">
        <x:v>Yes — bundled</x:v>
      </x:c>
      <x:c r="H522" s="90" t="str">
        <x:v>SLP Practice, Documentation, Field Safety &amp; Conditional OASIS</x:v>
      </x:c>
      <x:c r="I522" s="90" t="str">
        <x:v>80% role quiz; 85% OASIS assessment and coding exercise if authorized</x:v>
      </x:c>
      <x:c r="J522" s="90" t="str">
        <x:v>By day 14; before independent duty if earlier</x:v>
      </x:c>
      <x:c r="K522" s="90" t="str">
        <x:v>At hire; then on material revision</x:v>
      </x:c>
      <x:c r="L522" s="90" t="str">
        <x:v>Partial hold</x:v>
      </x:c>
      <x:c r="M522" s="90" t="str">
        <x:v>One integrated SLP course covers the smaller pathway while gating OASIS and specialty content by assignment.</x:v>
      </x:c>
      <x:c r="N522" s="90" t="str">
        <x:v>12-allPoliciesContent.generated.ts — OP-PA-004</x:v>
      </x:c>
      <x:c r="O522" s="90" t="str"/>
      <x:c r="P522" s="90" t="str"/>
    </x:row>
    <x:row r="523" ht="42" customHeight="1">
      <x:c r="A523" s="90" t="str">
        <x:v>SLP-01</x:v>
      </x:c>
      <x:c r="B523" s="90" t="str">
        <x:v>SLP</x:v>
      </x:c>
      <x:c r="C523" s="90" t="str">
        <x:v>OP-PA-005</x:v>
      </x:c>
      <x:c r="D523" s="90" t="str">
        <x:v>Patient Property &amp; Belongings</x:v>
      </x:c>
      <x:c r="E523" s="90" t="str">
        <x:v>Core</x:v>
      </x:c>
      <x:c r="F523" s="90" t="str">
        <x:v>Yes</x:v>
      </x:c>
      <x:c r="G523" s="90" t="str">
        <x:v>Yes — bundled</x:v>
      </x:c>
      <x:c r="H523" s="90" t="str">
        <x:v>SLP Practice, Documentation, Field Safety &amp; Conditional OASIS</x:v>
      </x:c>
      <x:c r="I523" s="90" t="str">
        <x:v>80% role quiz; 85% OASIS assessment and coding exercise if authorized</x:v>
      </x:c>
      <x:c r="J523" s="90" t="str">
        <x:v>By day 14; before independent duty if earlier</x:v>
      </x:c>
      <x:c r="K523" s="90" t="str">
        <x:v>At hire; then on material revision</x:v>
      </x:c>
      <x:c r="L523" s="90" t="str">
        <x:v>Partial hold</x:v>
      </x:c>
      <x:c r="M523" s="90" t="str">
        <x:v>One integrated SLP course covers the smaller pathway while gating OASIS and specialty content by assignment.</x:v>
      </x:c>
      <x:c r="N523" s="90" t="str">
        <x:v>12-allPoliciesContent.generated.ts — OP-PA-005</x:v>
      </x:c>
      <x:c r="O523" s="90" t="str"/>
      <x:c r="P523" s="90" t="str"/>
    </x:row>
    <x:row r="524" ht="42" customHeight="1">
      <x:c r="A524" s="90" t="str">
        <x:v>SLP-01</x:v>
      </x:c>
      <x:c r="B524" s="90" t="str">
        <x:v>SLP</x:v>
      </x:c>
      <x:c r="C524" s="90" t="str">
        <x:v>OP-SL-001</x:v>
      </x:c>
      <x:c r="D524" s="90" t="str">
        <x:v>Scheduling &amp; Visit Management</x:v>
      </x:c>
      <x:c r="E524" s="90" t="str">
        <x:v>Core</x:v>
      </x:c>
      <x:c r="F524" s="90" t="str">
        <x:v>Yes</x:v>
      </x:c>
      <x:c r="G524" s="90" t="str">
        <x:v>Yes — bundled</x:v>
      </x:c>
      <x:c r="H524" s="90" t="str">
        <x:v>SLP Practice, Documentation, Field Safety &amp; Conditional OASIS</x:v>
      </x:c>
      <x:c r="I524" s="90" t="str">
        <x:v>80% role quiz; 85% OASIS assessment and coding exercise if authorized</x:v>
      </x:c>
      <x:c r="J524" s="90" t="str">
        <x:v>By day 14; before independent duty if earlier</x:v>
      </x:c>
      <x:c r="K524" s="90" t="str">
        <x:v>At hire; then on material revision</x:v>
      </x:c>
      <x:c r="L524" s="90" t="str">
        <x:v>Partial hold</x:v>
      </x:c>
      <x:c r="M524" s="90" t="str">
        <x:v>One integrated SLP course covers the smaller pathway while gating OASIS and specialty content by assignment.</x:v>
      </x:c>
      <x:c r="N524" s="90" t="str">
        <x:v>12-allPoliciesContent.generated.ts — OP-SL-001</x:v>
      </x:c>
      <x:c r="O524" s="90" t="str"/>
      <x:c r="P524" s="90" t="str"/>
    </x:row>
    <x:row r="525" ht="42" customHeight="1">
      <x:c r="A525" s="90" t="str">
        <x:v>SLP-01</x:v>
      </x:c>
      <x:c r="B525" s="90" t="str">
        <x:v>SLP</x:v>
      </x:c>
      <x:c r="C525" s="90" t="str">
        <x:v>OP-SL-004</x:v>
      </x:c>
      <x:c r="D525" s="90" t="str">
        <x:v>Equipment &amp; Supply Management</x:v>
      </x:c>
      <x:c r="E525" s="90" t="str">
        <x:v>Core</x:v>
      </x:c>
      <x:c r="F525" s="90" t="str">
        <x:v>Yes</x:v>
      </x:c>
      <x:c r="G525" s="90" t="str">
        <x:v>Yes — bundled</x:v>
      </x:c>
      <x:c r="H525" s="90" t="str">
        <x:v>SLP Practice, Documentation, Field Safety &amp; Conditional OASIS</x:v>
      </x:c>
      <x:c r="I525" s="90" t="str">
        <x:v>80% role quiz; 85% OASIS assessment and coding exercise if authorized</x:v>
      </x:c>
      <x:c r="J525" s="90" t="str">
        <x:v>By day 14; before independent duty if earlier</x:v>
      </x:c>
      <x:c r="K525" s="90" t="str">
        <x:v>At hire; then on material revision</x:v>
      </x:c>
      <x:c r="L525" s="90" t="str">
        <x:v>Partial hold</x:v>
      </x:c>
      <x:c r="M525" s="90" t="str">
        <x:v>One integrated SLP course covers the smaller pathway while gating OASIS and specialty content by assignment.</x:v>
      </x:c>
      <x:c r="N525" s="90" t="str">
        <x:v>12-allPoliciesContent.generated.ts — OP-SL-004</x:v>
      </x:c>
      <x:c r="O525" s="90" t="str"/>
      <x:c r="P525" s="90" t="str"/>
    </x:row>
    <x:row r="526" ht="42" customHeight="1">
      <x:c r="A526" s="90" t="str">
        <x:v>SLP-01</x:v>
      </x:c>
      <x:c r="B526" s="90" t="str">
        <x:v>SLP</x:v>
      </x:c>
      <x:c r="C526" s="90" t="str">
        <x:v>OP-SL-007</x:v>
      </x:c>
      <x:c r="D526" s="90" t="str">
        <x:v>Inclement Weather &amp; Hazardous Conditions</x:v>
      </x:c>
      <x:c r="E526" s="90" t="str">
        <x:v>Core</x:v>
      </x:c>
      <x:c r="F526" s="90" t="str">
        <x:v>Yes</x:v>
      </x:c>
      <x:c r="G526" s="90" t="str">
        <x:v>Yes — bundled</x:v>
      </x:c>
      <x:c r="H526" s="90" t="str">
        <x:v>SLP Practice, Documentation, Field Safety &amp; Conditional OASIS</x:v>
      </x:c>
      <x:c r="I526" s="90" t="str">
        <x:v>80% role quiz; 85% OASIS assessment and coding exercise if authorized</x:v>
      </x:c>
      <x:c r="J526" s="90" t="str">
        <x:v>By day 14; before independent duty if earlier</x:v>
      </x:c>
      <x:c r="K526" s="90" t="str">
        <x:v>At hire; then on material revision</x:v>
      </x:c>
      <x:c r="L526" s="90" t="str">
        <x:v>Partial hold</x:v>
      </x:c>
      <x:c r="M526" s="90" t="str">
        <x:v>One integrated SLP course covers the smaller pathway while gating OASIS and specialty content by assignment.</x:v>
      </x:c>
      <x:c r="N526" s="90" t="str">
        <x:v>12-allPoliciesContent.generated.ts — OP-SL-007</x:v>
      </x:c>
      <x:c r="O526" s="90" t="str"/>
      <x:c r="P526" s="90" t="str"/>
    </x:row>
    <x:row r="527" ht="42" customHeight="1">
      <x:c r="A527" s="90" t="str">
        <x:v>SLP-01</x:v>
      </x:c>
      <x:c r="B527" s="90" t="str">
        <x:v>SLP</x:v>
      </x:c>
      <x:c r="C527" s="90" t="str">
        <x:v>RM-OS-002</x:v>
      </x:c>
      <x:c r="D527" s="90" t="str">
        <x:v>Aerosol Transmissible Disease (ATD) Exposure Control Plan</x:v>
      </x:c>
      <x:c r="E527" s="90" t="str">
        <x:v>Core</x:v>
      </x:c>
      <x:c r="F527" s="90" t="str">
        <x:v>Yes</x:v>
      </x:c>
      <x:c r="G527" s="90" t="str">
        <x:v>Yes — bundled</x:v>
      </x:c>
      <x:c r="H527" s="90" t="str">
        <x:v>SLP Practice, Documentation, Field Safety &amp; Conditional OASIS</x:v>
      </x:c>
      <x:c r="I527" s="90" t="str">
        <x:v>80% role quiz; 85% OASIS assessment and coding exercise if authorized</x:v>
      </x:c>
      <x:c r="J527" s="90" t="str">
        <x:v>By day 14; before independent duty if earlier</x:v>
      </x:c>
      <x:c r="K527" s="90" t="str">
        <x:v>At hire; then on material revision</x:v>
      </x:c>
      <x:c r="L527" s="90" t="str">
        <x:v>Partial hold</x:v>
      </x:c>
      <x:c r="M527" s="90" t="str">
        <x:v>One integrated SLP course covers the smaller pathway while gating OASIS and specialty content by assignment.</x:v>
      </x:c>
      <x:c r="N527" s="90" t="str">
        <x:v>12-allPoliciesContent.generated.ts — RM-OS-002</x:v>
      </x:c>
      <x:c r="O527" s="90" t="str">
        <x:v>https://www.dir.ca.gov/title8/5199.html</x:v>
      </x:c>
      <x:c r="P527" s="90" t="str"/>
    </x:row>
    <x:row r="528" ht="42" customHeight="1">
      <x:c r="A528" s="90" t="str">
        <x:v>SLP-01</x:v>
      </x:c>
      <x:c r="B528" s="90" t="str">
        <x:v>SLP</x:v>
      </x:c>
      <x:c r="C528" s="90" t="str">
        <x:v>RM-OS-003</x:v>
      </x:c>
      <x:c r="D528" s="90" t="str">
        <x:v>Bloodborne Pathogen (BBP) Exposure Control Plan</x:v>
      </x:c>
      <x:c r="E528" s="90" t="str">
        <x:v>Core</x:v>
      </x:c>
      <x:c r="F528" s="90" t="str">
        <x:v>Yes</x:v>
      </x:c>
      <x:c r="G528" s="90" t="str">
        <x:v>Yes — bundled</x:v>
      </x:c>
      <x:c r="H528" s="90" t="str">
        <x:v>SLP Practice, Documentation, Field Safety &amp; Conditional OASIS</x:v>
      </x:c>
      <x:c r="I528" s="90" t="str">
        <x:v>80% role quiz; 85% OASIS assessment and coding exercise if authorized</x:v>
      </x:c>
      <x:c r="J528" s="90" t="str">
        <x:v>By day 14; before independent duty if earlier</x:v>
      </x:c>
      <x:c r="K528" s="90" t="str">
        <x:v>At hire; then on material revision</x:v>
      </x:c>
      <x:c r="L528" s="90" t="str">
        <x:v>Partial hold</x:v>
      </x:c>
      <x:c r="M528" s="90" t="str">
        <x:v>One integrated SLP course covers the smaller pathway while gating OASIS and specialty content by assignment.</x:v>
      </x:c>
      <x:c r="N528" s="90" t="str">
        <x:v>12-allPoliciesContent.generated.ts — RM-OS-003</x:v>
      </x:c>
      <x:c r="O528" s="90" t="str">
        <x:v>https://www.dir.ca.gov/title8/5193.html</x:v>
      </x:c>
      <x:c r="P528" s="90" t="str"/>
    </x:row>
    <x:row r="529" ht="42" customHeight="1">
      <x:c r="A529" s="90" t="str">
        <x:v>SLP-01</x:v>
      </x:c>
      <x:c r="B529" s="90" t="str">
        <x:v>SLP</x:v>
      </x:c>
      <x:c r="C529" s="90" t="str">
        <x:v>RM-OS-004</x:v>
      </x:c>
      <x:c r="D529" s="90" t="str">
        <x:v>Heat Illness Prevention Program</x:v>
      </x:c>
      <x:c r="E529" s="90" t="str">
        <x:v>Conditional</x:v>
      </x:c>
      <x:c r="F529" s="90" t="str">
        <x:v>Yes</x:v>
      </x:c>
      <x:c r="G529" s="90" t="str">
        <x:v>Yes — bundled</x:v>
      </x:c>
      <x:c r="H529" s="90" t="str">
        <x:v>SLP Practice, Documentation, Field Safety &amp; Conditional OASIS</x:v>
      </x:c>
      <x:c r="I529" s="90" t="str">
        <x:v>80% role quiz; 85% OASIS assessment and coding exercise if authorized</x:v>
      </x:c>
      <x:c r="J529" s="90" t="str">
        <x:v>By day 14; before independent duty if earlier</x:v>
      </x:c>
      <x:c r="K529" s="90" t="str">
        <x:v>At hire; then on material revision</x:v>
      </x:c>
      <x:c r="L529" s="90" t="str">
        <x:v>Partial hold</x:v>
      </x:c>
      <x:c r="M529" s="90" t="str">
        <x:v>One integrated SLP course covers the smaller pathway while gating OASIS and specialty content by assignment.</x:v>
      </x:c>
      <x:c r="N529" s="90" t="str">
        <x:v>12-allPoliciesContent.generated.ts — RM-OS-004</x:v>
      </x:c>
      <x:c r="O529" s="90" t="str"/>
      <x:c r="P529" s="90" t="str"/>
    </x:row>
    <x:row r="530" ht="42" customHeight="1">
      <x:c r="A530" s="90" t="str">
        <x:v>SLP-01</x:v>
      </x:c>
      <x:c r="B530" s="90" t="str">
        <x:v>SLP</x:v>
      </x:c>
      <x:c r="C530" s="90" t="str">
        <x:v>RM-PS-001</x:v>
      </x:c>
      <x:c r="D530" s="90" t="str">
        <x:v>Environmental Safety Assessment</x:v>
      </x:c>
      <x:c r="E530" s="90" t="str">
        <x:v>Core</x:v>
      </x:c>
      <x:c r="F530" s="90" t="str">
        <x:v>Yes</x:v>
      </x:c>
      <x:c r="G530" s="90" t="str">
        <x:v>Yes — bundled</x:v>
      </x:c>
      <x:c r="H530" s="90" t="str">
        <x:v>SLP Practice, Documentation, Field Safety &amp; Conditional OASIS</x:v>
      </x:c>
      <x:c r="I530" s="90" t="str">
        <x:v>80% role quiz; 85% OASIS assessment and coding exercise if authorized</x:v>
      </x:c>
      <x:c r="J530" s="90" t="str">
        <x:v>By day 14; before independent duty if earlier</x:v>
      </x:c>
      <x:c r="K530" s="90" t="str">
        <x:v>At hire; then on material revision</x:v>
      </x:c>
      <x:c r="L530" s="90" t="str">
        <x:v>Partial hold</x:v>
      </x:c>
      <x:c r="M530" s="90" t="str">
        <x:v>One integrated SLP course covers the smaller pathway while gating OASIS and specialty content by assignment.</x:v>
      </x:c>
      <x:c r="N530" s="90" t="str">
        <x:v>12-allPoliciesContent.generated.ts — RM-PS-001</x:v>
      </x:c>
      <x:c r="O530" s="90" t="str"/>
      <x:c r="P530" s="90" t="str"/>
    </x:row>
    <x:row r="531" ht="42" customHeight="1">
      <x:c r="A531" s="90" t="str">
        <x:v>SLP-01</x:v>
      </x:c>
      <x:c r="B531" s="90" t="str">
        <x:v>SLP</x:v>
      </x:c>
      <x:c r="C531" s="90" t="str">
        <x:v>RM-PS-003</x:v>
      </x:c>
      <x:c r="D531" s="90" t="str">
        <x:v>Product &amp; Equipment Safety Recall Management</x:v>
      </x:c>
      <x:c r="E531" s="90" t="str">
        <x:v>Core</x:v>
      </x:c>
      <x:c r="F531" s="90" t="str">
        <x:v>Yes</x:v>
      </x:c>
      <x:c r="G531" s="90" t="str">
        <x:v>Yes — bundled</x:v>
      </x:c>
      <x:c r="H531" s="90" t="str">
        <x:v>SLP Practice, Documentation, Field Safety &amp; Conditional OASIS</x:v>
      </x:c>
      <x:c r="I531" s="90" t="str">
        <x:v>80% role quiz; 85% OASIS assessment and coding exercise if authorized</x:v>
      </x:c>
      <x:c r="J531" s="90" t="str">
        <x:v>By day 14; before independent duty if earlier</x:v>
      </x:c>
      <x:c r="K531" s="90" t="str">
        <x:v>At hire; then on material revision</x:v>
      </x:c>
      <x:c r="L531" s="90" t="str">
        <x:v>Partial hold</x:v>
      </x:c>
      <x:c r="M531" s="90" t="str">
        <x:v>One integrated SLP course covers the smaller pathway while gating OASIS and specialty content by assignment.</x:v>
      </x:c>
      <x:c r="N531" s="90" t="str">
        <x:v>12-allPoliciesContent.generated.ts — RM-PS-003</x:v>
      </x:c>
      <x:c r="O531" s="90" t="str"/>
      <x:c r="P531" s="90" t="str"/>
    </x:row>
    <x:row r="532" ht="42" customHeight="1">
      <x:c r="A532" s="90" t="str">
        <x:v>SLP-01</x:v>
      </x:c>
      <x:c r="B532" s="90" t="str">
        <x:v>SLP</x:v>
      </x:c>
      <x:c r="C532" s="90" t="str">
        <x:v>RM-SS-001</x:v>
      </x:c>
      <x:c r="D532" s="90" t="str">
        <x:v>Staff Safety &amp; Personal Security</x:v>
      </x:c>
      <x:c r="E532" s="90" t="str">
        <x:v>Core</x:v>
      </x:c>
      <x:c r="F532" s="90" t="str">
        <x:v>Yes</x:v>
      </x:c>
      <x:c r="G532" s="90" t="str">
        <x:v>Yes — bundled</x:v>
      </x:c>
      <x:c r="H532" s="90" t="str">
        <x:v>SLP Practice, Documentation, Field Safety &amp; Conditional OASIS</x:v>
      </x:c>
      <x:c r="I532" s="90" t="str">
        <x:v>80% role quiz; 85% OASIS assessment and coding exercise if authorized</x:v>
      </x:c>
      <x:c r="J532" s="90" t="str">
        <x:v>By day 14; before independent duty if earlier</x:v>
      </x:c>
      <x:c r="K532" s="90" t="str">
        <x:v>At hire; then on material revision</x:v>
      </x:c>
      <x:c r="L532" s="90" t="str">
        <x:v>Partial hold</x:v>
      </x:c>
      <x:c r="M532" s="90" t="str">
        <x:v>One integrated SLP course covers the smaller pathway while gating OASIS and specialty content by assignment.</x:v>
      </x:c>
      <x:c r="N532" s="90" t="str">
        <x:v>12-allPoliciesContent.generated.ts — RM-SS-001</x:v>
      </x:c>
      <x:c r="O532" s="90" t="str"/>
      <x:c r="P532" s="90" t="str"/>
    </x:row>
    <x:row r="533" ht="42" customHeight="1">
      <x:c r="A533" s="90" t="str">
        <x:v>SLP-01</x:v>
      </x:c>
      <x:c r="B533" s="90" t="str">
        <x:v>SLP</x:v>
      </x:c>
      <x:c r="C533" s="90" t="str">
        <x:v>RM-SS-003</x:v>
      </x:c>
      <x:c r="D533" s="90" t="str">
        <x:v>Motor Vehicle Safety &amp; Accident Reporting</x:v>
      </x:c>
      <x:c r="E533" s="90" t="str">
        <x:v>Conditional</x:v>
      </x:c>
      <x:c r="F533" s="90" t="str">
        <x:v>Yes</x:v>
      </x:c>
      <x:c r="G533" s="90" t="str">
        <x:v>Yes — bundled</x:v>
      </x:c>
      <x:c r="H533" s="90" t="str">
        <x:v>SLP Practice, Documentation, Field Safety &amp; Conditional OASIS</x:v>
      </x:c>
      <x:c r="I533" s="90" t="str">
        <x:v>80% role quiz; 85% OASIS assessment and coding exercise if authorized</x:v>
      </x:c>
      <x:c r="J533" s="90" t="str">
        <x:v>By day 14; before independent duty if earlier</x:v>
      </x:c>
      <x:c r="K533" s="90" t="str">
        <x:v>At hire; then on material revision</x:v>
      </x:c>
      <x:c r="L533" s="90" t="str">
        <x:v>Partial hold</x:v>
      </x:c>
      <x:c r="M533" s="90" t="str">
        <x:v>One integrated SLP course covers the smaller pathway while gating OASIS and specialty content by assignment.</x:v>
      </x:c>
      <x:c r="N533" s="90" t="str">
        <x:v>12-allPoliciesContent.generated.ts — RM-SS-003</x:v>
      </x:c>
      <x:c r="O533" s="90" t="str"/>
      <x:c r="P533" s="90" t="str"/>
    </x:row>
    <x:row r="534" ht="42" customHeight="1">
      <x:c r="A534" s="90" t="str">
        <x:v>SLP-01</x:v>
      </x:c>
      <x:c r="B534" s="90" t="str">
        <x:v>SLP</x:v>
      </x:c>
      <x:c r="C534" s="90" t="str">
        <x:v>OP-SL-003</x:v>
      </x:c>
      <x:c r="D534" s="90" t="str">
        <x:v>Vehicle &amp; Transportation Safety</x:v>
      </x:c>
      <x:c r="E534" s="90" t="str">
        <x:v>Conditional</x:v>
      </x:c>
      <x:c r="F534" s="90" t="str">
        <x:v>Yes</x:v>
      </x:c>
      <x:c r="G534" s="90" t="str">
        <x:v>Yes — bundled</x:v>
      </x:c>
      <x:c r="H534" s="90" t="str">
        <x:v>SLP Practice, Documentation, Field Safety &amp; Conditional OASIS</x:v>
      </x:c>
      <x:c r="I534" s="90" t="str">
        <x:v>80% role quiz; 85% OASIS assessment and coding exercise if authorized</x:v>
      </x:c>
      <x:c r="J534" s="90" t="str">
        <x:v>By day 14; before independent duty if earlier</x:v>
      </x:c>
      <x:c r="K534" s="90" t="str">
        <x:v>At hire; then on material revision</x:v>
      </x:c>
      <x:c r="L534" s="90" t="str">
        <x:v>Partial hold</x:v>
      </x:c>
      <x:c r="M534" s="90" t="str">
        <x:v>One integrated SLP course covers the smaller pathway while gating OASIS and specialty content by assignment.</x:v>
      </x:c>
      <x:c r="N534" s="90" t="str">
        <x:v>12-allPoliciesContent.generated.ts — OP-SL-003</x:v>
      </x:c>
      <x:c r="O534" s="90" t="str"/>
      <x:c r="P534" s="90" t="str"/>
    </x:row>
    <x:row r="535" ht="42" customHeight="1">
      <x:c r="A535" s="90" t="str">
        <x:v>SLP-01</x:v>
      </x:c>
      <x:c r="B535" s="90" t="str">
        <x:v>SLP</x:v>
      </x:c>
      <x:c r="C535" s="90" t="str">
        <x:v>CL-CA-001</x:v>
      </x:c>
      <x:c r="D535" s="90" t="str">
        <x:v>Patient Assessment — Comprehensive</x:v>
      </x:c>
      <x:c r="E535" s="90" t="str">
        <x:v>Hold</x:v>
      </x:c>
      <x:c r="F535" s="90" t="str">
        <x:v>Yes</x:v>
      </x:c>
      <x:c r="G535" s="90" t="str">
        <x:v>Yes — bundled</x:v>
      </x:c>
      <x:c r="H535" s="90" t="str">
        <x:v>SLP Practice, Documentation, Field Safety &amp; Conditional OASIS</x:v>
      </x:c>
      <x:c r="I535" s="90" t="str">
        <x:v>80% role quiz; 85% OASIS assessment and coding exercise if authorized</x:v>
      </x:c>
      <x:c r="J535" s="90" t="str">
        <x:v>By day 14; before independent duty if earlier</x:v>
      </x:c>
      <x:c r="K535" s="90" t="str">
        <x:v>At hire; then on material revision</x:v>
      </x:c>
      <x:c r="L535" s="90" t="str">
        <x:v>Hold</x:v>
      </x:c>
      <x:c r="M535" s="90" t="str">
        <x:v>One integrated SLP course covers the smaller pathway while gating OASIS and specialty content by assignment.</x:v>
      </x:c>
      <x:c r="N535" s="90" t="str">
        <x:v>12-allPoliciesContent.generated.ts — CL-CA-001</x:v>
      </x:c>
      <x:c r="O535" s="90" t="str">
        <x:v>https://www.ecfr.gov/current/title-42/part-484/section-484.55</x:v>
      </x:c>
      <x:c r="P535" s="90" t="str"/>
    </x:row>
    <x:row r="536" ht="42" customHeight="1">
      <x:c r="A536" s="90" t="str">
        <x:v>SLP-01</x:v>
      </x:c>
      <x:c r="B536" s="90" t="str">
        <x:v>SLP</x:v>
      </x:c>
      <x:c r="C536" s="90" t="str">
        <x:v>CL-CA-002</x:v>
      </x:c>
      <x:c r="D536" s="90" t="str">
        <x:v>OASIS Data Collection &amp; Accuracy</x:v>
      </x:c>
      <x:c r="E536" s="90" t="str">
        <x:v>Hold</x:v>
      </x:c>
      <x:c r="F536" s="90" t="str">
        <x:v>Yes</x:v>
      </x:c>
      <x:c r="G536" s="90" t="str">
        <x:v>Yes — bundled</x:v>
      </x:c>
      <x:c r="H536" s="90" t="str">
        <x:v>SLP Practice, Documentation, Field Safety &amp; Conditional OASIS</x:v>
      </x:c>
      <x:c r="I536" s="90" t="str">
        <x:v>80% role quiz; 85% OASIS assessment and coding exercise if authorized</x:v>
      </x:c>
      <x:c r="J536" s="90" t="str">
        <x:v>By day 14; before independent duty if earlier</x:v>
      </x:c>
      <x:c r="K536" s="90" t="str">
        <x:v>At hire; then on material revision</x:v>
      </x:c>
      <x:c r="L536" s="90" t="str">
        <x:v>Hold</x:v>
      </x:c>
      <x:c r="M536" s="90" t="str">
        <x:v>One integrated SLP course covers the smaller pathway while gating OASIS and specialty content by assignment.</x:v>
      </x:c>
      <x:c r="N536" s="90" t="str">
        <x:v>12-allPoliciesContent.generated.ts — CL-CA-002</x:v>
      </x:c>
      <x:c r="O536" s="90" t="str">
        <x:v>https://www.ecfr.gov/current/title-42/part-484/section-484.55</x:v>
      </x:c>
      <x:c r="P536" s="90" t="str"/>
    </x:row>
    <x:row r="537" ht="42" customHeight="1">
      <x:c r="A537" s="90" t="str">
        <x:v>SLP-01</x:v>
      </x:c>
      <x:c r="B537" s="90" t="str">
        <x:v>SLP</x:v>
      </x:c>
      <x:c r="C537" s="90" t="str">
        <x:v>CL-CA-004</x:v>
      </x:c>
      <x:c r="D537" s="90" t="str">
        <x:v>Recertification Assessment &amp; Process</x:v>
      </x:c>
      <x:c r="E537" s="90" t="str">
        <x:v>Hold</x:v>
      </x:c>
      <x:c r="F537" s="90" t="str">
        <x:v>Yes</x:v>
      </x:c>
      <x:c r="G537" s="90" t="str">
        <x:v>Yes — bundled</x:v>
      </x:c>
      <x:c r="H537" s="90" t="str">
        <x:v>SLP Practice, Documentation, Field Safety &amp; Conditional OASIS</x:v>
      </x:c>
      <x:c r="I537" s="90" t="str">
        <x:v>80% role quiz; 85% OASIS assessment and coding exercise if authorized</x:v>
      </x:c>
      <x:c r="J537" s="90" t="str">
        <x:v>By day 14; before independent duty if earlier</x:v>
      </x:c>
      <x:c r="K537" s="90" t="str">
        <x:v>At hire; then on material revision</x:v>
      </x:c>
      <x:c r="L537" s="90" t="str">
        <x:v>Hold</x:v>
      </x:c>
      <x:c r="M537" s="90" t="str">
        <x:v>One integrated SLP course covers the smaller pathway while gating OASIS and specialty content by assignment.</x:v>
      </x:c>
      <x:c r="N537" s="90" t="str">
        <x:v>12-allPoliciesContent.generated.ts — CL-CA-004</x:v>
      </x:c>
      <x:c r="O537" s="90" t="str">
        <x:v>https://www.ecfr.gov/current/title-42/part-484/section-484.55</x:v>
      </x:c>
      <x:c r="P537" s="90" t="str"/>
    </x:row>
    <x:row r="538" ht="42" customHeight="1">
      <x:c r="A538" s="90" t="str">
        <x:v>SLP-01</x:v>
      </x:c>
      <x:c r="B538" s="90" t="str">
        <x:v>SLP</x:v>
      </x:c>
      <x:c r="C538" s="90" t="str">
        <x:v>CL-CA-005</x:v>
      </x:c>
      <x:c r="D538" s="90" t="str">
        <x:v>Homebound Status Determination &amp; Documentation</x:v>
      </x:c>
      <x:c r="E538" s="90" t="str">
        <x:v>Hold</x:v>
      </x:c>
      <x:c r="F538" s="90" t="str">
        <x:v>Yes</x:v>
      </x:c>
      <x:c r="G538" s="90" t="str">
        <x:v>Yes — bundled</x:v>
      </x:c>
      <x:c r="H538" s="90" t="str">
        <x:v>SLP Practice, Documentation, Field Safety &amp; Conditional OASIS</x:v>
      </x:c>
      <x:c r="I538" s="90" t="str">
        <x:v>80% role quiz; 85% OASIS assessment and coding exercise if authorized</x:v>
      </x:c>
      <x:c r="J538" s="90" t="str">
        <x:v>By day 14; before independent duty if earlier</x:v>
      </x:c>
      <x:c r="K538" s="90" t="str">
        <x:v>At hire; then on material revision</x:v>
      </x:c>
      <x:c r="L538" s="90" t="str">
        <x:v>Hold</x:v>
      </x:c>
      <x:c r="M538" s="90" t="str">
        <x:v>One integrated SLP course covers the smaller pathway while gating OASIS and specialty content by assignment.</x:v>
      </x:c>
      <x:c r="N538" s="90" t="str">
        <x:v>12-allPoliciesContent.generated.ts — CL-CA-005</x:v>
      </x:c>
      <x:c r="O538" s="90" t="str">
        <x:v>https://www.ecfr.gov/current/title-42/part-484/section-484.55</x:v>
      </x:c>
      <x:c r="P538" s="90" t="str"/>
    </x:row>
    <x:row r="539" ht="42" customHeight="1">
      <x:c r="A539" s="90" t="str">
        <x:v>SLP-01</x:v>
      </x:c>
      <x:c r="B539" s="90" t="str">
        <x:v>SLP</x:v>
      </x:c>
      <x:c r="C539" s="90" t="str">
        <x:v>CL-OA-001</x:v>
      </x:c>
      <x:c r="D539" s="90" t="str">
        <x:v>OASIS Completion Timeliness &amp; Accountability</x:v>
      </x:c>
      <x:c r="E539" s="90" t="str">
        <x:v>Hold</x:v>
      </x:c>
      <x:c r="F539" s="90" t="str">
        <x:v>Yes</x:v>
      </x:c>
      <x:c r="G539" s="90" t="str">
        <x:v>Yes — bundled</x:v>
      </x:c>
      <x:c r="H539" s="90" t="str">
        <x:v>SLP Practice, Documentation, Field Safety &amp; Conditional OASIS</x:v>
      </x:c>
      <x:c r="I539" s="90" t="str">
        <x:v>80% role quiz; 85% OASIS assessment and coding exercise if authorized</x:v>
      </x:c>
      <x:c r="J539" s="90" t="str">
        <x:v>By day 14; before independent duty if earlier</x:v>
      </x:c>
      <x:c r="K539" s="90" t="str">
        <x:v>At hire; then on material revision</x:v>
      </x:c>
      <x:c r="L539" s="90" t="str">
        <x:v>Hold</x:v>
      </x:c>
      <x:c r="M539" s="90" t="str">
        <x:v>One integrated SLP course covers the smaller pathway while gating OASIS and specialty content by assignment.</x:v>
      </x:c>
      <x:c r="N539" s="90" t="str">
        <x:v>12-allPoliciesContent.generated.ts — CL-OA-001</x:v>
      </x:c>
      <x:c r="O539" s="90" t="str">
        <x:v>https://www.ecfr.gov/current/title-42/part-484/section-484.55</x:v>
      </x:c>
      <x:c r="P539" s="90" t="str"/>
    </x:row>
    <x:row r="540" ht="42" customHeight="1">
      <x:c r="A540" s="90" t="str">
        <x:v>SLP-01</x:v>
      </x:c>
      <x:c r="B540" s="90" t="str">
        <x:v>SLP</x:v>
      </x:c>
      <x:c r="C540" s="90" t="str">
        <x:v>CL-OA-002</x:v>
      </x:c>
      <x:c r="D540" s="90" t="str">
        <x:v>OASIS Quality Review &amp; Error Correction</x:v>
      </x:c>
      <x:c r="E540" s="90" t="str">
        <x:v>Hold</x:v>
      </x:c>
      <x:c r="F540" s="90" t="str">
        <x:v>Yes</x:v>
      </x:c>
      <x:c r="G540" s="90" t="str">
        <x:v>Yes — bundled</x:v>
      </x:c>
      <x:c r="H540" s="90" t="str">
        <x:v>SLP Practice, Documentation, Field Safety &amp; Conditional OASIS</x:v>
      </x:c>
      <x:c r="I540" s="90" t="str">
        <x:v>80% role quiz; 85% OASIS assessment and coding exercise if authorized</x:v>
      </x:c>
      <x:c r="J540" s="90" t="str">
        <x:v>By day 14; before independent duty if earlier</x:v>
      </x:c>
      <x:c r="K540" s="90" t="str">
        <x:v>At hire; then on material revision</x:v>
      </x:c>
      <x:c r="L540" s="90" t="str">
        <x:v>Hold</x:v>
      </x:c>
      <x:c r="M540" s="90" t="str">
        <x:v>One integrated SLP course covers the smaller pathway while gating OASIS and specialty content by assignment.</x:v>
      </x:c>
      <x:c r="N540" s="90" t="str">
        <x:v>12-allPoliciesContent.generated.ts — CL-OA-002</x:v>
      </x:c>
      <x:c r="O540" s="90" t="str">
        <x:v>https://www.ecfr.gov/current/title-42/part-484/section-484.55</x:v>
      </x:c>
      <x:c r="P540" s="90" t="str"/>
    </x:row>
    <x:row r="541" ht="42" customHeight="1">
      <x:c r="A541" s="90" t="str">
        <x:v>SLP-01</x:v>
      </x:c>
      <x:c r="B541" s="90" t="str">
        <x:v>SLP</x:v>
      </x:c>
      <x:c r="C541" s="90" t="str">
        <x:v>CL-OA-003</x:v>
      </x:c>
      <x:c r="D541" s="90" t="str">
        <x:v>OASIS Clinician Authorization &amp; Competency</x:v>
      </x:c>
      <x:c r="E541" s="90" t="str">
        <x:v>Hold</x:v>
      </x:c>
      <x:c r="F541" s="90" t="str">
        <x:v>Yes</x:v>
      </x:c>
      <x:c r="G541" s="90" t="str">
        <x:v>Yes — bundled</x:v>
      </x:c>
      <x:c r="H541" s="90" t="str">
        <x:v>SLP Practice, Documentation, Field Safety &amp; Conditional OASIS</x:v>
      </x:c>
      <x:c r="I541" s="90" t="str">
        <x:v>80% role quiz; 85% OASIS assessment and coding exercise if authorized</x:v>
      </x:c>
      <x:c r="J541" s="90" t="str">
        <x:v>By day 14; before independent duty if earlier</x:v>
      </x:c>
      <x:c r="K541" s="90" t="str">
        <x:v>At hire; then on material revision</x:v>
      </x:c>
      <x:c r="L541" s="90" t="str">
        <x:v>Hold</x:v>
      </x:c>
      <x:c r="M541" s="90" t="str">
        <x:v>One integrated SLP course covers the smaller pathway while gating OASIS and specialty content by assignment.</x:v>
      </x:c>
      <x:c r="N541" s="90" t="str">
        <x:v>12-allPoliciesContent.generated.ts — CL-OA-003</x:v>
      </x:c>
      <x:c r="O541" s="90" t="str">
        <x:v>https://www.ecfr.gov/current/title-42/part-484/section-484.55</x:v>
      </x:c>
      <x:c r="P541" s="90" t="str"/>
    </x:row>
    <x:row r="542" ht="42" customHeight="1">
      <x:c r="A542" s="90" t="str">
        <x:v>SLP-01</x:v>
      </x:c>
      <x:c r="B542" s="90" t="str">
        <x:v>SLP</x:v>
      </x:c>
      <x:c r="C542" s="90" t="str">
        <x:v>CL-OA-004</x:v>
      </x:c>
      <x:c r="D542" s="90" t="str">
        <x:v>OASIS Item-Level Guidance Compliance</x:v>
      </x:c>
      <x:c r="E542" s="90" t="str">
        <x:v>Hold</x:v>
      </x:c>
      <x:c r="F542" s="90" t="str">
        <x:v>Yes</x:v>
      </x:c>
      <x:c r="G542" s="90" t="str">
        <x:v>Yes — bundled</x:v>
      </x:c>
      <x:c r="H542" s="90" t="str">
        <x:v>SLP Practice, Documentation, Field Safety &amp; Conditional OASIS</x:v>
      </x:c>
      <x:c r="I542" s="90" t="str">
        <x:v>80% role quiz; 85% OASIS assessment and coding exercise if authorized</x:v>
      </x:c>
      <x:c r="J542" s="90" t="str">
        <x:v>By day 14; before independent duty if earlier</x:v>
      </x:c>
      <x:c r="K542" s="90" t="str">
        <x:v>At hire; then on material revision</x:v>
      </x:c>
      <x:c r="L542" s="90" t="str">
        <x:v>Hold</x:v>
      </x:c>
      <x:c r="M542" s="90" t="str">
        <x:v>One integrated SLP course covers the smaller pathway while gating OASIS and specialty content by assignment.</x:v>
      </x:c>
      <x:c r="N542" s="90" t="str">
        <x:v>12-allPoliciesContent.generated.ts — CL-OA-004</x:v>
      </x:c>
      <x:c r="O542" s="90" t="str">
        <x:v>https://www.ecfr.gov/current/title-42/part-484/section-484.55</x:v>
      </x:c>
      <x:c r="P542" s="90" t="str"/>
    </x:row>
    <x:row r="543" ht="42" customHeight="1">
      <x:c r="A543" s="90" t="str">
        <x:v>SLP-01</x:v>
      </x:c>
      <x:c r="B543" s="90" t="str">
        <x:v>SLP</x:v>
      </x:c>
      <x:c r="C543" s="90" t="str">
        <x:v>CL-OA-005</x:v>
      </x:c>
      <x:c r="D543" s="90" t="str">
        <x:v>OASIS Data Integrity &amp; Security</x:v>
      </x:c>
      <x:c r="E543" s="90" t="str">
        <x:v>Hold</x:v>
      </x:c>
      <x:c r="F543" s="90" t="str">
        <x:v>Yes</x:v>
      </x:c>
      <x:c r="G543" s="90" t="str">
        <x:v>Yes — bundled</x:v>
      </x:c>
      <x:c r="H543" s="90" t="str">
        <x:v>SLP Practice, Documentation, Field Safety &amp; Conditional OASIS</x:v>
      </x:c>
      <x:c r="I543" s="90" t="str">
        <x:v>80% role quiz; 85% OASIS assessment and coding exercise if authorized</x:v>
      </x:c>
      <x:c r="J543" s="90" t="str">
        <x:v>By day 14; before independent duty if earlier</x:v>
      </x:c>
      <x:c r="K543" s="90" t="str">
        <x:v>At hire; then on material revision</x:v>
      </x:c>
      <x:c r="L543" s="90" t="str">
        <x:v>Hold</x:v>
      </x:c>
      <x:c r="M543" s="90" t="str">
        <x:v>One integrated SLP course covers the smaller pathway while gating OASIS and specialty content by assignment.</x:v>
      </x:c>
      <x:c r="N543" s="90" t="str">
        <x:v>12-allPoliciesContent.generated.ts — CL-OA-005</x:v>
      </x:c>
      <x:c r="O543" s="90" t="str">
        <x:v>https://www.ecfr.gov/current/title-42/part-484/section-484.55</x:v>
      </x:c>
      <x:c r="P543" s="90" t="str"/>
    </x:row>
    <x:row r="544" ht="42" customHeight="1">
      <x:c r="A544" s="90" t="str">
        <x:v>SLP-01</x:v>
      </x:c>
      <x:c r="B544" s="90" t="str">
        <x:v>SLP</x:v>
      </x:c>
      <x:c r="C544" s="90" t="str">
        <x:v>CL-OA-006</x:v>
      </x:c>
      <x:c r="D544" s="90" t="str">
        <x:v>Documentation Hierarchy and Evidence Source Prioritization</x:v>
      </x:c>
      <x:c r="E544" s="90" t="str">
        <x:v>Hold</x:v>
      </x:c>
      <x:c r="F544" s="90" t="str">
        <x:v>Yes</x:v>
      </x:c>
      <x:c r="G544" s="90" t="str">
        <x:v>Yes — bundled</x:v>
      </x:c>
      <x:c r="H544" s="90" t="str">
        <x:v>SLP Practice, Documentation, Field Safety &amp; Conditional OASIS</x:v>
      </x:c>
      <x:c r="I544" s="90" t="str">
        <x:v>80% role quiz; 85% OASIS assessment and coding exercise if authorized</x:v>
      </x:c>
      <x:c r="J544" s="90" t="str">
        <x:v>By day 14; before independent duty if earlier</x:v>
      </x:c>
      <x:c r="K544" s="90" t="str">
        <x:v>At hire; then on material revision</x:v>
      </x:c>
      <x:c r="L544" s="90" t="str">
        <x:v>Hold</x:v>
      </x:c>
      <x:c r="M544" s="90" t="str">
        <x:v>One integrated SLP course covers the smaller pathway while gating OASIS and specialty content by assignment.</x:v>
      </x:c>
      <x:c r="N544" s="90" t="str">
        <x:v>12-allPoliciesContent.generated.ts — CL-OA-006</x:v>
      </x:c>
      <x:c r="O544" s="90" t="str">
        <x:v>https://www.ecfr.gov/current/title-42/part-484/section-484.55</x:v>
      </x:c>
      <x:c r="P544" s="90" t="str"/>
    </x:row>
    <x:row r="545" ht="42" customHeight="1">
      <x:c r="A545" s="90" t="str">
        <x:v>SLP-01</x:v>
      </x:c>
      <x:c r="B545" s="90" t="str">
        <x:v>SLP</x:v>
      </x:c>
      <x:c r="C545" s="90" t="str">
        <x:v>CL-OA-007</x:v>
      </x:c>
      <x:c r="D545" s="90" t="str">
        <x:v>Evidence-Based OASIS Coding Substantiation</x:v>
      </x:c>
      <x:c r="E545" s="90" t="str">
        <x:v>Hold</x:v>
      </x:c>
      <x:c r="F545" s="90" t="str">
        <x:v>Yes</x:v>
      </x:c>
      <x:c r="G545" s="90" t="str">
        <x:v>Yes — bundled</x:v>
      </x:c>
      <x:c r="H545" s="90" t="str">
        <x:v>SLP Practice, Documentation, Field Safety &amp; Conditional OASIS</x:v>
      </x:c>
      <x:c r="I545" s="90" t="str">
        <x:v>80% role quiz; 85% OASIS assessment and coding exercise if authorized</x:v>
      </x:c>
      <x:c r="J545" s="90" t="str">
        <x:v>By day 14; before independent duty if earlier</x:v>
      </x:c>
      <x:c r="K545" s="90" t="str">
        <x:v>At hire; then on material revision</x:v>
      </x:c>
      <x:c r="L545" s="90" t="str">
        <x:v>Hold</x:v>
      </x:c>
      <x:c r="M545" s="90" t="str">
        <x:v>One integrated SLP course covers the smaller pathway while gating OASIS and specialty content by assignment.</x:v>
      </x:c>
      <x:c r="N545" s="90" t="str">
        <x:v>12-allPoliciesContent.generated.ts — CL-OA-007</x:v>
      </x:c>
      <x:c r="O545" s="90" t="str">
        <x:v>https://www.ecfr.gov/current/title-42/part-484/section-484.55</x:v>
      </x:c>
      <x:c r="P545" s="90" t="str"/>
    </x:row>
    <x:row r="546" ht="42" customHeight="1">
      <x:c r="A546" s="90" t="str">
        <x:v>SLP-01</x:v>
      </x:c>
      <x:c r="B546" s="90" t="str">
        <x:v>SLP</x:v>
      </x:c>
      <x:c r="C546" s="90" t="str">
        <x:v>CL-OA-008</x:v>
      </x:c>
      <x:c r="D546" s="90" t="str">
        <x:v>Conflicting Documentation Source Resolution</x:v>
      </x:c>
      <x:c r="E546" s="90" t="str">
        <x:v>Hold</x:v>
      </x:c>
      <x:c r="F546" s="90" t="str">
        <x:v>Yes</x:v>
      </x:c>
      <x:c r="G546" s="90" t="str">
        <x:v>Yes — bundled</x:v>
      </x:c>
      <x:c r="H546" s="90" t="str">
        <x:v>SLP Practice, Documentation, Field Safety &amp; Conditional OASIS</x:v>
      </x:c>
      <x:c r="I546" s="90" t="str">
        <x:v>80% role quiz; 85% OASIS assessment and coding exercise if authorized</x:v>
      </x:c>
      <x:c r="J546" s="90" t="str">
        <x:v>By day 14; before independent duty if earlier</x:v>
      </x:c>
      <x:c r="K546" s="90" t="str">
        <x:v>At hire; then on material revision</x:v>
      </x:c>
      <x:c r="L546" s="90" t="str">
        <x:v>Hold</x:v>
      </x:c>
      <x:c r="M546" s="90" t="str">
        <x:v>One integrated SLP course covers the smaller pathway while gating OASIS and specialty content by assignment.</x:v>
      </x:c>
      <x:c r="N546" s="90" t="str">
        <x:v>12-allPoliciesContent.generated.ts — CL-OA-008</x:v>
      </x:c>
      <x:c r="O546" s="90" t="str">
        <x:v>https://www.ecfr.gov/current/title-42/part-484/section-484.55</x:v>
      </x:c>
      <x:c r="P546" s="90" t="str"/>
    </x:row>
    <x:row r="547" ht="42" customHeight="1">
      <x:c r="A547" s="90" t="str">
        <x:v>SLP-01</x:v>
      </x:c>
      <x:c r="B547" s="90" t="str">
        <x:v>SLP</x:v>
      </x:c>
      <x:c r="C547" s="90" t="str">
        <x:v>CL-OA-009</x:v>
      </x:c>
      <x:c r="D547" s="90" t="str">
        <x:v>Point-in-Time Assessment at Start of Care</x:v>
      </x:c>
      <x:c r="E547" s="90" t="str">
        <x:v>Hold</x:v>
      </x:c>
      <x:c r="F547" s="90" t="str">
        <x:v>Yes</x:v>
      </x:c>
      <x:c r="G547" s="90" t="str">
        <x:v>Yes — bundled</x:v>
      </x:c>
      <x:c r="H547" s="90" t="str">
        <x:v>SLP Practice, Documentation, Field Safety &amp; Conditional OASIS</x:v>
      </x:c>
      <x:c r="I547" s="90" t="str">
        <x:v>80% role quiz; 85% OASIS assessment and coding exercise if authorized</x:v>
      </x:c>
      <x:c r="J547" s="90" t="str">
        <x:v>By day 14; before independent duty if earlier</x:v>
      </x:c>
      <x:c r="K547" s="90" t="str">
        <x:v>At hire; then on material revision</x:v>
      </x:c>
      <x:c r="L547" s="90" t="str">
        <x:v>Hold</x:v>
      </x:c>
      <x:c r="M547" s="90" t="str">
        <x:v>One integrated SLP course covers the smaller pathway while gating OASIS and specialty content by assignment.</x:v>
      </x:c>
      <x:c r="N547" s="90" t="str">
        <x:v>12-allPoliciesContent.generated.ts — CL-OA-009</x:v>
      </x:c>
      <x:c r="O547" s="90" t="str">
        <x:v>https://www.ecfr.gov/current/title-42/part-484/section-484.55</x:v>
      </x:c>
      <x:c r="P547" s="90" t="str"/>
    </x:row>
    <x:row r="548" ht="42" customHeight="1">
      <x:c r="A548" s="90" t="str">
        <x:v>SLP-01</x:v>
      </x:c>
      <x:c r="B548" s="90" t="str">
        <x:v>SLP</x:v>
      </x:c>
      <x:c r="C548" s="90" t="str">
        <x:v>CL-OA-010</x:v>
      </x:c>
      <x:c r="D548" s="90" t="str">
        <x:v>CMS Look-Back Period Compliance for Assessment Items</x:v>
      </x:c>
      <x:c r="E548" s="90" t="str">
        <x:v>Hold</x:v>
      </x:c>
      <x:c r="F548" s="90" t="str">
        <x:v>Yes</x:v>
      </x:c>
      <x:c r="G548" s="90" t="str">
        <x:v>Yes — bundled</x:v>
      </x:c>
      <x:c r="H548" s="90" t="str">
        <x:v>SLP Practice, Documentation, Field Safety &amp; Conditional OASIS</x:v>
      </x:c>
      <x:c r="I548" s="90" t="str">
        <x:v>80% role quiz; 85% OASIS assessment and coding exercise if authorized</x:v>
      </x:c>
      <x:c r="J548" s="90" t="str">
        <x:v>By day 14; before independent duty if earlier</x:v>
      </x:c>
      <x:c r="K548" s="90" t="str">
        <x:v>At hire; then on material revision</x:v>
      </x:c>
      <x:c r="L548" s="90" t="str">
        <x:v>Hold</x:v>
      </x:c>
      <x:c r="M548" s="90" t="str">
        <x:v>One integrated SLP course covers the smaller pathway while gating OASIS and specialty content by assignment.</x:v>
      </x:c>
      <x:c r="N548" s="90" t="str">
        <x:v>12-allPoliciesContent.generated.ts — CL-OA-010</x:v>
      </x:c>
      <x:c r="O548" s="90" t="str">
        <x:v>https://www.ecfr.gov/current/title-42/part-484/section-484.55</x:v>
      </x:c>
      <x:c r="P548" s="90" t="str"/>
    </x:row>
    <x:row r="549" ht="42" customHeight="1">
      <x:c r="A549" s="90" t="str">
        <x:v>SLP-01</x:v>
      </x:c>
      <x:c r="B549" s="90" t="str">
        <x:v>SLP</x:v>
      </x:c>
      <x:c r="C549" s="90" t="str">
        <x:v>CL-OA-011</x:v>
      </x:c>
      <x:c r="D549" s="90" t="str">
        <x:v>Standardized Assessment Tool Administration and Validity</x:v>
      </x:c>
      <x:c r="E549" s="90" t="str">
        <x:v>Hold</x:v>
      </x:c>
      <x:c r="F549" s="90" t="str">
        <x:v>Yes</x:v>
      </x:c>
      <x:c r="G549" s="90" t="str">
        <x:v>Yes — bundled</x:v>
      </x:c>
      <x:c r="H549" s="90" t="str">
        <x:v>SLP Practice, Documentation, Field Safety &amp; Conditional OASIS</x:v>
      </x:c>
      <x:c r="I549" s="90" t="str">
        <x:v>80% role quiz; 85% OASIS assessment and coding exercise if authorized</x:v>
      </x:c>
      <x:c r="J549" s="90" t="str">
        <x:v>By day 14; before independent duty if earlier</x:v>
      </x:c>
      <x:c r="K549" s="90" t="str">
        <x:v>At hire; then on material revision</x:v>
      </x:c>
      <x:c r="L549" s="90" t="str">
        <x:v>Hold</x:v>
      </x:c>
      <x:c r="M549" s="90" t="str">
        <x:v>One integrated SLP course covers the smaller pathway while gating OASIS and specialty content by assignment.</x:v>
      </x:c>
      <x:c r="N549" s="90" t="str">
        <x:v>12-allPoliciesContent.generated.ts — CL-OA-011</x:v>
      </x:c>
      <x:c r="O549" s="90" t="str">
        <x:v>https://www.ecfr.gov/current/title-42/part-484/section-484.55</x:v>
      </x:c>
      <x:c r="P549" s="90" t="str"/>
    </x:row>
    <x:row r="550" ht="42" customHeight="1">
      <x:c r="A550" s="90" t="str">
        <x:v>SLP-01</x:v>
      </x:c>
      <x:c r="B550" s="90" t="str">
        <x:v>SLP</x:v>
      </x:c>
      <x:c r="C550" s="90" t="str">
        <x:v>CL-OA-012</x:v>
      </x:c>
      <x:c r="D550" s="90" t="str">
        <x:v>Clinical Reasoning Documentation for Coding Decisions</x:v>
      </x:c>
      <x:c r="E550" s="90" t="str">
        <x:v>Hold</x:v>
      </x:c>
      <x:c r="F550" s="90" t="str">
        <x:v>Yes</x:v>
      </x:c>
      <x:c r="G550" s="90" t="str">
        <x:v>Yes — bundled</x:v>
      </x:c>
      <x:c r="H550" s="90" t="str">
        <x:v>SLP Practice, Documentation, Field Safety &amp; Conditional OASIS</x:v>
      </x:c>
      <x:c r="I550" s="90" t="str">
        <x:v>80% role quiz; 85% OASIS assessment and coding exercise if authorized</x:v>
      </x:c>
      <x:c r="J550" s="90" t="str">
        <x:v>By day 14; before independent duty if earlier</x:v>
      </x:c>
      <x:c r="K550" s="90" t="str">
        <x:v>At hire; then on material revision</x:v>
      </x:c>
      <x:c r="L550" s="90" t="str">
        <x:v>Hold</x:v>
      </x:c>
      <x:c r="M550" s="90" t="str">
        <x:v>One integrated SLP course covers the smaller pathway while gating OASIS and specialty content by assignment.</x:v>
      </x:c>
      <x:c r="N550" s="90" t="str">
        <x:v>12-allPoliciesContent.generated.ts — CL-OA-012</x:v>
      </x:c>
      <x:c r="O550" s="90" t="str">
        <x:v>https://www.ecfr.gov/current/title-42/part-484/section-484.55</x:v>
      </x:c>
      <x:c r="P550" s="90" t="str"/>
    </x:row>
    <x:row r="551" ht="42" customHeight="1">
      <x:c r="A551" s="90" t="str">
        <x:v>SLP-01</x:v>
      </x:c>
      <x:c r="B551" s="90" t="str">
        <x:v>SLP</x:v>
      </x:c>
      <x:c r="C551" s="90" t="str">
        <x:v>CL-OA-013</x:v>
      </x:c>
      <x:c r="D551" s="90" t="str">
        <x:v>Cross-Document Verification Prior to Assessment Finalization</x:v>
      </x:c>
      <x:c r="E551" s="90" t="str">
        <x:v>Hold</x:v>
      </x:c>
      <x:c r="F551" s="90" t="str">
        <x:v>Yes</x:v>
      </x:c>
      <x:c r="G551" s="90" t="str">
        <x:v>Yes — bundled</x:v>
      </x:c>
      <x:c r="H551" s="90" t="str">
        <x:v>SLP Practice, Documentation, Field Safety &amp; Conditional OASIS</x:v>
      </x:c>
      <x:c r="I551" s="90" t="str">
        <x:v>80% role quiz; 85% OASIS assessment and coding exercise if authorized</x:v>
      </x:c>
      <x:c r="J551" s="90" t="str">
        <x:v>By day 14; before independent duty if earlier</x:v>
      </x:c>
      <x:c r="K551" s="90" t="str">
        <x:v>At hire; then on material revision</x:v>
      </x:c>
      <x:c r="L551" s="90" t="str">
        <x:v>Hold</x:v>
      </x:c>
      <x:c r="M551" s="90" t="str">
        <x:v>One integrated SLP course covers the smaller pathway while gating OASIS and specialty content by assignment.</x:v>
      </x:c>
      <x:c r="N551" s="90" t="str">
        <x:v>12-allPoliciesContent.generated.ts — CL-OA-013</x:v>
      </x:c>
      <x:c r="O551" s="90" t="str">
        <x:v>https://www.ecfr.gov/current/title-42/part-484/section-484.55</x:v>
      </x:c>
      <x:c r="P551" s="90" t="str"/>
    </x:row>
    <x:row r="552" ht="42" customHeight="1">
      <x:c r="A552" s="90" t="str">
        <x:v>SLP-01</x:v>
      </x:c>
      <x:c r="B552" s="90" t="str">
        <x:v>SLP</x:v>
      </x:c>
      <x:c r="C552" s="90" t="str">
        <x:v>CL-OA-014</x:v>
      </x:c>
      <x:c r="D552" s="90" t="str">
        <x:v>Medication Reconciliation — Prescribed Regimen vs. Actual Patient Behavior</x:v>
      </x:c>
      <x:c r="E552" s="90" t="str">
        <x:v>Hold</x:v>
      </x:c>
      <x:c r="F552" s="90" t="str">
        <x:v>Yes</x:v>
      </x:c>
      <x:c r="G552" s="90" t="str">
        <x:v>Yes — bundled</x:v>
      </x:c>
      <x:c r="H552" s="90" t="str">
        <x:v>SLP Practice, Documentation, Field Safety &amp; Conditional OASIS</x:v>
      </x:c>
      <x:c r="I552" s="90" t="str">
        <x:v>80% role quiz; 85% OASIS assessment and coding exercise if authorized</x:v>
      </x:c>
      <x:c r="J552" s="90" t="str">
        <x:v>By day 14; before independent duty if earlier</x:v>
      </x:c>
      <x:c r="K552" s="90" t="str">
        <x:v>At hire; then on material revision</x:v>
      </x:c>
      <x:c r="L552" s="90" t="str">
        <x:v>Hold</x:v>
      </x:c>
      <x:c r="M552" s="90" t="str">
        <x:v>One integrated SLP course covers the smaller pathway while gating OASIS and specialty content by assignment.</x:v>
      </x:c>
      <x:c r="N552" s="90" t="str">
        <x:v>12-allPoliciesContent.generated.ts — CL-OA-014</x:v>
      </x:c>
      <x:c r="O552" s="90" t="str">
        <x:v>https://www.ecfr.gov/current/title-42/part-484/section-484.55</x:v>
      </x:c>
      <x:c r="P552" s="90" t="str"/>
    </x:row>
    <x:row r="553" ht="42" customHeight="1">
      <x:c r="A553" s="90" t="str">
        <x:v>SLP-01</x:v>
      </x:c>
      <x:c r="B553" s="90" t="str">
        <x:v>SLP</x:v>
      </x:c>
      <x:c r="C553" s="90" t="str">
        <x:v>CL-OA-015</x:v>
      </x:c>
      <x:c r="D553" s="90" t="str">
        <x:v>Assessment Completion Timeframe Compliance</x:v>
      </x:c>
      <x:c r="E553" s="90" t="str">
        <x:v>Hold</x:v>
      </x:c>
      <x:c r="F553" s="90" t="str">
        <x:v>Yes</x:v>
      </x:c>
      <x:c r="G553" s="90" t="str">
        <x:v>Yes — bundled</x:v>
      </x:c>
      <x:c r="H553" s="90" t="str">
        <x:v>SLP Practice, Documentation, Field Safety &amp; Conditional OASIS</x:v>
      </x:c>
      <x:c r="I553" s="90" t="str">
        <x:v>80% role quiz; 85% OASIS assessment and coding exercise if authorized</x:v>
      </x:c>
      <x:c r="J553" s="90" t="str">
        <x:v>By day 14; before independent duty if earlier</x:v>
      </x:c>
      <x:c r="K553" s="90" t="str">
        <x:v>At hire; then on material revision</x:v>
      </x:c>
      <x:c r="L553" s="90" t="str">
        <x:v>Hold</x:v>
      </x:c>
      <x:c r="M553" s="90" t="str">
        <x:v>One integrated SLP course covers the smaller pathway while gating OASIS and specialty content by assignment.</x:v>
      </x:c>
      <x:c r="N553" s="90" t="str">
        <x:v>12-allPoliciesContent.generated.ts — CL-OA-015</x:v>
      </x:c>
      <x:c r="O553" s="90" t="str">
        <x:v>https://www.ecfr.gov/current/title-42/part-484/section-484.55</x:v>
      </x:c>
      <x:c r="P553" s="90" t="str"/>
    </x:row>
    <x:row r="554" ht="42" customHeight="1">
      <x:c r="A554" s="90" t="str">
        <x:v>SLP-01</x:v>
      </x:c>
      <x:c r="B554" s="90" t="str">
        <x:v>SLP</x:v>
      </x:c>
      <x:c r="C554" s="90" t="str">
        <x:v>CL-OA-016</x:v>
      </x:c>
      <x:c r="D554" s="90" t="str">
        <x:v>Scoring Methodology Integrity for Multi-Item Assessments</x:v>
      </x:c>
      <x:c r="E554" s="90" t="str">
        <x:v>Hold</x:v>
      </x:c>
      <x:c r="F554" s="90" t="str">
        <x:v>Yes</x:v>
      </x:c>
      <x:c r="G554" s="90" t="str">
        <x:v>Yes — bundled</x:v>
      </x:c>
      <x:c r="H554" s="90" t="str">
        <x:v>SLP Practice, Documentation, Field Safety &amp; Conditional OASIS</x:v>
      </x:c>
      <x:c r="I554" s="90" t="str">
        <x:v>80% role quiz; 85% OASIS assessment and coding exercise if authorized</x:v>
      </x:c>
      <x:c r="J554" s="90" t="str">
        <x:v>By day 14; before independent duty if earlier</x:v>
      </x:c>
      <x:c r="K554" s="90" t="str">
        <x:v>At hire; then on material revision</x:v>
      </x:c>
      <x:c r="L554" s="90" t="str">
        <x:v>Hold</x:v>
      </x:c>
      <x:c r="M554" s="90" t="str">
        <x:v>One integrated SLP course covers the smaller pathway while gating OASIS and specialty content by assignment.</x:v>
      </x:c>
      <x:c r="N554" s="90" t="str">
        <x:v>12-allPoliciesContent.generated.ts — CL-OA-016</x:v>
      </x:c>
      <x:c r="O554" s="90" t="str">
        <x:v>https://www.ecfr.gov/current/title-42/part-484/section-484.55</x:v>
      </x:c>
      <x:c r="P554" s="90" t="str"/>
    </x:row>
    <x:row r="555" ht="42" customHeight="1">
      <x:c r="A555" s="90" t="str">
        <x:v>SLP-01</x:v>
      </x:c>
      <x:c r="B555" s="90" t="str">
        <x:v>SLP</x:v>
      </x:c>
      <x:c r="C555" s="90" t="str">
        <x:v>CL-OA-017</x:v>
      </x:c>
      <x:c r="D555" s="90" t="str">
        <x:v>Contemporaneous Documentation Requirement</x:v>
      </x:c>
      <x:c r="E555" s="90" t="str">
        <x:v>Hold</x:v>
      </x:c>
      <x:c r="F555" s="90" t="str">
        <x:v>Yes</x:v>
      </x:c>
      <x:c r="G555" s="90" t="str">
        <x:v>Yes — bundled</x:v>
      </x:c>
      <x:c r="H555" s="90" t="str">
        <x:v>SLP Practice, Documentation, Field Safety &amp; Conditional OASIS</x:v>
      </x:c>
      <x:c r="I555" s="90" t="str">
        <x:v>80% role quiz; 85% OASIS assessment and coding exercise if authorized</x:v>
      </x:c>
      <x:c r="J555" s="90" t="str">
        <x:v>By day 14; before independent duty if earlier</x:v>
      </x:c>
      <x:c r="K555" s="90" t="str">
        <x:v>At hire; then on material revision</x:v>
      </x:c>
      <x:c r="L555" s="90" t="str">
        <x:v>Hold</x:v>
      </x:c>
      <x:c r="M555" s="90" t="str">
        <x:v>One integrated SLP course covers the smaller pathway while gating OASIS and specialty content by assignment.</x:v>
      </x:c>
      <x:c r="N555" s="90" t="str">
        <x:v>12-allPoliciesContent.generated.ts — CL-OA-017</x:v>
      </x:c>
      <x:c r="O555" s="90" t="str">
        <x:v>https://www.ecfr.gov/current/title-42/part-484/section-484.55</x:v>
      </x:c>
      <x:c r="P555" s="90" t="str"/>
    </x:row>
    <x:row r="556" ht="42" customHeight="1">
      <x:c r="A556" s="90" t="str">
        <x:v>SLP-01</x:v>
      </x:c>
      <x:c r="B556" s="90" t="str">
        <x:v>SLP</x:v>
      </x:c>
      <x:c r="C556" s="90" t="str">
        <x:v>CL-OA-018</x:v>
      </x:c>
      <x:c r="D556" s="90" t="str">
        <x:v>Clinician Competency Validation for OASIS Assessment</x:v>
      </x:c>
      <x:c r="E556" s="90" t="str">
        <x:v>Hold</x:v>
      </x:c>
      <x:c r="F556" s="90" t="str">
        <x:v>Yes</x:v>
      </x:c>
      <x:c r="G556" s="90" t="str">
        <x:v>Yes — bundled</x:v>
      </x:c>
      <x:c r="H556" s="90" t="str">
        <x:v>SLP Practice, Documentation, Field Safety &amp; Conditional OASIS</x:v>
      </x:c>
      <x:c r="I556" s="90" t="str">
        <x:v>80% role quiz; 85% OASIS assessment and coding exercise if authorized</x:v>
      </x:c>
      <x:c r="J556" s="90" t="str">
        <x:v>By day 14; before independent duty if earlier</x:v>
      </x:c>
      <x:c r="K556" s="90" t="str">
        <x:v>At hire; then on material revision</x:v>
      </x:c>
      <x:c r="L556" s="90" t="str">
        <x:v>Hold</x:v>
      </x:c>
      <x:c r="M556" s="90" t="str">
        <x:v>One integrated SLP course covers the smaller pathway while gating OASIS and specialty content by assignment.</x:v>
      </x:c>
      <x:c r="N556" s="90" t="str">
        <x:v>12-allPoliciesContent.generated.ts — CL-OA-018</x:v>
      </x:c>
      <x:c r="O556" s="90" t="str">
        <x:v>https://www.ecfr.gov/current/title-42/part-484/section-484.55</x:v>
      </x:c>
      <x:c r="P556" s="90" t="str"/>
    </x:row>
    <x:row r="557" ht="42" customHeight="1">
      <x:c r="A557" s="90" t="str">
        <x:v>SLP-01</x:v>
      </x:c>
      <x:c r="B557" s="90" t="str">
        <x:v>SLP</x:v>
      </x:c>
      <x:c r="C557" s="90" t="str">
        <x:v>CL-OA-019</x:v>
      </x:c>
      <x:c r="D557" s="90" t="str">
        <x:v>Pre-Submission Quality Review for Comprehensive Assessments</x:v>
      </x:c>
      <x:c r="E557" s="90" t="str">
        <x:v>Hold</x:v>
      </x:c>
      <x:c r="F557" s="90" t="str">
        <x:v>Yes</x:v>
      </x:c>
      <x:c r="G557" s="90" t="str">
        <x:v>Yes — bundled</x:v>
      </x:c>
      <x:c r="H557" s="90" t="str">
        <x:v>SLP Practice, Documentation, Field Safety &amp; Conditional OASIS</x:v>
      </x:c>
      <x:c r="I557" s="90" t="str">
        <x:v>80% role quiz; 85% OASIS assessment and coding exercise if authorized</x:v>
      </x:c>
      <x:c r="J557" s="90" t="str">
        <x:v>By day 14; before independent duty if earlier</x:v>
      </x:c>
      <x:c r="K557" s="90" t="str">
        <x:v>At hire; then on material revision</x:v>
      </x:c>
      <x:c r="L557" s="90" t="str">
        <x:v>Hold</x:v>
      </x:c>
      <x:c r="M557" s="90" t="str">
        <x:v>One integrated SLP course covers the smaller pathway while gating OASIS and specialty content by assignment.</x:v>
      </x:c>
      <x:c r="N557" s="90" t="str">
        <x:v>12-allPoliciesContent.generated.ts — CL-OA-019</x:v>
      </x:c>
      <x:c r="O557" s="90" t="str">
        <x:v>https://www.ecfr.gov/current/title-42/part-484/section-484.55</x:v>
      </x:c>
      <x:c r="P557" s="90" t="str"/>
    </x:row>
    <x:row r="558" ht="42" customHeight="1">
      <x:c r="A558" s="90" t="str">
        <x:v>SLP-01</x:v>
      </x:c>
      <x:c r="B558" s="90" t="str">
        <x:v>SLP</x:v>
      </x:c>
      <x:c r="C558" s="90" t="str">
        <x:v>CL-OA-101</x:v>
      </x:c>
      <x:c r="D558" s="90" t="str">
        <x:v>OASIS Data Accuracy, Validation &amp; Submission Integrity</x:v>
      </x:c>
      <x:c r="E558" s="90" t="str">
        <x:v>Hold</x:v>
      </x:c>
      <x:c r="F558" s="90" t="str">
        <x:v>Yes</x:v>
      </x:c>
      <x:c r="G558" s="90" t="str">
        <x:v>Yes — bundled</x:v>
      </x:c>
      <x:c r="H558" s="90" t="str">
        <x:v>SLP Practice, Documentation, Field Safety &amp; Conditional OASIS</x:v>
      </x:c>
      <x:c r="I558" s="90" t="str">
        <x:v>80% role quiz; 85% OASIS assessment and coding exercise if authorized</x:v>
      </x:c>
      <x:c r="J558" s="90" t="str">
        <x:v>By day 14; before independent duty if earlier</x:v>
      </x:c>
      <x:c r="K558" s="90" t="str">
        <x:v>At hire; then on material revision</x:v>
      </x:c>
      <x:c r="L558" s="90" t="str">
        <x:v>Hold</x:v>
      </x:c>
      <x:c r="M558" s="90" t="str">
        <x:v>One integrated SLP course covers the smaller pathway while gating OASIS and specialty content by assignment.</x:v>
      </x:c>
      <x:c r="N558" s="90" t="str">
        <x:v>12-allPoliciesContent.generated.ts — CL-OA-101</x:v>
      </x:c>
      <x:c r="O558" s="90" t="str">
        <x:v>https://www.ecfr.gov/current/title-42/part-484/section-484.55</x:v>
      </x:c>
      <x:c r="P558" s="90" t="str"/>
    </x:row>
    <x:row r="559" ht="42" customHeight="1">
      <x:c r="A559" s="90" t="str">
        <x:v>SLP-01</x:v>
      </x:c>
      <x:c r="B559" s="90" t="str">
        <x:v>SLP</x:v>
      </x:c>
      <x:c r="C559" s="90" t="str">
        <x:v>CL-SD-009</x:v>
      </x:c>
      <x:c r="D559" s="90" t="str">
        <x:v>Telehealth &amp; Remote Monitoring Services</x:v>
      </x:c>
      <x:c r="E559" s="90" t="str">
        <x:v>Conditional</x:v>
      </x:c>
      <x:c r="F559" s="90" t="str">
        <x:v>Yes</x:v>
      </x:c>
      <x:c r="G559" s="90" t="str">
        <x:v>Yes — bundled</x:v>
      </x:c>
      <x:c r="H559" s="90" t="str">
        <x:v>SLP Practice, Documentation, Field Safety &amp; Conditional OASIS</x:v>
      </x:c>
      <x:c r="I559" s="90" t="str">
        <x:v>80% role quiz; 85% OASIS assessment and coding exercise if authorized</x:v>
      </x:c>
      <x:c r="J559" s="90" t="str">
        <x:v>By day 14; before independent duty if earlier</x:v>
      </x:c>
      <x:c r="K559" s="90" t="str">
        <x:v>At hire; then on material revision</x:v>
      </x:c>
      <x:c r="L559" s="90" t="str">
        <x:v>Partial hold</x:v>
      </x:c>
      <x:c r="M559" s="90" t="str">
        <x:v>One integrated SLP course covers the smaller pathway while gating OASIS and specialty content by assignment.</x:v>
      </x:c>
      <x:c r="N559" s="90" t="str">
        <x:v>12-allPoliciesContent.generated.ts — CL-SD-009</x:v>
      </x:c>
      <x:c r="O559" s="90" t="str">
        <x:v>https://www.ecfr.gov/current/title-42/part-484/section-484.75</x:v>
      </x:c>
      <x:c r="P559" s="90" t="str"/>
    </x:row>
    <x:row r="560" ht="42" customHeight="1">
      <x:c r="A560" s="90" t="str">
        <x:v>SLP-01</x:v>
      </x:c>
      <x:c r="B560" s="90" t="str">
        <x:v>SLP</x:v>
      </x:c>
      <x:c r="C560" s="90" t="str">
        <x:v>CL-SD-011</x:v>
      </x:c>
      <x:c r="D560" s="90" t="str">
        <x:v>Wound Care Assessment &amp; Management</x:v>
      </x:c>
      <x:c r="E560" s="90" t="str">
        <x:v>Conditional</x:v>
      </x:c>
      <x:c r="F560" s="90" t="str">
        <x:v>Yes</x:v>
      </x:c>
      <x:c r="G560" s="90" t="str">
        <x:v>Yes — bundled</x:v>
      </x:c>
      <x:c r="H560" s="90" t="str">
        <x:v>SLP Practice, Documentation, Field Safety &amp; Conditional OASIS</x:v>
      </x:c>
      <x:c r="I560" s="90" t="str">
        <x:v>80% role quiz; 85% OASIS assessment and coding exercise if authorized</x:v>
      </x:c>
      <x:c r="J560" s="90" t="str">
        <x:v>By day 14; before independent duty if earlier</x:v>
      </x:c>
      <x:c r="K560" s="90" t="str">
        <x:v>At hire; then on material revision</x:v>
      </x:c>
      <x:c r="L560" s="90" t="str">
        <x:v>Partial hold</x:v>
      </x:c>
      <x:c r="M560" s="90" t="str">
        <x:v>One integrated SLP course covers the smaller pathway while gating OASIS and specialty content by assignment.</x:v>
      </x:c>
      <x:c r="N560" s="90" t="str">
        <x:v>12-allPoliciesContent.generated.ts — CL-SD-011</x:v>
      </x:c>
      <x:c r="O560" s="90" t="str">
        <x:v>https://www.ecfr.gov/current/title-42/part-484/section-484.75</x:v>
      </x:c>
      <x:c r="P560" s="90" t="str"/>
    </x:row>
    <x:row r="561" ht="42" customHeight="1">
      <x:c r="A561" s="90" t="str">
        <x:v>SLP-01</x:v>
      </x:c>
      <x:c r="B561" s="90" t="str">
        <x:v>SLP</x:v>
      </x:c>
      <x:c r="C561" s="90" t="str">
        <x:v>CL-SD-014</x:v>
      </x:c>
      <x:c r="D561" s="90" t="str">
        <x:v>Pain Assessment &amp; Management</x:v>
      </x:c>
      <x:c r="E561" s="90" t="str">
        <x:v>Conditional</x:v>
      </x:c>
      <x:c r="F561" s="90" t="str">
        <x:v>Yes</x:v>
      </x:c>
      <x:c r="G561" s="90" t="str">
        <x:v>Yes — bundled</x:v>
      </x:c>
      <x:c r="H561" s="90" t="str">
        <x:v>SLP Practice, Documentation, Field Safety &amp; Conditional OASIS</x:v>
      </x:c>
      <x:c r="I561" s="90" t="str">
        <x:v>80% role quiz; 85% OASIS assessment and coding exercise if authorized</x:v>
      </x:c>
      <x:c r="J561" s="90" t="str">
        <x:v>By day 14; before independent duty if earlier</x:v>
      </x:c>
      <x:c r="K561" s="90" t="str">
        <x:v>At hire; then on material revision</x:v>
      </x:c>
      <x:c r="L561" s="90" t="str">
        <x:v>Partial hold</x:v>
      </x:c>
      <x:c r="M561" s="90" t="str">
        <x:v>One integrated SLP course covers the smaller pathway while gating OASIS and specialty content by assignment.</x:v>
      </x:c>
      <x:c r="N561" s="90" t="str">
        <x:v>12-allPoliciesContent.generated.ts — CL-SD-014</x:v>
      </x:c>
      <x:c r="O561" s="90" t="str">
        <x:v>https://www.ecfr.gov/current/title-42/part-484/section-484.75</x:v>
      </x:c>
      <x:c r="P561" s="90" t="str"/>
    </x:row>
    <x:row r="562" ht="42" customHeight="1">
      <x:c r="A562" s="90" t="str">
        <x:v>SLP-01</x:v>
      </x:c>
      <x:c r="B562" s="90" t="str">
        <x:v>SLP</x:v>
      </x:c>
      <x:c r="C562" s="90" t="str">
        <x:v>CL-SD-015</x:v>
      </x:c>
      <x:c r="D562" s="90" t="str">
        <x:v>Fall Risk Assessment &amp; Prevention</x:v>
      </x:c>
      <x:c r="E562" s="90" t="str">
        <x:v>Conditional</x:v>
      </x:c>
      <x:c r="F562" s="90" t="str">
        <x:v>Yes</x:v>
      </x:c>
      <x:c r="G562" s="90" t="str">
        <x:v>Yes — bundled</x:v>
      </x:c>
      <x:c r="H562" s="90" t="str">
        <x:v>SLP Practice, Documentation, Field Safety &amp; Conditional OASIS</x:v>
      </x:c>
      <x:c r="I562" s="90" t="str">
        <x:v>80% role quiz; 85% OASIS assessment and coding exercise if authorized</x:v>
      </x:c>
      <x:c r="J562" s="90" t="str">
        <x:v>By day 14; before independent duty if earlier</x:v>
      </x:c>
      <x:c r="K562" s="90" t="str">
        <x:v>At hire; then on material revision</x:v>
      </x:c>
      <x:c r="L562" s="90" t="str">
        <x:v>Partial hold</x:v>
      </x:c>
      <x:c r="M562" s="90" t="str">
        <x:v>One integrated SLP course covers the smaller pathway while gating OASIS and specialty content by assignment.</x:v>
      </x:c>
      <x:c r="N562" s="90" t="str">
        <x:v>12-allPoliciesContent.generated.ts — CL-SD-015</x:v>
      </x:c>
      <x:c r="O562" s="90" t="str">
        <x:v>https://www.ecfr.gov/current/title-42/part-484/section-484.75</x:v>
      </x:c>
      <x:c r="P562" s="90" t="str"/>
    </x:row>
    <x:row r="563" ht="42" customHeight="1">
      <x:c r="A563" s="90" t="str">
        <x:v>SLP-01</x:v>
      </x:c>
      <x:c r="B563" s="90" t="str">
        <x:v>SLP</x:v>
      </x:c>
      <x:c r="C563" s="90" t="str">
        <x:v>CL-SD-016</x:v>
      </x:c>
      <x:c r="D563" s="90" t="str">
        <x:v>Infection Prevention &amp; Control</x:v>
      </x:c>
      <x:c r="E563" s="90" t="str">
        <x:v>Conditional</x:v>
      </x:c>
      <x:c r="F563" s="90" t="str">
        <x:v>Yes</x:v>
      </x:c>
      <x:c r="G563" s="90" t="str">
        <x:v>Yes — bundled</x:v>
      </x:c>
      <x:c r="H563" s="90" t="str">
        <x:v>SLP Practice, Documentation, Field Safety &amp; Conditional OASIS</x:v>
      </x:c>
      <x:c r="I563" s="90" t="str">
        <x:v>80% role quiz; 85% OASIS assessment and coding exercise if authorized</x:v>
      </x:c>
      <x:c r="J563" s="90" t="str">
        <x:v>By day 14; before independent duty if earlier</x:v>
      </x:c>
      <x:c r="K563" s="90" t="str">
        <x:v>At hire; then on material revision</x:v>
      </x:c>
      <x:c r="L563" s="90" t="str">
        <x:v>Partial hold</x:v>
      </x:c>
      <x:c r="M563" s="90" t="str">
        <x:v>One integrated SLP course covers the smaller pathway while gating OASIS and specialty content by assignment.</x:v>
      </x:c>
      <x:c r="N563" s="90" t="str">
        <x:v>12-allPoliciesContent.generated.ts — CL-SD-016</x:v>
      </x:c>
      <x:c r="O563" s="90" t="str">
        <x:v>https://www.ecfr.gov/current/title-42/part-484/section-484.75</x:v>
      </x:c>
      <x:c r="P563" s="90" t="str"/>
    </x:row>
    <x:row r="564" ht="42" customHeight="1">
      <x:c r="A564" s="90" t="str">
        <x:v>SLP-01</x:v>
      </x:c>
      <x:c r="B564" s="90" t="str">
        <x:v>SLP</x:v>
      </x:c>
      <x:c r="C564" s="90" t="str">
        <x:v>CL-SD-017</x:v>
      </x:c>
      <x:c r="D564" s="90" t="str">
        <x:v>Patient Education &amp; Self-Management</x:v>
      </x:c>
      <x:c r="E564" s="90" t="str">
        <x:v>Conditional</x:v>
      </x:c>
      <x:c r="F564" s="90" t="str">
        <x:v>Yes</x:v>
      </x:c>
      <x:c r="G564" s="90" t="str">
        <x:v>Yes — bundled</x:v>
      </x:c>
      <x:c r="H564" s="90" t="str">
        <x:v>SLP Practice, Documentation, Field Safety &amp; Conditional OASIS</x:v>
      </x:c>
      <x:c r="I564" s="90" t="str">
        <x:v>80% role quiz; 85% OASIS assessment and coding exercise if authorized</x:v>
      </x:c>
      <x:c r="J564" s="90" t="str">
        <x:v>By day 14; before independent duty if earlier</x:v>
      </x:c>
      <x:c r="K564" s="90" t="str">
        <x:v>At hire; then on material revision</x:v>
      </x:c>
      <x:c r="L564" s="90" t="str">
        <x:v>Partial hold</x:v>
      </x:c>
      <x:c r="M564" s="90" t="str">
        <x:v>One integrated SLP course covers the smaller pathway while gating OASIS and specialty content by assignment.</x:v>
      </x:c>
      <x:c r="N564" s="90" t="str">
        <x:v>12-allPoliciesContent.generated.ts — CL-SD-017</x:v>
      </x:c>
      <x:c r="O564" s="90" t="str">
        <x:v>https://www.ecfr.gov/current/title-42/part-484/section-484.75</x:v>
      </x:c>
      <x:c r="P564" s="90" t="str"/>
    </x:row>
    <x:row r="565" ht="42" customHeight="1">
      <x:c r="A565" s="90" t="str">
        <x:v>SLP-01</x:v>
      </x:c>
      <x:c r="B565" s="90" t="str">
        <x:v>SLP</x:v>
      </x:c>
      <x:c r="C565" s="90" t="str">
        <x:v>CL-SD-018</x:v>
      </x:c>
      <x:c r="D565" s="90" t="str">
        <x:v>Diabetic Management &amp; Monitoring</x:v>
      </x:c>
      <x:c r="E565" s="90" t="str">
        <x:v>Conditional</x:v>
      </x:c>
      <x:c r="F565" s="90" t="str">
        <x:v>Yes</x:v>
      </x:c>
      <x:c r="G565" s="90" t="str">
        <x:v>Yes — bundled</x:v>
      </x:c>
      <x:c r="H565" s="90" t="str">
        <x:v>SLP Practice, Documentation, Field Safety &amp; Conditional OASIS</x:v>
      </x:c>
      <x:c r="I565" s="90" t="str">
        <x:v>80% role quiz; 85% OASIS assessment and coding exercise if authorized</x:v>
      </x:c>
      <x:c r="J565" s="90" t="str">
        <x:v>By day 14; before independent duty if earlier</x:v>
      </x:c>
      <x:c r="K565" s="90" t="str">
        <x:v>At hire; then on material revision</x:v>
      </x:c>
      <x:c r="L565" s="90" t="str">
        <x:v>Partial hold</x:v>
      </x:c>
      <x:c r="M565" s="90" t="str">
        <x:v>One integrated SLP course covers the smaller pathway while gating OASIS and specialty content by assignment.</x:v>
      </x:c>
      <x:c r="N565" s="90" t="str">
        <x:v>12-allPoliciesContent.generated.ts — CL-SD-018</x:v>
      </x:c>
      <x:c r="O565" s="90" t="str">
        <x:v>https://www.ecfr.gov/current/title-42/part-484/section-484.75</x:v>
      </x:c>
      <x:c r="P565" s="90" t="str"/>
    </x:row>
    <x:row r="566" ht="42" customHeight="1">
      <x:c r="A566" s="90" t="str">
        <x:v>SLP-01</x:v>
      </x:c>
      <x:c r="B566" s="90" t="str">
        <x:v>SLP</x:v>
      </x:c>
      <x:c r="C566" s="90" t="str">
        <x:v>CL-SD-019</x:v>
      </x:c>
      <x:c r="D566" s="90" t="str">
        <x:v>Cardiac Care &amp; Monitoring</x:v>
      </x:c>
      <x:c r="E566" s="90" t="str">
        <x:v>Conditional</x:v>
      </x:c>
      <x:c r="F566" s="90" t="str">
        <x:v>Yes</x:v>
      </x:c>
      <x:c r="G566" s="90" t="str">
        <x:v>Yes — bundled</x:v>
      </x:c>
      <x:c r="H566" s="90" t="str">
        <x:v>SLP Practice, Documentation, Field Safety &amp; Conditional OASIS</x:v>
      </x:c>
      <x:c r="I566" s="90" t="str">
        <x:v>80% role quiz; 85% OASIS assessment and coding exercise if authorized</x:v>
      </x:c>
      <x:c r="J566" s="90" t="str">
        <x:v>By day 14; before independent duty if earlier</x:v>
      </x:c>
      <x:c r="K566" s="90" t="str">
        <x:v>At hire; then on material revision</x:v>
      </x:c>
      <x:c r="L566" s="90" t="str">
        <x:v>Partial hold</x:v>
      </x:c>
      <x:c r="M566" s="90" t="str">
        <x:v>One integrated SLP course covers the smaller pathway while gating OASIS and specialty content by assignment.</x:v>
      </x:c>
      <x:c r="N566" s="90" t="str">
        <x:v>12-allPoliciesContent.generated.ts — CL-SD-019</x:v>
      </x:c>
      <x:c r="O566" s="90" t="str">
        <x:v>https://www.ecfr.gov/current/title-42/part-484/section-484.75</x:v>
      </x:c>
      <x:c r="P566" s="90" t="str"/>
    </x:row>
    <x:row r="567" ht="42" customHeight="1">
      <x:c r="A567" s="90" t="str">
        <x:v>SLP-01</x:v>
      </x:c>
      <x:c r="B567" s="90" t="str">
        <x:v>SLP</x:v>
      </x:c>
      <x:c r="C567" s="90" t="str">
        <x:v>CL-SD-020</x:v>
      </x:c>
      <x:c r="D567" s="90" t="str">
        <x:v>Respiratory Care &amp; Management</x:v>
      </x:c>
      <x:c r="E567" s="90" t="str">
        <x:v>Conditional</x:v>
      </x:c>
      <x:c r="F567" s="90" t="str">
        <x:v>Yes</x:v>
      </x:c>
      <x:c r="G567" s="90" t="str">
        <x:v>Yes — bundled</x:v>
      </x:c>
      <x:c r="H567" s="90" t="str">
        <x:v>SLP Practice, Documentation, Field Safety &amp; Conditional OASIS</x:v>
      </x:c>
      <x:c r="I567" s="90" t="str">
        <x:v>80% role quiz; 85% OASIS assessment and coding exercise if authorized</x:v>
      </x:c>
      <x:c r="J567" s="90" t="str">
        <x:v>By day 14; before independent duty if earlier</x:v>
      </x:c>
      <x:c r="K567" s="90" t="str">
        <x:v>At hire; then on material revision</x:v>
      </x:c>
      <x:c r="L567" s="90" t="str">
        <x:v>Partial hold</x:v>
      </x:c>
      <x:c r="M567" s="90" t="str">
        <x:v>One integrated SLP course covers the smaller pathway while gating OASIS and specialty content by assignment.</x:v>
      </x:c>
      <x:c r="N567" s="90" t="str">
        <x:v>12-allPoliciesContent.generated.ts — CL-SD-020</x:v>
      </x:c>
      <x:c r="O567" s="90" t="str">
        <x:v>https://www.ecfr.gov/current/title-42/part-484/section-484.75</x:v>
      </x:c>
      <x:c r="P567" s="90" t="str"/>
    </x:row>
    <x:row r="568" ht="42" customHeight="1">
      <x:c r="A568" s="90" t="str">
        <x:v>SLP-01</x:v>
      </x:c>
      <x:c r="B568" s="90" t="str">
        <x:v>SLP</x:v>
      </x:c>
      <x:c r="C568" s="90" t="str">
        <x:v>CL-SD-021</x:v>
      </x:c>
      <x:c r="D568" s="90" t="str">
        <x:v>Pediatric Home Health Services</x:v>
      </x:c>
      <x:c r="E568" s="90" t="str">
        <x:v>Conditional</x:v>
      </x:c>
      <x:c r="F568" s="90" t="str">
        <x:v>Yes</x:v>
      </x:c>
      <x:c r="G568" s="90" t="str">
        <x:v>Yes — bundled</x:v>
      </x:c>
      <x:c r="H568" s="90" t="str">
        <x:v>SLP Practice, Documentation, Field Safety &amp; Conditional OASIS</x:v>
      </x:c>
      <x:c r="I568" s="90" t="str">
        <x:v>80% role quiz; 85% OASIS assessment and coding exercise if authorized</x:v>
      </x:c>
      <x:c r="J568" s="90" t="str">
        <x:v>By day 14; before independent duty if earlier</x:v>
      </x:c>
      <x:c r="K568" s="90" t="str">
        <x:v>At hire; then on material revision</x:v>
      </x:c>
      <x:c r="L568" s="90" t="str">
        <x:v>Partial hold</x:v>
      </x:c>
      <x:c r="M568" s="90" t="str">
        <x:v>One integrated SLP course covers the smaller pathway while gating OASIS and specialty content by assignment.</x:v>
      </x:c>
      <x:c r="N568" s="90" t="str">
        <x:v>12-allPoliciesContent.generated.ts — CL-SD-021</x:v>
      </x:c>
      <x:c r="O568" s="90" t="str">
        <x:v>https://www.ecfr.gov/current/title-42/part-484/section-484.75</x:v>
      </x:c>
      <x:c r="P568" s="90" t="str"/>
    </x:row>
    <x:row r="569" ht="42" customHeight="1">
      <x:c r="A569" s="90" t="str">
        <x:v>SLP-01</x:v>
      </x:c>
      <x:c r="B569" s="90" t="str">
        <x:v>SLP</x:v>
      </x:c>
      <x:c r="C569" s="90" t="str">
        <x:v>CL-SD-022</x:v>
      </x:c>
      <x:c r="D569" s="90" t="str">
        <x:v>Behavioral Health Screening &amp; Referral</x:v>
      </x:c>
      <x:c r="E569" s="90" t="str">
        <x:v>Conditional</x:v>
      </x:c>
      <x:c r="F569" s="90" t="str">
        <x:v>Yes</x:v>
      </x:c>
      <x:c r="G569" s="90" t="str">
        <x:v>Yes — bundled</x:v>
      </x:c>
      <x:c r="H569" s="90" t="str">
        <x:v>SLP Practice, Documentation, Field Safety &amp; Conditional OASIS</x:v>
      </x:c>
      <x:c r="I569" s="90" t="str">
        <x:v>80% role quiz; 85% OASIS assessment and coding exercise if authorized</x:v>
      </x:c>
      <x:c r="J569" s="90" t="str">
        <x:v>By day 14; before independent duty if earlier</x:v>
      </x:c>
      <x:c r="K569" s="90" t="str">
        <x:v>At hire; then on material revision</x:v>
      </x:c>
      <x:c r="L569" s="90" t="str">
        <x:v>Partial hold</x:v>
      </x:c>
      <x:c r="M569" s="90" t="str">
        <x:v>One integrated SLP course covers the smaller pathway while gating OASIS and specialty content by assignment.</x:v>
      </x:c>
      <x:c r="N569" s="90" t="str">
        <x:v>12-allPoliciesContent.generated.ts — CL-SD-022</x:v>
      </x:c>
      <x:c r="O569" s="90" t="str">
        <x:v>https://www.ecfr.gov/current/title-42/part-484/section-484.75</x:v>
      </x:c>
      <x:c r="P569" s="90" t="str"/>
    </x:row>
    <x:row r="570" ht="42" customHeight="1">
      <x:c r="A570" s="90" t="str">
        <x:v>SLP-01</x:v>
      </x:c>
      <x:c r="B570" s="90" t="str">
        <x:v>SLP</x:v>
      </x:c>
      <x:c r="C570" s="90" t="str">
        <x:v>CL-SD-023</x:v>
      </x:c>
      <x:c r="D570" s="90" t="str">
        <x:v>Palliative &amp; End-of-Life Care</x:v>
      </x:c>
      <x:c r="E570" s="90" t="str">
        <x:v>Conditional</x:v>
      </x:c>
      <x:c r="F570" s="90" t="str">
        <x:v>Yes</x:v>
      </x:c>
      <x:c r="G570" s="90" t="str">
        <x:v>Yes — bundled</x:v>
      </x:c>
      <x:c r="H570" s="90" t="str">
        <x:v>SLP Practice, Documentation, Field Safety &amp; Conditional OASIS</x:v>
      </x:c>
      <x:c r="I570" s="90" t="str">
        <x:v>80% role quiz; 85% OASIS assessment and coding exercise if authorized</x:v>
      </x:c>
      <x:c r="J570" s="90" t="str">
        <x:v>By day 14; before independent duty if earlier</x:v>
      </x:c>
      <x:c r="K570" s="90" t="str">
        <x:v>At hire; then on material revision</x:v>
      </x:c>
      <x:c r="L570" s="90" t="str">
        <x:v>Partial hold</x:v>
      </x:c>
      <x:c r="M570" s="90" t="str">
        <x:v>One integrated SLP course covers the smaller pathway while gating OASIS and specialty content by assignment.</x:v>
      </x:c>
      <x:c r="N570" s="90" t="str">
        <x:v>12-allPoliciesContent.generated.ts — CL-SD-023</x:v>
      </x:c>
      <x:c r="O570" s="90" t="str">
        <x:v>https://www.ecfr.gov/current/title-42/part-484/section-484.75</x:v>
      </x:c>
      <x:c r="P570" s="90" t="str"/>
    </x:row>
    <x:row r="571" ht="42" customHeight="1">
      <x:c r="A571" s="90" t="str">
        <x:v>SLP-01</x:v>
      </x:c>
      <x:c r="B571" s="90" t="str">
        <x:v>SLP</x:v>
      </x:c>
      <x:c r="C571" s="90" t="str">
        <x:v>CL-SD-024</x:v>
      </x:c>
      <x:c r="D571" s="90" t="str">
        <x:v>Missed Visit &amp; Rescheduling</x:v>
      </x:c>
      <x:c r="E571" s="90" t="str">
        <x:v>Conditional</x:v>
      </x:c>
      <x:c r="F571" s="90" t="str">
        <x:v>Yes</x:v>
      </x:c>
      <x:c r="G571" s="90" t="str">
        <x:v>Yes — bundled</x:v>
      </x:c>
      <x:c r="H571" s="90" t="str">
        <x:v>SLP Practice, Documentation, Field Safety &amp; Conditional OASIS</x:v>
      </x:c>
      <x:c r="I571" s="90" t="str">
        <x:v>80% role quiz; 85% OASIS assessment and coding exercise if authorized</x:v>
      </x:c>
      <x:c r="J571" s="90" t="str">
        <x:v>By day 14; before independent duty if earlier</x:v>
      </x:c>
      <x:c r="K571" s="90" t="str">
        <x:v>At hire; then on material revision</x:v>
      </x:c>
      <x:c r="L571" s="90" t="str">
        <x:v>Partial hold</x:v>
      </x:c>
      <x:c r="M571" s="90" t="str">
        <x:v>One integrated SLP course covers the smaller pathway while gating OASIS and specialty content by assignment.</x:v>
      </x:c>
      <x:c r="N571" s="90" t="str">
        <x:v>12-allPoliciesContent.generated.ts — CL-SD-024</x:v>
      </x:c>
      <x:c r="O571" s="90" t="str">
        <x:v>https://www.ecfr.gov/current/title-42/part-484/section-484.75</x:v>
      </x:c>
      <x:c r="P571" s="90" t="str"/>
    </x:row>
    <x:row r="572" ht="42" customHeight="1">
      <x:c r="A572" s="90" t="str">
        <x:v>SLP-01</x:v>
      </x:c>
      <x:c r="B572" s="90" t="str">
        <x:v>SLP</x:v>
      </x:c>
      <x:c r="C572" s="90" t="str">
        <x:v>CL-SD-025</x:v>
      </x:c>
      <x:c r="D572" s="90" t="str">
        <x:v>Ordered Visit Frequency Compliance &amp; Monitoring</x:v>
      </x:c>
      <x:c r="E572" s="90" t="str">
        <x:v>Conditional</x:v>
      </x:c>
      <x:c r="F572" s="90" t="str">
        <x:v>Yes</x:v>
      </x:c>
      <x:c r="G572" s="90" t="str">
        <x:v>Yes — bundled</x:v>
      </x:c>
      <x:c r="H572" s="90" t="str">
        <x:v>SLP Practice, Documentation, Field Safety &amp; Conditional OASIS</x:v>
      </x:c>
      <x:c r="I572" s="90" t="str">
        <x:v>80% role quiz; 85% OASIS assessment and coding exercise if authorized</x:v>
      </x:c>
      <x:c r="J572" s="90" t="str">
        <x:v>By day 14; before independent duty if earlier</x:v>
      </x:c>
      <x:c r="K572" s="90" t="str">
        <x:v>At hire; then on material revision</x:v>
      </x:c>
      <x:c r="L572" s="90" t="str">
        <x:v>Partial hold</x:v>
      </x:c>
      <x:c r="M572" s="90" t="str">
        <x:v>One integrated SLP course covers the smaller pathway while gating OASIS and specialty content by assignment.</x:v>
      </x:c>
      <x:c r="N572" s="90" t="str">
        <x:v>12-allPoliciesContent.generated.ts — CL-SD-025</x:v>
      </x:c>
      <x:c r="O572" s="90" t="str">
        <x:v>https://www.ecfr.gov/current/title-42/part-484/section-484.75</x:v>
      </x:c>
      <x:c r="P572" s="90" t="str"/>
    </x:row>
    <x:row r="573" ht="42" customHeight="1">
      <x:c r="A573" s="90" t="str">
        <x:v>SLP-01</x:v>
      </x:c>
      <x:c r="B573" s="90" t="str">
        <x:v>SLP</x:v>
      </x:c>
      <x:c r="C573" s="90" t="str">
        <x:v>RM-PS-005</x:v>
      </x:c>
      <x:c r="D573" s="90" t="str">
        <x:v>High-Risk Medication Safety</x:v>
      </x:c>
      <x:c r="E573" s="90" t="str">
        <x:v>Conditional</x:v>
      </x:c>
      <x:c r="F573" s="90" t="str">
        <x:v>Yes</x:v>
      </x:c>
      <x:c r="G573" s="90" t="str">
        <x:v>Yes — bundled</x:v>
      </x:c>
      <x:c r="H573" s="90" t="str">
        <x:v>SLP Practice, Documentation, Field Safety &amp; Conditional OASIS</x:v>
      </x:c>
      <x:c r="I573" s="90" t="str">
        <x:v>80% role quiz; 85% OASIS assessment and coding exercise if authorized</x:v>
      </x:c>
      <x:c r="J573" s="90" t="str">
        <x:v>By day 14; before independent duty if earlier</x:v>
      </x:c>
      <x:c r="K573" s="90" t="str">
        <x:v>At hire; then on material revision</x:v>
      </x:c>
      <x:c r="L573" s="90" t="str">
        <x:v>Partial hold</x:v>
      </x:c>
      <x:c r="M573" s="90" t="str">
        <x:v>One integrated SLP course covers the smaller pathway while gating OASIS and specialty content by assignment.</x:v>
      </x:c>
      <x:c r="N573" s="90" t="str">
        <x:v>12-allPoliciesContent.generated.ts — RM-PS-005</x:v>
      </x:c>
      <x:c r="O573" s="90" t="str"/>
      <x:c r="P573" s="90" t="str"/>
    </x:row>
    <x:row r="574" ht="42" customHeight="1">
      <x:c r="A574" s="90" t="str">
        <x:v>MSW-01</x:v>
      </x:c>
      <x:c r="B574" s="90" t="str">
        <x:v>MSW</x:v>
      </x:c>
      <x:c r="C574" s="90" t="str">
        <x:v>HR-JD-011</x:v>
      </x:c>
      <x:c r="D574" s="90" t="str">
        <x:v>Medical Social Worker — Job Description</x:v>
      </x:c>
      <x:c r="E574" s="90" t="str">
        <x:v>Core</x:v>
      </x:c>
      <x:c r="F574" s="90" t="str">
        <x:v>Yes</x:v>
      </x:c>
      <x:c r="G574" s="90" t="str">
        <x:v>Yes — bundled</x:v>
      </x:c>
      <x:c r="H574" s="90" t="str">
        <x:v>MSW Practice, Documentation, Coordination &amp; Field Safety</x:v>
      </x:c>
      <x:c r="I574" s="90" t="str">
        <x:v>80% quiz using psychosocial, SDOH, abuse, and escalation cases</x:v>
      </x:c>
      <x:c r="J574" s="90" t="str">
        <x:v>By day 14; before independent duty if earlier</x:v>
      </x:c>
      <x:c r="K574" s="90" t="str">
        <x:v>At hire; then on material revision</x:v>
      </x:c>
      <x:c r="L574" s="90" t="str">
        <x:v>Ready</x:v>
      </x:c>
      <x:c r="M574" s="90" t="str">
        <x:v>MSW duties center on psychosocial assessment, SDOH coordination, documentation, transitions, safety, and reporting.</x:v>
      </x:c>
      <x:c r="N574" s="90" t="str">
        <x:v>12-allPoliciesContent.generated.ts — HR-JD-011</x:v>
      </x:c>
      <x:c r="O574" s="90" t="str">
        <x:v>https://www.ecfr.gov/current/title-42/part-484/section-484.105</x:v>
      </x:c>
      <x:c r="P574" s="90" t="str"/>
    </x:row>
    <x:row r="575" ht="42" customHeight="1">
      <x:c r="A575" s="90" t="str">
        <x:v>MSW-01</x:v>
      </x:c>
      <x:c r="B575" s="90" t="str">
        <x:v>MSW</x:v>
      </x:c>
      <x:c r="C575" s="90" t="str">
        <x:v>HR-JD-000</x:v>
      </x:c>
      <x:c r="D575" s="90" t="str">
        <x:v>Job Description Framework &amp; Organizational Chart</x:v>
      </x:c>
      <x:c r="E575" s="90" t="str">
        <x:v>Core</x:v>
      </x:c>
      <x:c r="F575" s="90" t="str">
        <x:v>Yes</x:v>
      </x:c>
      <x:c r="G575" s="90" t="str">
        <x:v>Yes — bundled</x:v>
      </x:c>
      <x:c r="H575" s="90" t="str">
        <x:v>MSW Practice, Documentation, Coordination &amp; Field Safety</x:v>
      </x:c>
      <x:c r="I575" s="90" t="str">
        <x:v>80% quiz using psychosocial, SDOH, abuse, and escalation cases</x:v>
      </x:c>
      <x:c r="J575" s="90" t="str">
        <x:v>By day 14; before independent duty if earlier</x:v>
      </x:c>
      <x:c r="K575" s="90" t="str">
        <x:v>At hire; then on material revision</x:v>
      </x:c>
      <x:c r="L575" s="90" t="str">
        <x:v>Ready</x:v>
      </x:c>
      <x:c r="M575" s="90" t="str">
        <x:v>MSW duties center on psychosocial assessment, SDOH coordination, documentation, transitions, safety, and reporting.</x:v>
      </x:c>
      <x:c r="N575" s="90" t="str">
        <x:v>12-allPoliciesContent.generated.ts — HR-JD-000</x:v>
      </x:c>
      <x:c r="O575" s="90" t="str">
        <x:v>https://www.ecfr.gov/current/title-42/part-484/section-484.105</x:v>
      </x:c>
      <x:c r="P575" s="90" t="str"/>
    </x:row>
    <x:row r="576" ht="42" customHeight="1">
      <x:c r="A576" s="90" t="str">
        <x:v>MSW-01</x:v>
      </x:c>
      <x:c r="B576" s="90" t="str">
        <x:v>MSW</x:v>
      </x:c>
      <x:c r="C576" s="90" t="str">
        <x:v>CL-SD-005</x:v>
      </x:c>
      <x:c r="D576" s="90" t="str">
        <x:v>Medical Social Work Services</x:v>
      </x:c>
      <x:c r="E576" s="90" t="str">
        <x:v>Core</x:v>
      </x:c>
      <x:c r="F576" s="90" t="str">
        <x:v>Yes</x:v>
      </x:c>
      <x:c r="G576" s="90" t="str">
        <x:v>Yes — bundled</x:v>
      </x:c>
      <x:c r="H576" s="90" t="str">
        <x:v>MSW Practice, Documentation, Coordination &amp; Field Safety</x:v>
      </x:c>
      <x:c r="I576" s="90" t="str">
        <x:v>80% quiz using psychosocial, SDOH, abuse, and escalation cases</x:v>
      </x:c>
      <x:c r="J576" s="90" t="str">
        <x:v>By day 14; before independent duty if earlier</x:v>
      </x:c>
      <x:c r="K576" s="90" t="str">
        <x:v>At hire; then on material revision</x:v>
      </x:c>
      <x:c r="L576" s="90" t="str">
        <x:v>Ready</x:v>
      </x:c>
      <x:c r="M576" s="90" t="str">
        <x:v>MSW duties center on psychosocial assessment, SDOH coordination, documentation, transitions, safety, and reporting.</x:v>
      </x:c>
      <x:c r="N576" s="90" t="str">
        <x:v>12-allPoliciesContent.generated.ts — CL-SD-005</x:v>
      </x:c>
      <x:c r="O576" s="90" t="str">
        <x:v>https://www.ecfr.gov/current/title-42/part-484/section-484.75</x:v>
      </x:c>
      <x:c r="P576" s="90" t="str"/>
    </x:row>
    <x:row r="577" ht="42" customHeight="1">
      <x:c r="A577" s="90" t="str">
        <x:v>MSW-01</x:v>
      </x:c>
      <x:c r="B577" s="90" t="str">
        <x:v>MSW</x:v>
      </x:c>
      <x:c r="C577" s="90" t="str">
        <x:v>HR-TA-006</x:v>
      </x:c>
      <x:c r="D577" s="90" t="str">
        <x:v>Job Description &amp; Role Definition</x:v>
      </x:c>
      <x:c r="E577" s="90" t="str">
        <x:v>Core</x:v>
      </x:c>
      <x:c r="F577" s="90" t="str">
        <x:v>Yes</x:v>
      </x:c>
      <x:c r="G577" s="90" t="str">
        <x:v>Yes — bundled</x:v>
      </x:c>
      <x:c r="H577" s="90" t="str">
        <x:v>MSW Practice, Documentation, Coordination &amp; Field Safety</x:v>
      </x:c>
      <x:c r="I577" s="90" t="str">
        <x:v>80% quiz using psychosocial, SDOH, abuse, and escalation cases</x:v>
      </x:c>
      <x:c r="J577" s="90" t="str">
        <x:v>By day 14; before independent duty if earlier</x:v>
      </x:c>
      <x:c r="K577" s="90" t="str">
        <x:v>At hire; then on material revision</x:v>
      </x:c>
      <x:c r="L577" s="90" t="str">
        <x:v>Ready</x:v>
      </x:c>
      <x:c r="M577" s="90" t="str">
        <x:v>MSW duties center on psychosocial assessment, SDOH coordination, documentation, transitions, safety, and reporting.</x:v>
      </x:c>
      <x:c r="N577" s="90" t="str">
        <x:v>12-allPoliciesContent.generated.ts — HR-TA-006</x:v>
      </x:c>
      <x:c r="O577" s="90" t="str"/>
      <x:c r="P577" s="90" t="str"/>
    </x:row>
    <x:row r="578" ht="42" customHeight="1">
      <x:c r="A578" s="90" t="str">
        <x:v>MSW-01</x:v>
      </x:c>
      <x:c r="B578" s="90" t="str">
        <x:v>MSW</x:v>
      </x:c>
      <x:c r="C578" s="90" t="str">
        <x:v>HR-TD-003</x:v>
      </x:c>
      <x:c r="D578" s="90" t="str">
        <x:v>Clinical Staff Competency Evaluation</x:v>
      </x:c>
      <x:c r="E578" s="90" t="str">
        <x:v>Core</x:v>
      </x:c>
      <x:c r="F578" s="90" t="str">
        <x:v>Yes</x:v>
      </x:c>
      <x:c r="G578" s="90" t="str">
        <x:v>Yes — bundled</x:v>
      </x:c>
      <x:c r="H578" s="90" t="str">
        <x:v>MSW Practice, Documentation, Coordination &amp; Field Safety</x:v>
      </x:c>
      <x:c r="I578" s="90" t="str">
        <x:v>80% quiz using psychosocial, SDOH, abuse, and escalation cases</x:v>
      </x:c>
      <x:c r="J578" s="90" t="str">
        <x:v>By day 14; before independent duty if earlier</x:v>
      </x:c>
      <x:c r="K578" s="90" t="str">
        <x:v>At hire; then on material revision</x:v>
      </x:c>
      <x:c r="L578" s="90" t="str">
        <x:v>Ready</x:v>
      </x:c>
      <x:c r="M578" s="90" t="str">
        <x:v>MSW duties center on psychosocial assessment, SDOH coordination, documentation, transitions, safety, and reporting.</x:v>
      </x:c>
      <x:c r="N578" s="90" t="str">
        <x:v>12-allPoliciesContent.generated.ts — HR-TD-003</x:v>
      </x:c>
      <x:c r="O578" s="90" t="str"/>
      <x:c r="P578" s="90" t="str"/>
    </x:row>
    <x:row r="579" ht="42" customHeight="1">
      <x:c r="A579" s="90" t="str">
        <x:v>MSW-01</x:v>
      </x:c>
      <x:c r="B579" s="90" t="str">
        <x:v>MSW</x:v>
      </x:c>
      <x:c r="C579" s="90" t="str">
        <x:v>CL-CD-001</x:v>
      </x:c>
      <x:c r="D579" s="90" t="str">
        <x:v>Clinical Documentation Standards</x:v>
      </x:c>
      <x:c r="E579" s="90" t="str">
        <x:v>Core</x:v>
      </x:c>
      <x:c r="F579" s="90" t="str">
        <x:v>Yes</x:v>
      </x:c>
      <x:c r="G579" s="90" t="str">
        <x:v>Yes — bundled</x:v>
      </x:c>
      <x:c r="H579" s="90" t="str">
        <x:v>MSW Practice, Documentation, Coordination &amp; Field Safety</x:v>
      </x:c>
      <x:c r="I579" s="90" t="str">
        <x:v>80% quiz using psychosocial, SDOH, abuse, and escalation cases</x:v>
      </x:c>
      <x:c r="J579" s="90" t="str">
        <x:v>By day 14; before independent duty if earlier</x:v>
      </x:c>
      <x:c r="K579" s="90" t="str">
        <x:v>At hire; then on material revision</x:v>
      </x:c>
      <x:c r="L579" s="90" t="str">
        <x:v>Ready</x:v>
      </x:c>
      <x:c r="M579" s="90" t="str">
        <x:v>MSW duties center on psychosocial assessment, SDOH coordination, documentation, transitions, safety, and reporting.</x:v>
      </x:c>
      <x:c r="N579" s="90" t="str">
        <x:v>12-allPoliciesContent.generated.ts — CL-CD-001</x:v>
      </x:c>
      <x:c r="O579" s="90" t="str">
        <x:v>https://www.ecfr.gov/current/title-42/part-484/section-484.110</x:v>
      </x:c>
      <x:c r="P579" s="90" t="str"/>
    </x:row>
    <x:row r="580" ht="42" customHeight="1">
      <x:c r="A580" s="90" t="str">
        <x:v>MSW-01</x:v>
      </x:c>
      <x:c r="B580" s="90" t="str">
        <x:v>MSW</x:v>
      </x:c>
      <x:c r="C580" s="90" t="str">
        <x:v>CL-CD-002</x:v>
      </x:c>
      <x:c r="D580" s="90" t="str">
        <x:v>Clinical Record Content &amp; Organization</x:v>
      </x:c>
      <x:c r="E580" s="90" t="str">
        <x:v>Core</x:v>
      </x:c>
      <x:c r="F580" s="90" t="str">
        <x:v>Yes</x:v>
      </x:c>
      <x:c r="G580" s="90" t="str">
        <x:v>Yes — bundled</x:v>
      </x:c>
      <x:c r="H580" s="90" t="str">
        <x:v>MSW Practice, Documentation, Coordination &amp; Field Safety</x:v>
      </x:c>
      <x:c r="I580" s="90" t="str">
        <x:v>80% quiz using psychosocial, SDOH, abuse, and escalation cases</x:v>
      </x:c>
      <x:c r="J580" s="90" t="str">
        <x:v>By day 14; before independent duty if earlier</x:v>
      </x:c>
      <x:c r="K580" s="90" t="str">
        <x:v>At hire; then on material revision</x:v>
      </x:c>
      <x:c r="L580" s="90" t="str">
        <x:v>Ready</x:v>
      </x:c>
      <x:c r="M580" s="90" t="str">
        <x:v>MSW duties center on psychosocial assessment, SDOH coordination, documentation, transitions, safety, and reporting.</x:v>
      </x:c>
      <x:c r="N580" s="90" t="str">
        <x:v>12-allPoliciesContent.generated.ts — CL-CD-002</x:v>
      </x:c>
      <x:c r="O580" s="90" t="str">
        <x:v>https://www.ecfr.gov/current/title-42/part-484/section-484.110</x:v>
      </x:c>
      <x:c r="P580" s="90" t="str"/>
    </x:row>
    <x:row r="581" ht="42" customHeight="1">
      <x:c r="A581" s="90" t="str">
        <x:v>MSW-01</x:v>
      </x:c>
      <x:c r="B581" s="90" t="str">
        <x:v>MSW</x:v>
      </x:c>
      <x:c r="C581" s="90" t="str">
        <x:v>CL-CD-003</x:v>
      </x:c>
      <x:c r="D581" s="90" t="str">
        <x:v>Clinical Record Authentication &amp; Signature Requirements</x:v>
      </x:c>
      <x:c r="E581" s="90" t="str">
        <x:v>Core</x:v>
      </x:c>
      <x:c r="F581" s="90" t="str">
        <x:v>Yes</x:v>
      </x:c>
      <x:c r="G581" s="90" t="str">
        <x:v>Yes — bundled</x:v>
      </x:c>
      <x:c r="H581" s="90" t="str">
        <x:v>MSW Practice, Documentation, Coordination &amp; Field Safety</x:v>
      </x:c>
      <x:c r="I581" s="90" t="str">
        <x:v>80% quiz using psychosocial, SDOH, abuse, and escalation cases</x:v>
      </x:c>
      <x:c r="J581" s="90" t="str">
        <x:v>By day 14; before independent duty if earlier</x:v>
      </x:c>
      <x:c r="K581" s="90" t="str">
        <x:v>At hire; then on material revision</x:v>
      </x:c>
      <x:c r="L581" s="90" t="str">
        <x:v>Ready</x:v>
      </x:c>
      <x:c r="M581" s="90" t="str">
        <x:v>MSW duties center on psychosocial assessment, SDOH coordination, documentation, transitions, safety, and reporting.</x:v>
      </x:c>
      <x:c r="N581" s="90" t="str">
        <x:v>12-allPoliciesContent.generated.ts — CL-CD-003</x:v>
      </x:c>
      <x:c r="O581" s="90" t="str">
        <x:v>https://www.ecfr.gov/current/title-42/part-484/section-484.110</x:v>
      </x:c>
      <x:c r="P581" s="90" t="str"/>
    </x:row>
    <x:row r="582" ht="42" customHeight="1">
      <x:c r="A582" s="90" t="str">
        <x:v>MSW-01</x:v>
      </x:c>
      <x:c r="B582" s="90" t="str">
        <x:v>MSW</x:v>
      </x:c>
      <x:c r="C582" s="90" t="str">
        <x:v>CL-CD-004</x:v>
      </x:c>
      <x:c r="D582" s="90" t="str">
        <x:v>Timely Documentation Completion &amp; Lock Requirements</x:v>
      </x:c>
      <x:c r="E582" s="90" t="str">
        <x:v>Core</x:v>
      </x:c>
      <x:c r="F582" s="90" t="str">
        <x:v>Yes</x:v>
      </x:c>
      <x:c r="G582" s="90" t="str">
        <x:v>Yes — bundled</x:v>
      </x:c>
      <x:c r="H582" s="90" t="str">
        <x:v>MSW Practice, Documentation, Coordination &amp; Field Safety</x:v>
      </x:c>
      <x:c r="I582" s="90" t="str">
        <x:v>80% quiz using psychosocial, SDOH, abuse, and escalation cases</x:v>
      </x:c>
      <x:c r="J582" s="90" t="str">
        <x:v>By day 14; before independent duty if earlier</x:v>
      </x:c>
      <x:c r="K582" s="90" t="str">
        <x:v>At hire; then on material revision</x:v>
      </x:c>
      <x:c r="L582" s="90" t="str">
        <x:v>Ready</x:v>
      </x:c>
      <x:c r="M582" s="90" t="str">
        <x:v>MSW duties center on psychosocial assessment, SDOH coordination, documentation, transitions, safety, and reporting.</x:v>
      </x:c>
      <x:c r="N582" s="90" t="str">
        <x:v>12-allPoliciesContent.generated.ts — CL-CD-004</x:v>
      </x:c>
      <x:c r="O582" s="90" t="str">
        <x:v>https://www.ecfr.gov/current/title-42/part-484/section-484.110</x:v>
      </x:c>
      <x:c r="P582" s="90" t="str"/>
    </x:row>
    <x:row r="583" ht="42" customHeight="1">
      <x:c r="A583" s="90" t="str">
        <x:v>MSW-01</x:v>
      </x:c>
      <x:c r="B583" s="90" t="str">
        <x:v>MSW</x:v>
      </x:c>
      <x:c r="C583" s="90" t="str">
        <x:v>CO-DC-003</x:v>
      </x:c>
      <x:c r="D583" s="90" t="str">
        <x:v>Late Entry, Correction &amp; Amendment Standards</x:v>
      </x:c>
      <x:c r="E583" s="90" t="str">
        <x:v>Core</x:v>
      </x:c>
      <x:c r="F583" s="90" t="str">
        <x:v>Yes</x:v>
      </x:c>
      <x:c r="G583" s="90" t="str">
        <x:v>Yes — bundled</x:v>
      </x:c>
      <x:c r="H583" s="90" t="str">
        <x:v>MSW Practice, Documentation, Coordination &amp; Field Safety</x:v>
      </x:c>
      <x:c r="I583" s="90" t="str">
        <x:v>80% quiz using psychosocial, SDOH, abuse, and escalation cases</x:v>
      </x:c>
      <x:c r="J583" s="90" t="str">
        <x:v>By day 14; before independent duty if earlier</x:v>
      </x:c>
      <x:c r="K583" s="90" t="str">
        <x:v>At hire; then on material revision</x:v>
      </x:c>
      <x:c r="L583" s="90" t="str">
        <x:v>Ready</x:v>
      </x:c>
      <x:c r="M583" s="90" t="str">
        <x:v>MSW duties center on psychosocial assessment, SDOH coordination, documentation, transitions, safety, and reporting.</x:v>
      </x:c>
      <x:c r="N583" s="90" t="str">
        <x:v>12-allPoliciesContent.generated.ts — CO-DC-003</x:v>
      </x:c>
      <x:c r="O583" s="90" t="str">
        <x:v>https://www.ecfr.gov/current/title-42/part-484/section-484.110</x:v>
      </x:c>
      <x:c r="P583" s="90" t="str"/>
    </x:row>
    <x:row r="584" ht="42" customHeight="1">
      <x:c r="A584" s="90" t="str">
        <x:v>MSW-01</x:v>
      </x:c>
      <x:c r="B584" s="90" t="str">
        <x:v>MSW</x:v>
      </x:c>
      <x:c r="C584" s="90" t="str">
        <x:v>CL-CP-001</x:v>
      </x:c>
      <x:c r="D584" s="90" t="str">
        <x:v>Plan of Care Development &amp; Approval</x:v>
      </x:c>
      <x:c r="E584" s="90" t="str">
        <x:v>Core</x:v>
      </x:c>
      <x:c r="F584" s="90" t="str">
        <x:v>Yes</x:v>
      </x:c>
      <x:c r="G584" s="90" t="str">
        <x:v>Yes — bundled</x:v>
      </x:c>
      <x:c r="H584" s="90" t="str">
        <x:v>MSW Practice, Documentation, Coordination &amp; Field Safety</x:v>
      </x:c>
      <x:c r="I584" s="90" t="str">
        <x:v>80% quiz using psychosocial, SDOH, abuse, and escalation cases</x:v>
      </x:c>
      <x:c r="J584" s="90" t="str">
        <x:v>By day 14; before independent duty if earlier</x:v>
      </x:c>
      <x:c r="K584" s="90" t="str">
        <x:v>At hire; then on material revision</x:v>
      </x:c>
      <x:c r="L584" s="90" t="str">
        <x:v>Ready</x:v>
      </x:c>
      <x:c r="M584" s="90" t="str">
        <x:v>MSW duties center on psychosocial assessment, SDOH coordination, documentation, transitions, safety, and reporting.</x:v>
      </x:c>
      <x:c r="N584" s="90" t="str">
        <x:v>12-allPoliciesContent.generated.ts — CL-CP-001</x:v>
      </x:c>
      <x:c r="O584" s="90" t="str">
        <x:v>https://www.ecfr.gov/current/title-42/part-484/section-484.60</x:v>
      </x:c>
      <x:c r="P584" s="90" t="str"/>
    </x:row>
    <x:row r="585" ht="42" customHeight="1">
      <x:c r="A585" s="90" t="str">
        <x:v>MSW-01</x:v>
      </x:c>
      <x:c r="B585" s="90" t="str">
        <x:v>MSW</x:v>
      </x:c>
      <x:c r="C585" s="90" t="str">
        <x:v>CL-CP-002</x:v>
      </x:c>
      <x:c r="D585" s="90" t="str">
        <x:v>Plan of Care Review &amp; Update</x:v>
      </x:c>
      <x:c r="E585" s="90" t="str">
        <x:v>Core</x:v>
      </x:c>
      <x:c r="F585" s="90" t="str">
        <x:v>Yes</x:v>
      </x:c>
      <x:c r="G585" s="90" t="str">
        <x:v>Yes — bundled</x:v>
      </x:c>
      <x:c r="H585" s="90" t="str">
        <x:v>MSW Practice, Documentation, Coordination &amp; Field Safety</x:v>
      </x:c>
      <x:c r="I585" s="90" t="str">
        <x:v>80% quiz using psychosocial, SDOH, abuse, and escalation cases</x:v>
      </x:c>
      <x:c r="J585" s="90" t="str">
        <x:v>By day 14; before independent duty if earlier</x:v>
      </x:c>
      <x:c r="K585" s="90" t="str">
        <x:v>At hire; then on material revision</x:v>
      </x:c>
      <x:c r="L585" s="90" t="str">
        <x:v>Ready</x:v>
      </x:c>
      <x:c r="M585" s="90" t="str">
        <x:v>MSW duties center on psychosocial assessment, SDOH coordination, documentation, transitions, safety, and reporting.</x:v>
      </x:c>
      <x:c r="N585" s="90" t="str">
        <x:v>12-allPoliciesContent.generated.ts — CL-CP-002</x:v>
      </x:c>
      <x:c r="O585" s="90" t="str">
        <x:v>https://www.ecfr.gov/current/title-42/part-484/section-484.60</x:v>
      </x:c>
      <x:c r="P585" s="90" t="str"/>
    </x:row>
    <x:row r="586" ht="42" customHeight="1">
      <x:c r="A586" s="90" t="str">
        <x:v>MSW-01</x:v>
      </x:c>
      <x:c r="B586" s="90" t="str">
        <x:v>MSW</x:v>
      </x:c>
      <x:c r="C586" s="90" t="str">
        <x:v>CL-CP-003</x:v>
      </x:c>
      <x:c r="D586" s="90" t="str">
        <x:v>Physician Orders &amp; Order Management</x:v>
      </x:c>
      <x:c r="E586" s="90" t="str">
        <x:v>Core</x:v>
      </x:c>
      <x:c r="F586" s="90" t="str">
        <x:v>Yes</x:v>
      </x:c>
      <x:c r="G586" s="90" t="str">
        <x:v>Yes — bundled</x:v>
      </x:c>
      <x:c r="H586" s="90" t="str">
        <x:v>MSW Practice, Documentation, Coordination &amp; Field Safety</x:v>
      </x:c>
      <x:c r="I586" s="90" t="str">
        <x:v>80% quiz using psychosocial, SDOH, abuse, and escalation cases</x:v>
      </x:c>
      <x:c r="J586" s="90" t="str">
        <x:v>By day 14; before independent duty if earlier</x:v>
      </x:c>
      <x:c r="K586" s="90" t="str">
        <x:v>At hire; then on material revision</x:v>
      </x:c>
      <x:c r="L586" s="90" t="str">
        <x:v>Ready</x:v>
      </x:c>
      <x:c r="M586" s="90" t="str">
        <x:v>MSW duties center on psychosocial assessment, SDOH coordination, documentation, transitions, safety, and reporting.</x:v>
      </x:c>
      <x:c r="N586" s="90" t="str">
        <x:v>12-allPoliciesContent.generated.ts — CL-CP-003</x:v>
      </x:c>
      <x:c r="O586" s="90" t="str">
        <x:v>https://www.ecfr.gov/current/title-42/part-484/section-484.60</x:v>
      </x:c>
      <x:c r="P586" s="90" t="str"/>
    </x:row>
    <x:row r="587" ht="42" customHeight="1">
      <x:c r="A587" s="90" t="str">
        <x:v>MSW-01</x:v>
      </x:c>
      <x:c r="B587" s="90" t="str">
        <x:v>MSW</x:v>
      </x:c>
      <x:c r="C587" s="90" t="str">
        <x:v>CL-CP-005</x:v>
      </x:c>
      <x:c r="D587" s="90" t="str">
        <x:v>Coordination of Care</x:v>
      </x:c>
      <x:c r="E587" s="90" t="str">
        <x:v>Core</x:v>
      </x:c>
      <x:c r="F587" s="90" t="str">
        <x:v>Yes</x:v>
      </x:c>
      <x:c r="G587" s="90" t="str">
        <x:v>Yes — bundled</x:v>
      </x:c>
      <x:c r="H587" s="90" t="str">
        <x:v>MSW Practice, Documentation, Coordination &amp; Field Safety</x:v>
      </x:c>
      <x:c r="I587" s="90" t="str">
        <x:v>80% quiz using psychosocial, SDOH, abuse, and escalation cases</x:v>
      </x:c>
      <x:c r="J587" s="90" t="str">
        <x:v>By day 14; before independent duty if earlier</x:v>
      </x:c>
      <x:c r="K587" s="90" t="str">
        <x:v>At hire; then on material revision</x:v>
      </x:c>
      <x:c r="L587" s="90" t="str">
        <x:v>Ready</x:v>
      </x:c>
      <x:c r="M587" s="90" t="str">
        <x:v>MSW duties center on psychosocial assessment, SDOH coordination, documentation, transitions, safety, and reporting.</x:v>
      </x:c>
      <x:c r="N587" s="90" t="str">
        <x:v>12-allPoliciesContent.generated.ts — CL-CP-005</x:v>
      </x:c>
      <x:c r="O587" s="90" t="str">
        <x:v>https://www.ecfr.gov/current/title-42/part-484/section-484.60</x:v>
      </x:c>
      <x:c r="P587" s="90" t="str"/>
    </x:row>
    <x:row r="588" ht="42" customHeight="1">
      <x:c r="A588" s="90" t="str">
        <x:v>MSW-01</x:v>
      </x:c>
      <x:c r="B588" s="90" t="str">
        <x:v>MSW</x:v>
      </x:c>
      <x:c r="C588" s="90" t="str">
        <x:v>CL-CP-006</x:v>
      </x:c>
      <x:c r="D588" s="90" t="str">
        <x:v>Discharge Planning &amp; Criteria</x:v>
      </x:c>
      <x:c r="E588" s="90" t="str">
        <x:v>Core</x:v>
      </x:c>
      <x:c r="F588" s="90" t="str">
        <x:v>Yes</x:v>
      </x:c>
      <x:c r="G588" s="90" t="str">
        <x:v>Yes — bundled</x:v>
      </x:c>
      <x:c r="H588" s="90" t="str">
        <x:v>MSW Practice, Documentation, Coordination &amp; Field Safety</x:v>
      </x:c>
      <x:c r="I588" s="90" t="str">
        <x:v>80% quiz using psychosocial, SDOH, abuse, and escalation cases</x:v>
      </x:c>
      <x:c r="J588" s="90" t="str">
        <x:v>By day 14; before independent duty if earlier</x:v>
      </x:c>
      <x:c r="K588" s="90" t="str">
        <x:v>At hire; then on material revision</x:v>
      </x:c>
      <x:c r="L588" s="90" t="str">
        <x:v>Ready</x:v>
      </x:c>
      <x:c r="M588" s="90" t="str">
        <x:v>MSW duties center on psychosocial assessment, SDOH coordination, documentation, transitions, safety, and reporting.</x:v>
      </x:c>
      <x:c r="N588" s="90" t="str">
        <x:v>12-allPoliciesContent.generated.ts — CL-CP-006</x:v>
      </x:c>
      <x:c r="O588" s="90" t="str">
        <x:v>https://www.ecfr.gov/current/title-42/part-484/section-484.60</x:v>
      </x:c>
      <x:c r="P588" s="90" t="str"/>
    </x:row>
    <x:row r="589" ht="42" customHeight="1">
      <x:c r="A589" s="90" t="str">
        <x:v>MSW-01</x:v>
      </x:c>
      <x:c r="B589" s="90" t="str">
        <x:v>MSW</x:v>
      </x:c>
      <x:c r="C589" s="90" t="str">
        <x:v>CL-CP-007</x:v>
      </x:c>
      <x:c r="D589" s="90" t="str">
        <x:v>Transfer &amp; Referral Procedures</x:v>
      </x:c>
      <x:c r="E589" s="90" t="str">
        <x:v>Core</x:v>
      </x:c>
      <x:c r="F589" s="90" t="str">
        <x:v>Yes</x:v>
      </x:c>
      <x:c r="G589" s="90" t="str">
        <x:v>Yes — bundled</x:v>
      </x:c>
      <x:c r="H589" s="90" t="str">
        <x:v>MSW Practice, Documentation, Coordination &amp; Field Safety</x:v>
      </x:c>
      <x:c r="I589" s="90" t="str">
        <x:v>80% quiz using psychosocial, SDOH, abuse, and escalation cases</x:v>
      </x:c>
      <x:c r="J589" s="90" t="str">
        <x:v>By day 14; before independent duty if earlier</x:v>
      </x:c>
      <x:c r="K589" s="90" t="str">
        <x:v>At hire; then on material revision</x:v>
      </x:c>
      <x:c r="L589" s="90" t="str">
        <x:v>Ready</x:v>
      </x:c>
      <x:c r="M589" s="90" t="str">
        <x:v>MSW duties center on psychosocial assessment, SDOH coordination, documentation, transitions, safety, and reporting.</x:v>
      </x:c>
      <x:c r="N589" s="90" t="str">
        <x:v>12-allPoliciesContent.generated.ts — CL-CP-007</x:v>
      </x:c>
      <x:c r="O589" s="90" t="str">
        <x:v>https://www.ecfr.gov/current/title-42/part-484/section-484.60</x:v>
      </x:c>
      <x:c r="P589" s="90" t="str"/>
    </x:row>
    <x:row r="590" ht="42" customHeight="1">
      <x:c r="A590" s="90" t="str">
        <x:v>MSW-01</x:v>
      </x:c>
      <x:c r="B590" s="90" t="str">
        <x:v>MSW</x:v>
      </x:c>
      <x:c r="C590" s="90" t="str">
        <x:v>CL-CC-101</x:v>
      </x:c>
      <x:c r="D590" s="90" t="str">
        <x:v>Care Coordination &amp; SDOH Management</x:v>
      </x:c>
      <x:c r="E590" s="90" t="str">
        <x:v>Core</x:v>
      </x:c>
      <x:c r="F590" s="90" t="str">
        <x:v>Yes</x:v>
      </x:c>
      <x:c r="G590" s="90" t="str">
        <x:v>Yes — bundled</x:v>
      </x:c>
      <x:c r="H590" s="90" t="str">
        <x:v>MSW Practice, Documentation, Coordination &amp; Field Safety</x:v>
      </x:c>
      <x:c r="I590" s="90" t="str">
        <x:v>80% quiz using psychosocial, SDOH, abuse, and escalation cases</x:v>
      </x:c>
      <x:c r="J590" s="90" t="str">
        <x:v>By day 14; before independent duty if earlier</x:v>
      </x:c>
      <x:c r="K590" s="90" t="str">
        <x:v>At hire; then on material revision</x:v>
      </x:c>
      <x:c r="L590" s="90" t="str">
        <x:v>Ready</x:v>
      </x:c>
      <x:c r="M590" s="90" t="str">
        <x:v>MSW duties center on psychosocial assessment, SDOH coordination, documentation, transitions, safety, and reporting.</x:v>
      </x:c>
      <x:c r="N590" s="90" t="str">
        <x:v>12-allPoliciesContent.generated.ts — CL-CC-101</x:v>
      </x:c>
      <x:c r="O590" s="90" t="str">
        <x:v>https://www.ecfr.gov/current/title-42/part-484/section-484.60</x:v>
      </x:c>
      <x:c r="P590" s="90" t="str"/>
    </x:row>
    <x:row r="591" ht="42" customHeight="1">
      <x:c r="A591" s="90" t="str">
        <x:v>MSW-01</x:v>
      </x:c>
      <x:c r="B591" s="90" t="str">
        <x:v>MSW</x:v>
      </x:c>
      <x:c r="C591" s="90" t="str">
        <x:v>CL-PR-002</x:v>
      </x:c>
      <x:c r="D591" s="90" t="str">
        <x:v>Advance Directive Compliance</x:v>
      </x:c>
      <x:c r="E591" s="90" t="str">
        <x:v>Core</x:v>
      </x:c>
      <x:c r="F591" s="90" t="str">
        <x:v>Yes</x:v>
      </x:c>
      <x:c r="G591" s="90" t="str">
        <x:v>Yes — bundled</x:v>
      </x:c>
      <x:c r="H591" s="90" t="str">
        <x:v>MSW Practice, Documentation, Coordination &amp; Field Safety</x:v>
      </x:c>
      <x:c r="I591" s="90" t="str">
        <x:v>80% quiz using psychosocial, SDOH, abuse, and escalation cases</x:v>
      </x:c>
      <x:c r="J591" s="90" t="str">
        <x:v>By day 14; before independent duty if earlier</x:v>
      </x:c>
      <x:c r="K591" s="90" t="str">
        <x:v>At hire; then on material revision</x:v>
      </x:c>
      <x:c r="L591" s="90" t="str">
        <x:v>Ready</x:v>
      </x:c>
      <x:c r="M591" s="90" t="str">
        <x:v>MSW duties center on psychosocial assessment, SDOH coordination, documentation, transitions, safety, and reporting.</x:v>
      </x:c>
      <x:c r="N591" s="90" t="str">
        <x:v>12-allPoliciesContent.generated.ts — CL-PR-002</x:v>
      </x:c>
      <x:c r="O591" s="90" t="str">
        <x:v>https://www.ecfr.gov/current/title-42/part-484/section-484.50</x:v>
      </x:c>
      <x:c r="P591" s="90" t="str"/>
    </x:row>
    <x:row r="592" ht="42" customHeight="1">
      <x:c r="A592" s="90" t="str">
        <x:v>MSW-01</x:v>
      </x:c>
      <x:c r="B592" s="90" t="str">
        <x:v>MSW</x:v>
      </x:c>
      <x:c r="C592" s="90" t="str">
        <x:v>CL-PR-003</x:v>
      </x:c>
      <x:c r="D592" s="90" t="str">
        <x:v>Informed Consent</x:v>
      </x:c>
      <x:c r="E592" s="90" t="str">
        <x:v>Core</x:v>
      </x:c>
      <x:c r="F592" s="90" t="str">
        <x:v>Yes</x:v>
      </x:c>
      <x:c r="G592" s="90" t="str">
        <x:v>Yes — bundled</x:v>
      </x:c>
      <x:c r="H592" s="90" t="str">
        <x:v>MSW Practice, Documentation, Coordination &amp; Field Safety</x:v>
      </x:c>
      <x:c r="I592" s="90" t="str">
        <x:v>80% quiz using psychosocial, SDOH, abuse, and escalation cases</x:v>
      </x:c>
      <x:c r="J592" s="90" t="str">
        <x:v>By day 14; before independent duty if earlier</x:v>
      </x:c>
      <x:c r="K592" s="90" t="str">
        <x:v>At hire; then on material revision</x:v>
      </x:c>
      <x:c r="L592" s="90" t="str">
        <x:v>Ready</x:v>
      </x:c>
      <x:c r="M592" s="90" t="str">
        <x:v>MSW duties center on psychosocial assessment, SDOH coordination, documentation, transitions, safety, and reporting.</x:v>
      </x:c>
      <x:c r="N592" s="90" t="str">
        <x:v>12-allPoliciesContent.generated.ts — CL-PR-003</x:v>
      </x:c>
      <x:c r="O592" s="90" t="str">
        <x:v>https://www.ecfr.gov/current/title-42/part-484/section-484.50</x:v>
      </x:c>
      <x:c r="P592" s="90" t="str"/>
    </x:row>
    <x:row r="593" ht="42" customHeight="1">
      <x:c r="A593" s="90" t="str">
        <x:v>MSW-01</x:v>
      </x:c>
      <x:c r="B593" s="90" t="str">
        <x:v>MSW</x:v>
      </x:c>
      <x:c r="C593" s="90" t="str">
        <x:v>CL-PR-004</x:v>
      </x:c>
      <x:c r="D593" s="90" t="str">
        <x:v>Restraint &amp; Seclusion Prohibition</x:v>
      </x:c>
      <x:c r="E593" s="90" t="str">
        <x:v>Core</x:v>
      </x:c>
      <x:c r="F593" s="90" t="str">
        <x:v>Yes</x:v>
      </x:c>
      <x:c r="G593" s="90" t="str">
        <x:v>Yes — bundled</x:v>
      </x:c>
      <x:c r="H593" s="90" t="str">
        <x:v>MSW Practice, Documentation, Coordination &amp; Field Safety</x:v>
      </x:c>
      <x:c r="I593" s="90" t="str">
        <x:v>80% quiz using psychosocial, SDOH, abuse, and escalation cases</x:v>
      </x:c>
      <x:c r="J593" s="90" t="str">
        <x:v>By day 14; before independent duty if earlier</x:v>
      </x:c>
      <x:c r="K593" s="90" t="str">
        <x:v>At hire; then on material revision</x:v>
      </x:c>
      <x:c r="L593" s="90" t="str">
        <x:v>Ready</x:v>
      </x:c>
      <x:c r="M593" s="90" t="str">
        <x:v>MSW duties center on psychosocial assessment, SDOH coordination, documentation, transitions, safety, and reporting.</x:v>
      </x:c>
      <x:c r="N593" s="90" t="str">
        <x:v>12-allPoliciesContent.generated.ts — CL-PR-004</x:v>
      </x:c>
      <x:c r="O593" s="90" t="str">
        <x:v>https://www.ecfr.gov/current/title-42/part-484/section-484.50</x:v>
      </x:c>
      <x:c r="P593" s="90" t="str"/>
    </x:row>
    <x:row r="594" ht="42" customHeight="1">
      <x:c r="A594" s="90" t="str">
        <x:v>MSW-01</x:v>
      </x:c>
      <x:c r="B594" s="90" t="str">
        <x:v>MSW</x:v>
      </x:c>
      <x:c r="C594" s="90" t="str">
        <x:v>CL-PR-005</x:v>
      </x:c>
      <x:c r="D594" s="90" t="str">
        <x:v>Emergency Preparedness — Clinical</x:v>
      </x:c>
      <x:c r="E594" s="90" t="str">
        <x:v>Core</x:v>
      </x:c>
      <x:c r="F594" s="90" t="str">
        <x:v>Yes</x:v>
      </x:c>
      <x:c r="G594" s="90" t="str">
        <x:v>Yes — bundled</x:v>
      </x:c>
      <x:c r="H594" s="90" t="str">
        <x:v>MSW Practice, Documentation, Coordination &amp; Field Safety</x:v>
      </x:c>
      <x:c r="I594" s="90" t="str">
        <x:v>80% quiz using psychosocial, SDOH, abuse, and escalation cases</x:v>
      </x:c>
      <x:c r="J594" s="90" t="str">
        <x:v>By day 14; before independent duty if earlier</x:v>
      </x:c>
      <x:c r="K594" s="90" t="str">
        <x:v>At hire; then on material revision</x:v>
      </x:c>
      <x:c r="L594" s="90" t="str">
        <x:v>Ready</x:v>
      </x:c>
      <x:c r="M594" s="90" t="str">
        <x:v>MSW duties center on psychosocial assessment, SDOH coordination, documentation, transitions, safety, and reporting.</x:v>
      </x:c>
      <x:c r="N594" s="90" t="str">
        <x:v>12-allPoliciesContent.generated.ts — CL-PR-005</x:v>
      </x:c>
      <x:c r="O594" s="90" t="str">
        <x:v>https://www.ecfr.gov/current/title-42/part-484/section-484.50</x:v>
      </x:c>
      <x:c r="P594" s="90" t="str"/>
    </x:row>
    <x:row r="595" ht="42" customHeight="1">
      <x:c r="A595" s="90" t="str">
        <x:v>MSW-01</x:v>
      </x:c>
      <x:c r="B595" s="90" t="str">
        <x:v>MSW</x:v>
      </x:c>
      <x:c r="C595" s="90" t="str">
        <x:v>OP-PA-002</x:v>
      </x:c>
      <x:c r="D595" s="90" t="str">
        <x:v>Patient Identification &amp; Verification</x:v>
      </x:c>
      <x:c r="E595" s="90" t="str">
        <x:v>Core</x:v>
      </x:c>
      <x:c r="F595" s="90" t="str">
        <x:v>Yes</x:v>
      </x:c>
      <x:c r="G595" s="90" t="str">
        <x:v>Yes — bundled</x:v>
      </x:c>
      <x:c r="H595" s="90" t="str">
        <x:v>MSW Practice, Documentation, Coordination &amp; Field Safety</x:v>
      </x:c>
      <x:c r="I595" s="90" t="str">
        <x:v>80% quiz using psychosocial, SDOH, abuse, and escalation cases</x:v>
      </x:c>
      <x:c r="J595" s="90" t="str">
        <x:v>By day 14; before independent duty if earlier</x:v>
      </x:c>
      <x:c r="K595" s="90" t="str">
        <x:v>At hire; then on material revision</x:v>
      </x:c>
      <x:c r="L595" s="90" t="str">
        <x:v>Ready</x:v>
      </x:c>
      <x:c r="M595" s="90" t="str">
        <x:v>MSW duties center on psychosocial assessment, SDOH coordination, documentation, transitions, safety, and reporting.</x:v>
      </x:c>
      <x:c r="N595" s="90" t="str">
        <x:v>12-allPoliciesContent.generated.ts — OP-PA-002</x:v>
      </x:c>
      <x:c r="O595" s="90" t="str"/>
      <x:c r="P595" s="90" t="str"/>
    </x:row>
    <x:row r="596" ht="42" customHeight="1">
      <x:c r="A596" s="90" t="str">
        <x:v>MSW-01</x:v>
      </x:c>
      <x:c r="B596" s="90" t="str">
        <x:v>MSW</x:v>
      </x:c>
      <x:c r="C596" s="90" t="str">
        <x:v>OP-PA-003</x:v>
      </x:c>
      <x:c r="D596" s="90" t="str">
        <x:v>Interpreter &amp; Language Access Services</x:v>
      </x:c>
      <x:c r="E596" s="90" t="str">
        <x:v>Core</x:v>
      </x:c>
      <x:c r="F596" s="90" t="str">
        <x:v>Yes</x:v>
      </x:c>
      <x:c r="G596" s="90" t="str">
        <x:v>Yes — bundled</x:v>
      </x:c>
      <x:c r="H596" s="90" t="str">
        <x:v>MSW Practice, Documentation, Coordination &amp; Field Safety</x:v>
      </x:c>
      <x:c r="I596" s="90" t="str">
        <x:v>80% quiz using psychosocial, SDOH, abuse, and escalation cases</x:v>
      </x:c>
      <x:c r="J596" s="90" t="str">
        <x:v>By day 14; before independent duty if earlier</x:v>
      </x:c>
      <x:c r="K596" s="90" t="str">
        <x:v>At hire; then on material revision</x:v>
      </x:c>
      <x:c r="L596" s="90" t="str">
        <x:v>Ready</x:v>
      </x:c>
      <x:c r="M596" s="90" t="str">
        <x:v>MSW duties center on psychosocial assessment, SDOH coordination, documentation, transitions, safety, and reporting.</x:v>
      </x:c>
      <x:c r="N596" s="90" t="str">
        <x:v>12-allPoliciesContent.generated.ts — OP-PA-003</x:v>
      </x:c>
      <x:c r="O596" s="90" t="str"/>
      <x:c r="P596" s="90" t="str"/>
    </x:row>
    <x:row r="597" ht="42" customHeight="1">
      <x:c r="A597" s="90" t="str">
        <x:v>MSW-01</x:v>
      </x:c>
      <x:c r="B597" s="90" t="str">
        <x:v>MSW</x:v>
      </x:c>
      <x:c r="C597" s="90" t="str">
        <x:v>OP-PA-004</x:v>
      </x:c>
      <x:c r="D597" s="90" t="str">
        <x:v>Cultural Competency in Service Delivery</x:v>
      </x:c>
      <x:c r="E597" s="90" t="str">
        <x:v>Core</x:v>
      </x:c>
      <x:c r="F597" s="90" t="str">
        <x:v>Yes</x:v>
      </x:c>
      <x:c r="G597" s="90" t="str">
        <x:v>Yes — bundled</x:v>
      </x:c>
      <x:c r="H597" s="90" t="str">
        <x:v>MSW Practice, Documentation, Coordination &amp; Field Safety</x:v>
      </x:c>
      <x:c r="I597" s="90" t="str">
        <x:v>80% quiz using psychosocial, SDOH, abuse, and escalation cases</x:v>
      </x:c>
      <x:c r="J597" s="90" t="str">
        <x:v>By day 14; before independent duty if earlier</x:v>
      </x:c>
      <x:c r="K597" s="90" t="str">
        <x:v>At hire; then on material revision</x:v>
      </x:c>
      <x:c r="L597" s="90" t="str">
        <x:v>Ready</x:v>
      </x:c>
      <x:c r="M597" s="90" t="str">
        <x:v>MSW duties center on psychosocial assessment, SDOH coordination, documentation, transitions, safety, and reporting.</x:v>
      </x:c>
      <x:c r="N597" s="90" t="str">
        <x:v>12-allPoliciesContent.generated.ts — OP-PA-004</x:v>
      </x:c>
      <x:c r="O597" s="90" t="str"/>
      <x:c r="P597" s="90" t="str"/>
    </x:row>
    <x:row r="598" ht="42" customHeight="1">
      <x:c r="A598" s="90" t="str">
        <x:v>MSW-01</x:v>
      </x:c>
      <x:c r="B598" s="90" t="str">
        <x:v>MSW</x:v>
      </x:c>
      <x:c r="C598" s="90" t="str">
        <x:v>OP-PA-005</x:v>
      </x:c>
      <x:c r="D598" s="90" t="str">
        <x:v>Patient Property &amp; Belongings</x:v>
      </x:c>
      <x:c r="E598" s="90" t="str">
        <x:v>Core</x:v>
      </x:c>
      <x:c r="F598" s="90" t="str">
        <x:v>Yes</x:v>
      </x:c>
      <x:c r="G598" s="90" t="str">
        <x:v>Yes — bundled</x:v>
      </x:c>
      <x:c r="H598" s="90" t="str">
        <x:v>MSW Practice, Documentation, Coordination &amp; Field Safety</x:v>
      </x:c>
      <x:c r="I598" s="90" t="str">
        <x:v>80% quiz using psychosocial, SDOH, abuse, and escalation cases</x:v>
      </x:c>
      <x:c r="J598" s="90" t="str">
        <x:v>By day 14; before independent duty if earlier</x:v>
      </x:c>
      <x:c r="K598" s="90" t="str">
        <x:v>At hire; then on material revision</x:v>
      </x:c>
      <x:c r="L598" s="90" t="str">
        <x:v>Ready</x:v>
      </x:c>
      <x:c r="M598" s="90" t="str">
        <x:v>MSW duties center on psychosocial assessment, SDOH coordination, documentation, transitions, safety, and reporting.</x:v>
      </x:c>
      <x:c r="N598" s="90" t="str">
        <x:v>12-allPoliciesContent.generated.ts — OP-PA-005</x:v>
      </x:c>
      <x:c r="O598" s="90" t="str"/>
      <x:c r="P598" s="90" t="str"/>
    </x:row>
    <x:row r="599" ht="42" customHeight="1">
      <x:c r="A599" s="90" t="str">
        <x:v>MSW-01</x:v>
      </x:c>
      <x:c r="B599" s="90" t="str">
        <x:v>MSW</x:v>
      </x:c>
      <x:c r="C599" s="90" t="str">
        <x:v>OP-SL-001</x:v>
      </x:c>
      <x:c r="D599" s="90" t="str">
        <x:v>Scheduling &amp; Visit Management</x:v>
      </x:c>
      <x:c r="E599" s="90" t="str">
        <x:v>Core</x:v>
      </x:c>
      <x:c r="F599" s="90" t="str">
        <x:v>Yes</x:v>
      </x:c>
      <x:c r="G599" s="90" t="str">
        <x:v>Yes — bundled</x:v>
      </x:c>
      <x:c r="H599" s="90" t="str">
        <x:v>MSW Practice, Documentation, Coordination &amp; Field Safety</x:v>
      </x:c>
      <x:c r="I599" s="90" t="str">
        <x:v>80% quiz using psychosocial, SDOH, abuse, and escalation cases</x:v>
      </x:c>
      <x:c r="J599" s="90" t="str">
        <x:v>By day 14; before independent duty if earlier</x:v>
      </x:c>
      <x:c r="K599" s="90" t="str">
        <x:v>At hire; then on material revision</x:v>
      </x:c>
      <x:c r="L599" s="90" t="str">
        <x:v>Ready</x:v>
      </x:c>
      <x:c r="M599" s="90" t="str">
        <x:v>MSW duties center on psychosocial assessment, SDOH coordination, documentation, transitions, safety, and reporting.</x:v>
      </x:c>
      <x:c r="N599" s="90" t="str">
        <x:v>12-allPoliciesContent.generated.ts — OP-SL-001</x:v>
      </x:c>
      <x:c r="O599" s="90" t="str"/>
      <x:c r="P599" s="90" t="str"/>
    </x:row>
    <x:row r="600" ht="42" customHeight="1">
      <x:c r="A600" s="90" t="str">
        <x:v>MSW-01</x:v>
      </x:c>
      <x:c r="B600" s="90" t="str">
        <x:v>MSW</x:v>
      </x:c>
      <x:c r="C600" s="90" t="str">
        <x:v>OP-SL-004</x:v>
      </x:c>
      <x:c r="D600" s="90" t="str">
        <x:v>Equipment &amp; Supply Management</x:v>
      </x:c>
      <x:c r="E600" s="90" t="str">
        <x:v>Core</x:v>
      </x:c>
      <x:c r="F600" s="90" t="str">
        <x:v>Yes</x:v>
      </x:c>
      <x:c r="G600" s="90" t="str">
        <x:v>Yes — bundled</x:v>
      </x:c>
      <x:c r="H600" s="90" t="str">
        <x:v>MSW Practice, Documentation, Coordination &amp; Field Safety</x:v>
      </x:c>
      <x:c r="I600" s="90" t="str">
        <x:v>80% quiz using psychosocial, SDOH, abuse, and escalation cases</x:v>
      </x:c>
      <x:c r="J600" s="90" t="str">
        <x:v>By day 14; before independent duty if earlier</x:v>
      </x:c>
      <x:c r="K600" s="90" t="str">
        <x:v>At hire; then on material revision</x:v>
      </x:c>
      <x:c r="L600" s="90" t="str">
        <x:v>Ready</x:v>
      </x:c>
      <x:c r="M600" s="90" t="str">
        <x:v>MSW duties center on psychosocial assessment, SDOH coordination, documentation, transitions, safety, and reporting.</x:v>
      </x:c>
      <x:c r="N600" s="90" t="str">
        <x:v>12-allPoliciesContent.generated.ts — OP-SL-004</x:v>
      </x:c>
      <x:c r="O600" s="90" t="str"/>
      <x:c r="P600" s="90" t="str"/>
    </x:row>
    <x:row r="601" ht="42" customHeight="1">
      <x:c r="A601" s="90" t="str">
        <x:v>MSW-01</x:v>
      </x:c>
      <x:c r="B601" s="90" t="str">
        <x:v>MSW</x:v>
      </x:c>
      <x:c r="C601" s="90" t="str">
        <x:v>OP-SL-007</x:v>
      </x:c>
      <x:c r="D601" s="90" t="str">
        <x:v>Inclement Weather &amp; Hazardous Conditions</x:v>
      </x:c>
      <x:c r="E601" s="90" t="str">
        <x:v>Core</x:v>
      </x:c>
      <x:c r="F601" s="90" t="str">
        <x:v>Yes</x:v>
      </x:c>
      <x:c r="G601" s="90" t="str">
        <x:v>Yes — bundled</x:v>
      </x:c>
      <x:c r="H601" s="90" t="str">
        <x:v>MSW Practice, Documentation, Coordination &amp; Field Safety</x:v>
      </x:c>
      <x:c r="I601" s="90" t="str">
        <x:v>80% quiz using psychosocial, SDOH, abuse, and escalation cases</x:v>
      </x:c>
      <x:c r="J601" s="90" t="str">
        <x:v>By day 14; before independent duty if earlier</x:v>
      </x:c>
      <x:c r="K601" s="90" t="str">
        <x:v>At hire; then on material revision</x:v>
      </x:c>
      <x:c r="L601" s="90" t="str">
        <x:v>Ready</x:v>
      </x:c>
      <x:c r="M601" s="90" t="str">
        <x:v>MSW duties center on psychosocial assessment, SDOH coordination, documentation, transitions, safety, and reporting.</x:v>
      </x:c>
      <x:c r="N601" s="90" t="str">
        <x:v>12-allPoliciesContent.generated.ts — OP-SL-007</x:v>
      </x:c>
      <x:c r="O601" s="90" t="str"/>
      <x:c r="P601" s="90" t="str"/>
    </x:row>
    <x:row r="602" ht="42" customHeight="1">
      <x:c r="A602" s="90" t="str">
        <x:v>MSW-01</x:v>
      </x:c>
      <x:c r="B602" s="90" t="str">
        <x:v>MSW</x:v>
      </x:c>
      <x:c r="C602" s="90" t="str">
        <x:v>RM-OS-002</x:v>
      </x:c>
      <x:c r="D602" s="90" t="str">
        <x:v>Aerosol Transmissible Disease (ATD) Exposure Control Plan</x:v>
      </x:c>
      <x:c r="E602" s="90" t="str">
        <x:v>Core</x:v>
      </x:c>
      <x:c r="F602" s="90" t="str">
        <x:v>Yes</x:v>
      </x:c>
      <x:c r="G602" s="90" t="str">
        <x:v>Yes — bundled</x:v>
      </x:c>
      <x:c r="H602" s="90" t="str">
        <x:v>MSW Practice, Documentation, Coordination &amp; Field Safety</x:v>
      </x:c>
      <x:c r="I602" s="90" t="str">
        <x:v>80% quiz using psychosocial, SDOH, abuse, and escalation cases</x:v>
      </x:c>
      <x:c r="J602" s="90" t="str">
        <x:v>By day 14; before independent duty if earlier</x:v>
      </x:c>
      <x:c r="K602" s="90" t="str">
        <x:v>At hire; then on material revision</x:v>
      </x:c>
      <x:c r="L602" s="90" t="str">
        <x:v>Ready</x:v>
      </x:c>
      <x:c r="M602" s="90" t="str">
        <x:v>MSW duties center on psychosocial assessment, SDOH coordination, documentation, transitions, safety, and reporting.</x:v>
      </x:c>
      <x:c r="N602" s="90" t="str">
        <x:v>12-allPoliciesContent.generated.ts — RM-OS-002</x:v>
      </x:c>
      <x:c r="O602" s="90" t="str">
        <x:v>https://www.dir.ca.gov/title8/5199.html</x:v>
      </x:c>
      <x:c r="P602" s="90" t="str"/>
    </x:row>
    <x:row r="603" ht="42" customHeight="1">
      <x:c r="A603" s="90" t="str">
        <x:v>MSW-01</x:v>
      </x:c>
      <x:c r="B603" s="90" t="str">
        <x:v>MSW</x:v>
      </x:c>
      <x:c r="C603" s="90" t="str">
        <x:v>RM-OS-003</x:v>
      </x:c>
      <x:c r="D603" s="90" t="str">
        <x:v>Bloodborne Pathogen (BBP) Exposure Control Plan</x:v>
      </x:c>
      <x:c r="E603" s="90" t="str">
        <x:v>Core</x:v>
      </x:c>
      <x:c r="F603" s="90" t="str">
        <x:v>Yes</x:v>
      </x:c>
      <x:c r="G603" s="90" t="str">
        <x:v>Yes — bundled</x:v>
      </x:c>
      <x:c r="H603" s="90" t="str">
        <x:v>MSW Practice, Documentation, Coordination &amp; Field Safety</x:v>
      </x:c>
      <x:c r="I603" s="90" t="str">
        <x:v>80% quiz using psychosocial, SDOH, abuse, and escalation cases</x:v>
      </x:c>
      <x:c r="J603" s="90" t="str">
        <x:v>By day 14; before independent duty if earlier</x:v>
      </x:c>
      <x:c r="K603" s="90" t="str">
        <x:v>At hire; then on material revision</x:v>
      </x:c>
      <x:c r="L603" s="90" t="str">
        <x:v>Ready</x:v>
      </x:c>
      <x:c r="M603" s="90" t="str">
        <x:v>MSW duties center on psychosocial assessment, SDOH coordination, documentation, transitions, safety, and reporting.</x:v>
      </x:c>
      <x:c r="N603" s="90" t="str">
        <x:v>12-allPoliciesContent.generated.ts — RM-OS-003</x:v>
      </x:c>
      <x:c r="O603" s="90" t="str">
        <x:v>https://www.dir.ca.gov/title8/5193.html</x:v>
      </x:c>
      <x:c r="P603" s="90" t="str"/>
    </x:row>
    <x:row r="604" ht="42" customHeight="1">
      <x:c r="A604" s="90" t="str">
        <x:v>MSW-01</x:v>
      </x:c>
      <x:c r="B604" s="90" t="str">
        <x:v>MSW</x:v>
      </x:c>
      <x:c r="C604" s="90" t="str">
        <x:v>RM-OS-004</x:v>
      </x:c>
      <x:c r="D604" s="90" t="str">
        <x:v>Heat Illness Prevention Program</x:v>
      </x:c>
      <x:c r="E604" s="90" t="str">
        <x:v>Conditional</x:v>
      </x:c>
      <x:c r="F604" s="90" t="str">
        <x:v>Yes</x:v>
      </x:c>
      <x:c r="G604" s="90" t="str">
        <x:v>Yes — bundled</x:v>
      </x:c>
      <x:c r="H604" s="90" t="str">
        <x:v>MSW Practice, Documentation, Coordination &amp; Field Safety</x:v>
      </x:c>
      <x:c r="I604" s="90" t="str">
        <x:v>80% quiz using psychosocial, SDOH, abuse, and escalation cases</x:v>
      </x:c>
      <x:c r="J604" s="90" t="str">
        <x:v>By day 14; before independent duty if earlier</x:v>
      </x:c>
      <x:c r="K604" s="90" t="str">
        <x:v>At hire; then on material revision</x:v>
      </x:c>
      <x:c r="L604" s="90" t="str">
        <x:v>Ready</x:v>
      </x:c>
      <x:c r="M604" s="90" t="str">
        <x:v>MSW duties center on psychosocial assessment, SDOH coordination, documentation, transitions, safety, and reporting.</x:v>
      </x:c>
      <x:c r="N604" s="90" t="str">
        <x:v>12-allPoliciesContent.generated.ts — RM-OS-004</x:v>
      </x:c>
      <x:c r="O604" s="90" t="str"/>
      <x:c r="P604" s="90" t="str"/>
    </x:row>
    <x:row r="605" ht="42" customHeight="1">
      <x:c r="A605" s="90" t="str">
        <x:v>MSW-01</x:v>
      </x:c>
      <x:c r="B605" s="90" t="str">
        <x:v>MSW</x:v>
      </x:c>
      <x:c r="C605" s="90" t="str">
        <x:v>RM-PS-001</x:v>
      </x:c>
      <x:c r="D605" s="90" t="str">
        <x:v>Environmental Safety Assessment</x:v>
      </x:c>
      <x:c r="E605" s="90" t="str">
        <x:v>Core</x:v>
      </x:c>
      <x:c r="F605" s="90" t="str">
        <x:v>Yes</x:v>
      </x:c>
      <x:c r="G605" s="90" t="str">
        <x:v>Yes — bundled</x:v>
      </x:c>
      <x:c r="H605" s="90" t="str">
        <x:v>MSW Practice, Documentation, Coordination &amp; Field Safety</x:v>
      </x:c>
      <x:c r="I605" s="90" t="str">
        <x:v>80% quiz using psychosocial, SDOH, abuse, and escalation cases</x:v>
      </x:c>
      <x:c r="J605" s="90" t="str">
        <x:v>By day 14; before independent duty if earlier</x:v>
      </x:c>
      <x:c r="K605" s="90" t="str">
        <x:v>At hire; then on material revision</x:v>
      </x:c>
      <x:c r="L605" s="90" t="str">
        <x:v>Ready</x:v>
      </x:c>
      <x:c r="M605" s="90" t="str">
        <x:v>MSW duties center on psychosocial assessment, SDOH coordination, documentation, transitions, safety, and reporting.</x:v>
      </x:c>
      <x:c r="N605" s="90" t="str">
        <x:v>12-allPoliciesContent.generated.ts — RM-PS-001</x:v>
      </x:c>
      <x:c r="O605" s="90" t="str"/>
      <x:c r="P605" s="90" t="str"/>
    </x:row>
    <x:row r="606" ht="42" customHeight="1">
      <x:c r="A606" s="90" t="str">
        <x:v>MSW-01</x:v>
      </x:c>
      <x:c r="B606" s="90" t="str">
        <x:v>MSW</x:v>
      </x:c>
      <x:c r="C606" s="90" t="str">
        <x:v>RM-PS-003</x:v>
      </x:c>
      <x:c r="D606" s="90" t="str">
        <x:v>Product &amp; Equipment Safety Recall Management</x:v>
      </x:c>
      <x:c r="E606" s="90" t="str">
        <x:v>Core</x:v>
      </x:c>
      <x:c r="F606" s="90" t="str">
        <x:v>Yes</x:v>
      </x:c>
      <x:c r="G606" s="90" t="str">
        <x:v>Yes — bundled</x:v>
      </x:c>
      <x:c r="H606" s="90" t="str">
        <x:v>MSW Practice, Documentation, Coordination &amp; Field Safety</x:v>
      </x:c>
      <x:c r="I606" s="90" t="str">
        <x:v>80% quiz using psychosocial, SDOH, abuse, and escalation cases</x:v>
      </x:c>
      <x:c r="J606" s="90" t="str">
        <x:v>By day 14; before independent duty if earlier</x:v>
      </x:c>
      <x:c r="K606" s="90" t="str">
        <x:v>At hire; then on material revision</x:v>
      </x:c>
      <x:c r="L606" s="90" t="str">
        <x:v>Ready</x:v>
      </x:c>
      <x:c r="M606" s="90" t="str">
        <x:v>MSW duties center on psychosocial assessment, SDOH coordination, documentation, transitions, safety, and reporting.</x:v>
      </x:c>
      <x:c r="N606" s="90" t="str">
        <x:v>12-allPoliciesContent.generated.ts — RM-PS-003</x:v>
      </x:c>
      <x:c r="O606" s="90" t="str"/>
      <x:c r="P606" s="90" t="str"/>
    </x:row>
    <x:row r="607" ht="42" customHeight="1">
      <x:c r="A607" s="90" t="str">
        <x:v>MSW-01</x:v>
      </x:c>
      <x:c r="B607" s="90" t="str">
        <x:v>MSW</x:v>
      </x:c>
      <x:c r="C607" s="90" t="str">
        <x:v>RM-SS-001</x:v>
      </x:c>
      <x:c r="D607" s="90" t="str">
        <x:v>Staff Safety &amp; Personal Security</x:v>
      </x:c>
      <x:c r="E607" s="90" t="str">
        <x:v>Core</x:v>
      </x:c>
      <x:c r="F607" s="90" t="str">
        <x:v>Yes</x:v>
      </x:c>
      <x:c r="G607" s="90" t="str">
        <x:v>Yes — bundled</x:v>
      </x:c>
      <x:c r="H607" s="90" t="str">
        <x:v>MSW Practice, Documentation, Coordination &amp; Field Safety</x:v>
      </x:c>
      <x:c r="I607" s="90" t="str">
        <x:v>80% quiz using psychosocial, SDOH, abuse, and escalation cases</x:v>
      </x:c>
      <x:c r="J607" s="90" t="str">
        <x:v>By day 14; before independent duty if earlier</x:v>
      </x:c>
      <x:c r="K607" s="90" t="str">
        <x:v>At hire; then on material revision</x:v>
      </x:c>
      <x:c r="L607" s="90" t="str">
        <x:v>Ready</x:v>
      </x:c>
      <x:c r="M607" s="90" t="str">
        <x:v>MSW duties center on psychosocial assessment, SDOH coordination, documentation, transitions, safety, and reporting.</x:v>
      </x:c>
      <x:c r="N607" s="90" t="str">
        <x:v>12-allPoliciesContent.generated.ts — RM-SS-001</x:v>
      </x:c>
      <x:c r="O607" s="90" t="str"/>
      <x:c r="P607" s="90" t="str"/>
    </x:row>
    <x:row r="608" ht="42" customHeight="1">
      <x:c r="A608" s="90" t="str">
        <x:v>MSW-01</x:v>
      </x:c>
      <x:c r="B608" s="90" t="str">
        <x:v>MSW</x:v>
      </x:c>
      <x:c r="C608" s="90" t="str">
        <x:v>RM-SS-003</x:v>
      </x:c>
      <x:c r="D608" s="90" t="str">
        <x:v>Motor Vehicle Safety &amp; Accident Reporting</x:v>
      </x:c>
      <x:c r="E608" s="90" t="str">
        <x:v>Conditional</x:v>
      </x:c>
      <x:c r="F608" s="90" t="str">
        <x:v>Yes</x:v>
      </x:c>
      <x:c r="G608" s="90" t="str">
        <x:v>Yes — bundled</x:v>
      </x:c>
      <x:c r="H608" s="90" t="str">
        <x:v>MSW Practice, Documentation, Coordination &amp; Field Safety</x:v>
      </x:c>
      <x:c r="I608" s="90" t="str">
        <x:v>80% quiz using psychosocial, SDOH, abuse, and escalation cases</x:v>
      </x:c>
      <x:c r="J608" s="90" t="str">
        <x:v>By day 14; before independent duty if earlier</x:v>
      </x:c>
      <x:c r="K608" s="90" t="str">
        <x:v>At hire; then on material revision</x:v>
      </x:c>
      <x:c r="L608" s="90" t="str">
        <x:v>Ready</x:v>
      </x:c>
      <x:c r="M608" s="90" t="str">
        <x:v>MSW duties center on psychosocial assessment, SDOH coordination, documentation, transitions, safety, and reporting.</x:v>
      </x:c>
      <x:c r="N608" s="90" t="str">
        <x:v>12-allPoliciesContent.generated.ts — RM-SS-003</x:v>
      </x:c>
      <x:c r="O608" s="90" t="str"/>
      <x:c r="P608" s="90" t="str"/>
    </x:row>
    <x:row r="609" ht="42" customHeight="1">
      <x:c r="A609" s="90" t="str">
        <x:v>MSW-01</x:v>
      </x:c>
      <x:c r="B609" s="90" t="str">
        <x:v>MSW</x:v>
      </x:c>
      <x:c r="C609" s="90" t="str">
        <x:v>OP-SL-003</x:v>
      </x:c>
      <x:c r="D609" s="90" t="str">
        <x:v>Vehicle &amp; Transportation Safety</x:v>
      </x:c>
      <x:c r="E609" s="90" t="str">
        <x:v>Conditional</x:v>
      </x:c>
      <x:c r="F609" s="90" t="str">
        <x:v>Yes</x:v>
      </x:c>
      <x:c r="G609" s="90" t="str">
        <x:v>Yes — bundled</x:v>
      </x:c>
      <x:c r="H609" s="90" t="str">
        <x:v>MSW Practice, Documentation, Coordination &amp; Field Safety</x:v>
      </x:c>
      <x:c r="I609" s="90" t="str">
        <x:v>80% quiz using psychosocial, SDOH, abuse, and escalation cases</x:v>
      </x:c>
      <x:c r="J609" s="90" t="str">
        <x:v>By day 14; before independent duty if earlier</x:v>
      </x:c>
      <x:c r="K609" s="90" t="str">
        <x:v>At hire; then on material revision</x:v>
      </x:c>
      <x:c r="L609" s="90" t="str">
        <x:v>Ready</x:v>
      </x:c>
      <x:c r="M609" s="90" t="str">
        <x:v>MSW duties center on psychosocial assessment, SDOH coordination, documentation, transitions, safety, and reporting.</x:v>
      </x:c>
      <x:c r="N609" s="90" t="str">
        <x:v>12-allPoliciesContent.generated.ts — OP-SL-003</x:v>
      </x:c>
      <x:c r="O609" s="90" t="str"/>
      <x:c r="P609" s="90" t="str"/>
    </x:row>
    <x:row r="610" ht="42" customHeight="1">
      <x:c r="A610" s="90" t="str">
        <x:v>MSW-01</x:v>
      </x:c>
      <x:c r="B610" s="90" t="str">
        <x:v>MSW</x:v>
      </x:c>
      <x:c r="C610" s="90" t="str">
        <x:v>CL-SD-014</x:v>
      </x:c>
      <x:c r="D610" s="90" t="str">
        <x:v>Pain Assessment &amp; Management</x:v>
      </x:c>
      <x:c r="E610" s="90" t="str">
        <x:v>Core</x:v>
      </x:c>
      <x:c r="F610" s="90" t="str">
        <x:v>Yes</x:v>
      </x:c>
      <x:c r="G610" s="90" t="str">
        <x:v>Yes — bundled</x:v>
      </x:c>
      <x:c r="H610" s="90" t="str">
        <x:v>MSW Practice, Documentation, Coordination &amp; Field Safety</x:v>
      </x:c>
      <x:c r="I610" s="90" t="str">
        <x:v>80% quiz using psychosocial, SDOH, abuse, and escalation cases</x:v>
      </x:c>
      <x:c r="J610" s="90" t="str">
        <x:v>By day 14; before independent duty if earlier</x:v>
      </x:c>
      <x:c r="K610" s="90" t="str">
        <x:v>At hire; then on material revision</x:v>
      </x:c>
      <x:c r="L610" s="90" t="str">
        <x:v>Ready</x:v>
      </x:c>
      <x:c r="M610" s="90" t="str">
        <x:v>MSW duties center on psychosocial assessment, SDOH coordination, documentation, transitions, safety, and reporting.</x:v>
      </x:c>
      <x:c r="N610" s="90" t="str">
        <x:v>12-allPoliciesContent.generated.ts — CL-SD-014</x:v>
      </x:c>
      <x:c r="O610" s="90" t="str">
        <x:v>https://www.ecfr.gov/current/title-42/part-484/section-484.75</x:v>
      </x:c>
      <x:c r="P610" s="90" t="str"/>
    </x:row>
    <x:row r="611" ht="42" customHeight="1">
      <x:c r="A611" s="90" t="str">
        <x:v>MSW-01</x:v>
      </x:c>
      <x:c r="B611" s="90" t="str">
        <x:v>MSW</x:v>
      </x:c>
      <x:c r="C611" s="90" t="str">
        <x:v>CL-SD-015</x:v>
      </x:c>
      <x:c r="D611" s="90" t="str">
        <x:v>Fall Risk Assessment &amp; Prevention</x:v>
      </x:c>
      <x:c r="E611" s="90" t="str">
        <x:v>Core</x:v>
      </x:c>
      <x:c r="F611" s="90" t="str">
        <x:v>Yes</x:v>
      </x:c>
      <x:c r="G611" s="90" t="str">
        <x:v>Yes — bundled</x:v>
      </x:c>
      <x:c r="H611" s="90" t="str">
        <x:v>MSW Practice, Documentation, Coordination &amp; Field Safety</x:v>
      </x:c>
      <x:c r="I611" s="90" t="str">
        <x:v>80% quiz using psychosocial, SDOH, abuse, and escalation cases</x:v>
      </x:c>
      <x:c r="J611" s="90" t="str">
        <x:v>By day 14; before independent duty if earlier</x:v>
      </x:c>
      <x:c r="K611" s="90" t="str">
        <x:v>At hire; then on material revision</x:v>
      </x:c>
      <x:c r="L611" s="90" t="str">
        <x:v>Ready</x:v>
      </x:c>
      <x:c r="M611" s="90" t="str">
        <x:v>MSW duties center on psychosocial assessment, SDOH coordination, documentation, transitions, safety, and reporting.</x:v>
      </x:c>
      <x:c r="N611" s="90" t="str">
        <x:v>12-allPoliciesContent.generated.ts — CL-SD-015</x:v>
      </x:c>
      <x:c r="O611" s="90" t="str">
        <x:v>https://www.ecfr.gov/current/title-42/part-484/section-484.75</x:v>
      </x:c>
      <x:c r="P611" s="90" t="str"/>
    </x:row>
    <x:row r="612" ht="42" customHeight="1">
      <x:c r="A612" s="90" t="str">
        <x:v>MSW-01</x:v>
      </x:c>
      <x:c r="B612" s="90" t="str">
        <x:v>MSW</x:v>
      </x:c>
      <x:c r="C612" s="90" t="str">
        <x:v>CL-SD-016</x:v>
      </x:c>
      <x:c r="D612" s="90" t="str">
        <x:v>Infection Prevention &amp; Control</x:v>
      </x:c>
      <x:c r="E612" s="90" t="str">
        <x:v>Core</x:v>
      </x:c>
      <x:c r="F612" s="90" t="str">
        <x:v>Yes</x:v>
      </x:c>
      <x:c r="G612" s="90" t="str">
        <x:v>Yes — bundled</x:v>
      </x:c>
      <x:c r="H612" s="90" t="str">
        <x:v>MSW Practice, Documentation, Coordination &amp; Field Safety</x:v>
      </x:c>
      <x:c r="I612" s="90" t="str">
        <x:v>80% quiz using psychosocial, SDOH, abuse, and escalation cases</x:v>
      </x:c>
      <x:c r="J612" s="90" t="str">
        <x:v>By day 14; before independent duty if earlier</x:v>
      </x:c>
      <x:c r="K612" s="90" t="str">
        <x:v>At hire; then on material revision</x:v>
      </x:c>
      <x:c r="L612" s="90" t="str">
        <x:v>Ready</x:v>
      </x:c>
      <x:c r="M612" s="90" t="str">
        <x:v>MSW duties center on psychosocial assessment, SDOH coordination, documentation, transitions, safety, and reporting.</x:v>
      </x:c>
      <x:c r="N612" s="90" t="str">
        <x:v>12-allPoliciesContent.generated.ts — CL-SD-016</x:v>
      </x:c>
      <x:c r="O612" s="90" t="str">
        <x:v>https://www.ecfr.gov/current/title-42/part-484/section-484.75</x:v>
      </x:c>
      <x:c r="P612" s="90" t="str"/>
    </x:row>
    <x:row r="613" ht="42" customHeight="1">
      <x:c r="A613" s="90" t="str">
        <x:v>MSW-01</x:v>
      </x:c>
      <x:c r="B613" s="90" t="str">
        <x:v>MSW</x:v>
      </x:c>
      <x:c r="C613" s="90" t="str">
        <x:v>CL-SD-017</x:v>
      </x:c>
      <x:c r="D613" s="90" t="str">
        <x:v>Patient Education &amp; Self-Management</x:v>
      </x:c>
      <x:c r="E613" s="90" t="str">
        <x:v>Core</x:v>
      </x:c>
      <x:c r="F613" s="90" t="str">
        <x:v>Yes</x:v>
      </x:c>
      <x:c r="G613" s="90" t="str">
        <x:v>Yes — bundled</x:v>
      </x:c>
      <x:c r="H613" s="90" t="str">
        <x:v>MSW Practice, Documentation, Coordination &amp; Field Safety</x:v>
      </x:c>
      <x:c r="I613" s="90" t="str">
        <x:v>80% quiz using psychosocial, SDOH, abuse, and escalation cases</x:v>
      </x:c>
      <x:c r="J613" s="90" t="str">
        <x:v>By day 14; before independent duty if earlier</x:v>
      </x:c>
      <x:c r="K613" s="90" t="str">
        <x:v>At hire; then on material revision</x:v>
      </x:c>
      <x:c r="L613" s="90" t="str">
        <x:v>Ready</x:v>
      </x:c>
      <x:c r="M613" s="90" t="str">
        <x:v>MSW duties center on psychosocial assessment, SDOH coordination, documentation, transitions, safety, and reporting.</x:v>
      </x:c>
      <x:c r="N613" s="90" t="str">
        <x:v>12-allPoliciesContent.generated.ts — CL-SD-017</x:v>
      </x:c>
      <x:c r="O613" s="90" t="str">
        <x:v>https://www.ecfr.gov/current/title-42/part-484/section-484.75</x:v>
      </x:c>
      <x:c r="P613" s="90" t="str"/>
    </x:row>
    <x:row r="614" ht="42" customHeight="1">
      <x:c r="A614" s="90" t="str">
        <x:v>MSW-01</x:v>
      </x:c>
      <x:c r="B614" s="90" t="str">
        <x:v>MSW</x:v>
      </x:c>
      <x:c r="C614" s="90" t="str">
        <x:v>CL-SD-021</x:v>
      </x:c>
      <x:c r="D614" s="90" t="str">
        <x:v>Pediatric Home Health Services</x:v>
      </x:c>
      <x:c r="E614" s="90" t="str">
        <x:v>Conditional</x:v>
      </x:c>
      <x:c r="F614" s="90" t="str">
        <x:v>Yes</x:v>
      </x:c>
      <x:c r="G614" s="90" t="str">
        <x:v>Yes — bundled</x:v>
      </x:c>
      <x:c r="H614" s="90" t="str">
        <x:v>MSW Practice, Documentation, Coordination &amp; Field Safety</x:v>
      </x:c>
      <x:c r="I614" s="90" t="str">
        <x:v>80% quiz using psychosocial, SDOH, abuse, and escalation cases</x:v>
      </x:c>
      <x:c r="J614" s="90" t="str">
        <x:v>By day 14; before independent duty if earlier</x:v>
      </x:c>
      <x:c r="K614" s="90" t="str">
        <x:v>At hire; then on material revision</x:v>
      </x:c>
      <x:c r="L614" s="90" t="str">
        <x:v>Ready</x:v>
      </x:c>
      <x:c r="M614" s="90" t="str">
        <x:v>MSW duties center on psychosocial assessment, SDOH coordination, documentation, transitions, safety, and reporting.</x:v>
      </x:c>
      <x:c r="N614" s="90" t="str">
        <x:v>12-allPoliciesContent.generated.ts — CL-SD-021</x:v>
      </x:c>
      <x:c r="O614" s="90" t="str">
        <x:v>https://www.ecfr.gov/current/title-42/part-484/section-484.75</x:v>
      </x:c>
      <x:c r="P614" s="90" t="str"/>
    </x:row>
    <x:row r="615" ht="42" customHeight="1">
      <x:c r="A615" s="90" t="str">
        <x:v>MSW-01</x:v>
      </x:c>
      <x:c r="B615" s="90" t="str">
        <x:v>MSW</x:v>
      </x:c>
      <x:c r="C615" s="90" t="str">
        <x:v>CL-SD-022</x:v>
      </x:c>
      <x:c r="D615" s="90" t="str">
        <x:v>Behavioral Health Screening &amp; Referral</x:v>
      </x:c>
      <x:c r="E615" s="90" t="str">
        <x:v>Conditional</x:v>
      </x:c>
      <x:c r="F615" s="90" t="str">
        <x:v>Yes</x:v>
      </x:c>
      <x:c r="G615" s="90" t="str">
        <x:v>Yes — bundled</x:v>
      </x:c>
      <x:c r="H615" s="90" t="str">
        <x:v>MSW Practice, Documentation, Coordination &amp; Field Safety</x:v>
      </x:c>
      <x:c r="I615" s="90" t="str">
        <x:v>80% quiz using psychosocial, SDOH, abuse, and escalation cases</x:v>
      </x:c>
      <x:c r="J615" s="90" t="str">
        <x:v>By day 14; before independent duty if earlier</x:v>
      </x:c>
      <x:c r="K615" s="90" t="str">
        <x:v>At hire; then on material revision</x:v>
      </x:c>
      <x:c r="L615" s="90" t="str">
        <x:v>Ready</x:v>
      </x:c>
      <x:c r="M615" s="90" t="str">
        <x:v>MSW duties center on psychosocial assessment, SDOH coordination, documentation, transitions, safety, and reporting.</x:v>
      </x:c>
      <x:c r="N615" s="90" t="str">
        <x:v>12-allPoliciesContent.generated.ts — CL-SD-022</x:v>
      </x:c>
      <x:c r="O615" s="90" t="str">
        <x:v>https://www.ecfr.gov/current/title-42/part-484/section-484.75</x:v>
      </x:c>
      <x:c r="P615" s="90" t="str"/>
    </x:row>
    <x:row r="616" ht="42" customHeight="1">
      <x:c r="A616" s="90" t="str">
        <x:v>MSW-01</x:v>
      </x:c>
      <x:c r="B616" s="90" t="str">
        <x:v>MSW</x:v>
      </x:c>
      <x:c r="C616" s="90" t="str">
        <x:v>CL-SD-023</x:v>
      </x:c>
      <x:c r="D616" s="90" t="str">
        <x:v>Palliative &amp; End-of-Life Care</x:v>
      </x:c>
      <x:c r="E616" s="90" t="str">
        <x:v>Conditional</x:v>
      </x:c>
      <x:c r="F616" s="90" t="str">
        <x:v>Yes</x:v>
      </x:c>
      <x:c r="G616" s="90" t="str">
        <x:v>Yes — bundled</x:v>
      </x:c>
      <x:c r="H616" s="90" t="str">
        <x:v>MSW Practice, Documentation, Coordination &amp; Field Safety</x:v>
      </x:c>
      <x:c r="I616" s="90" t="str">
        <x:v>80% quiz using psychosocial, SDOH, abuse, and escalation cases</x:v>
      </x:c>
      <x:c r="J616" s="90" t="str">
        <x:v>By day 14; before independent duty if earlier</x:v>
      </x:c>
      <x:c r="K616" s="90" t="str">
        <x:v>At hire; then on material revision</x:v>
      </x:c>
      <x:c r="L616" s="90" t="str">
        <x:v>Ready</x:v>
      </x:c>
      <x:c r="M616" s="90" t="str">
        <x:v>MSW duties center on psychosocial assessment, SDOH coordination, documentation, transitions, safety, and reporting.</x:v>
      </x:c>
      <x:c r="N616" s="90" t="str">
        <x:v>12-allPoliciesContent.generated.ts — CL-SD-023</x:v>
      </x:c>
      <x:c r="O616" s="90" t="str">
        <x:v>https://www.ecfr.gov/current/title-42/part-484/section-484.75</x:v>
      </x:c>
      <x:c r="P616" s="90" t="str"/>
    </x:row>
    <x:row r="617" ht="42" customHeight="1">
      <x:c r="A617" s="90" t="str">
        <x:v>MSW-01</x:v>
      </x:c>
      <x:c r="B617" s="90" t="str">
        <x:v>MSW</x:v>
      </x:c>
      <x:c r="C617" s="90" t="str">
        <x:v>CL-SD-024</x:v>
      </x:c>
      <x:c r="D617" s="90" t="str">
        <x:v>Missed Visit &amp; Rescheduling</x:v>
      </x:c>
      <x:c r="E617" s="90" t="str">
        <x:v>Core</x:v>
      </x:c>
      <x:c r="F617" s="90" t="str">
        <x:v>Yes</x:v>
      </x:c>
      <x:c r="G617" s="90" t="str">
        <x:v>Yes — bundled</x:v>
      </x:c>
      <x:c r="H617" s="90" t="str">
        <x:v>MSW Practice, Documentation, Coordination &amp; Field Safety</x:v>
      </x:c>
      <x:c r="I617" s="90" t="str">
        <x:v>80% quiz using psychosocial, SDOH, abuse, and escalation cases</x:v>
      </x:c>
      <x:c r="J617" s="90" t="str">
        <x:v>By day 14; before independent duty if earlier</x:v>
      </x:c>
      <x:c r="K617" s="90" t="str">
        <x:v>At hire; then on material revision</x:v>
      </x:c>
      <x:c r="L617" s="90" t="str">
        <x:v>Ready</x:v>
      </x:c>
      <x:c r="M617" s="90" t="str">
        <x:v>MSW duties center on psychosocial assessment, SDOH coordination, documentation, transitions, safety, and reporting.</x:v>
      </x:c>
      <x:c r="N617" s="90" t="str">
        <x:v>12-allPoliciesContent.generated.ts — CL-SD-024</x:v>
      </x:c>
      <x:c r="O617" s="90" t="str">
        <x:v>https://www.ecfr.gov/current/title-42/part-484/section-484.75</x:v>
      </x:c>
      <x:c r="P617" s="90" t="str"/>
    </x:row>
    <x:row r="618" ht="42" customHeight="1">
      <x:c r="A618" s="90" t="str">
        <x:v>MSW-01</x:v>
      </x:c>
      <x:c r="B618" s="90" t="str">
        <x:v>MSW</x:v>
      </x:c>
      <x:c r="C618" s="90" t="str">
        <x:v>CL-SD-025</x:v>
      </x:c>
      <x:c r="D618" s="90" t="str">
        <x:v>Ordered Visit Frequency Compliance &amp; Monitoring</x:v>
      </x:c>
      <x:c r="E618" s="90" t="str">
        <x:v>Core</x:v>
      </x:c>
      <x:c r="F618" s="90" t="str">
        <x:v>Yes</x:v>
      </x:c>
      <x:c r="G618" s="90" t="str">
        <x:v>Yes — bundled</x:v>
      </x:c>
      <x:c r="H618" s="90" t="str">
        <x:v>MSW Practice, Documentation, Coordination &amp; Field Safety</x:v>
      </x:c>
      <x:c r="I618" s="90" t="str">
        <x:v>80% quiz using psychosocial, SDOH, abuse, and escalation cases</x:v>
      </x:c>
      <x:c r="J618" s="90" t="str">
        <x:v>By day 14; before independent duty if earlier</x:v>
      </x:c>
      <x:c r="K618" s="90" t="str">
        <x:v>At hire; then on material revision</x:v>
      </x:c>
      <x:c r="L618" s="90" t="str">
        <x:v>Ready</x:v>
      </x:c>
      <x:c r="M618" s="90" t="str">
        <x:v>MSW duties center on psychosocial assessment, SDOH coordination, documentation, transitions, safety, and reporting.</x:v>
      </x:c>
      <x:c r="N618" s="90" t="str">
        <x:v>12-allPoliciesContent.generated.ts — CL-SD-025</x:v>
      </x:c>
      <x:c r="O618" s="90" t="str">
        <x:v>https://www.ecfr.gov/current/title-42/part-484/section-484.75</x:v>
      </x:c>
      <x:c r="P618" s="90" t="str"/>
    </x:row>
    <x:row r="619" ht="42" customHeight="1">
      <x:c r="A619" s="90" t="str">
        <x:v>ADM-01</x:v>
      </x:c>
      <x:c r="B619" s="90" t="str">
        <x:v>ADM</x:v>
      </x:c>
      <x:c r="C619" s="90" t="str">
        <x:v>HR-JD-001</x:v>
      </x:c>
      <x:c r="D619" s="90" t="str">
        <x:v>Administrator — Job Description</x:v>
      </x:c>
      <x:c r="E619" s="90" t="str">
        <x:v>Core</x:v>
      </x:c>
      <x:c r="F619" s="90" t="str">
        <x:v>Yes</x:v>
      </x:c>
      <x:c r="G619" s="90" t="str">
        <x:v>Yes — bundled</x:v>
      </x:c>
      <x:c r="H619" s="90" t="str">
        <x:v>Administrator Authority, Accountability &amp; Delegation</x:v>
      </x:c>
      <x:c r="I619" s="90" t="str">
        <x:v>80% leadership scenario quiz</x:v>
      </x:c>
      <x:c r="J619" s="90" t="str">
        <x:v>By day 14; before independent duty if earlier</x:v>
      </x:c>
      <x:c r="K619" s="90" t="str">
        <x:v>At hire; then on material revision</x:v>
      </x:c>
      <x:c r="L619" s="90" t="str">
        <x:v>Partial hold</x:v>
      </x:c>
      <x:c r="M619" s="90" t="str">
        <x:v>The Administrator must understand delegated authority, reporting, agency scope, and accountability to the Governing Body.</x:v>
      </x:c>
      <x:c r="N619" s="90" t="str">
        <x:v>12-allPoliciesContent.generated.ts — HR-JD-001</x:v>
      </x:c>
      <x:c r="O619" s="90" t="str">
        <x:v>https://www.ecfr.gov/current/title-42/part-484/section-484.105</x:v>
      </x:c>
      <x:c r="P619" s="90" t="str"/>
    </x:row>
    <x:row r="620" ht="42" customHeight="1">
      <x:c r="A620" s="90" t="str">
        <x:v>ADM-01</x:v>
      </x:c>
      <x:c r="B620" s="90" t="str">
        <x:v>ADM</x:v>
      </x:c>
      <x:c r="C620" s="90" t="str">
        <x:v>HR-JD-000</x:v>
      </x:c>
      <x:c r="D620" s="90" t="str">
        <x:v>Job Description Framework &amp; Organizational Chart</x:v>
      </x:c>
      <x:c r="E620" s="90" t="str">
        <x:v>Core</x:v>
      </x:c>
      <x:c r="F620" s="90" t="str">
        <x:v>Yes</x:v>
      </x:c>
      <x:c r="G620" s="90" t="str">
        <x:v>Yes — bundled</x:v>
      </x:c>
      <x:c r="H620" s="90" t="str">
        <x:v>Administrator Authority, Accountability &amp; Delegation</x:v>
      </x:c>
      <x:c r="I620" s="90" t="str">
        <x:v>80% leadership scenario quiz</x:v>
      </x:c>
      <x:c r="J620" s="90" t="str">
        <x:v>By day 14; before independent duty if earlier</x:v>
      </x:c>
      <x:c r="K620" s="90" t="str">
        <x:v>At hire; then on material revision</x:v>
      </x:c>
      <x:c r="L620" s="90" t="str">
        <x:v>Partial hold</x:v>
      </x:c>
      <x:c r="M620" s="90" t="str">
        <x:v>The Administrator must understand delegated authority, reporting, agency scope, and accountability to the Governing Body.</x:v>
      </x:c>
      <x:c r="N620" s="90" t="str">
        <x:v>12-allPoliciesContent.generated.ts — HR-JD-000</x:v>
      </x:c>
      <x:c r="O620" s="90" t="str">
        <x:v>https://www.ecfr.gov/current/title-42/part-484/section-484.105</x:v>
      </x:c>
      <x:c r="P620" s="90" t="str"/>
    </x:row>
    <x:row r="621" ht="42" customHeight="1">
      <x:c r="A621" s="90" t="str">
        <x:v>ADM-01</x:v>
      </x:c>
      <x:c r="B621" s="90" t="str">
        <x:v>ADM</x:v>
      </x:c>
      <x:c r="C621" s="90" t="str">
        <x:v>GV-GB-001</x:v>
      </x:c>
      <x:c r="D621" s="90" t="str">
        <x:v>Governing Body Authority &amp; Responsibilities (absent from generated library)</x:v>
      </x:c>
      <x:c r="E621" s="90" t="str">
        <x:v>Hold</x:v>
      </x:c>
      <x:c r="F621" s="90" t="str">
        <x:v>Yes</x:v>
      </x:c>
      <x:c r="G621" s="90" t="str">
        <x:v>Yes — bundled</x:v>
      </x:c>
      <x:c r="H621" s="90" t="str">
        <x:v>Administrator Authority, Accountability &amp; Delegation</x:v>
      </x:c>
      <x:c r="I621" s="90" t="str">
        <x:v>80% leadership scenario quiz</x:v>
      </x:c>
      <x:c r="J621" s="90" t="str">
        <x:v>By day 14; before independent duty if earlier</x:v>
      </x:c>
      <x:c r="K621" s="90" t="str">
        <x:v>At hire; then on material revision</x:v>
      </x:c>
      <x:c r="L621" s="90" t="str">
        <x:v>Hold</x:v>
      </x:c>
      <x:c r="M621" s="90" t="str">
        <x:v>The Administrator must understand delegated authority, reporting, agency scope, and accountability to the Governing Body.</x:v>
      </x:c>
      <x:c r="N621" s="90" t="str">
        <x:v>07-ALL_POLICIES.md (raw body); absent from 12-allPoliciesContent.generated.ts</x:v>
      </x:c>
      <x:c r="O621" s="90" t="str">
        <x:v>https://www.ecfr.gov/current/title-42/part-484/section-484.105</x:v>
      </x:c>
      <x:c r="P621" s="90" t="str"/>
    </x:row>
    <x:row r="622" ht="42" customHeight="1">
      <x:c r="A622" s="90" t="str">
        <x:v>ADM-01</x:v>
      </x:c>
      <x:c r="B622" s="90" t="str">
        <x:v>ADM</x:v>
      </x:c>
      <x:c r="C622" s="90" t="str">
        <x:v>GV-OG-001</x:v>
      </x:c>
      <x:c r="D622" s="90" t="str">
        <x:v>Organizational Structure &amp; Reporting</x:v>
      </x:c>
      <x:c r="E622" s="90" t="str">
        <x:v>Core</x:v>
      </x:c>
      <x:c r="F622" s="90" t="str">
        <x:v>Yes</x:v>
      </x:c>
      <x:c r="G622" s="90" t="str">
        <x:v>Yes — bundled</x:v>
      </x:c>
      <x:c r="H622" s="90" t="str">
        <x:v>Administrator Authority, Accountability &amp; Delegation</x:v>
      </x:c>
      <x:c r="I622" s="90" t="str">
        <x:v>80% leadership scenario quiz</x:v>
      </x:c>
      <x:c r="J622" s="90" t="str">
        <x:v>By day 14; before independent duty if earlier</x:v>
      </x:c>
      <x:c r="K622" s="90" t="str">
        <x:v>At hire; then on material revision</x:v>
      </x:c>
      <x:c r="L622" s="90" t="str">
        <x:v>Partial hold</x:v>
      </x:c>
      <x:c r="M622" s="90" t="str">
        <x:v>The Administrator must understand delegated authority, reporting, agency scope, and accountability to the Governing Body.</x:v>
      </x:c>
      <x:c r="N622" s="90" t="str">
        <x:v>12-allPoliciesContent.generated.ts — GV-OG-001</x:v>
      </x:c>
      <x:c r="O622" s="90" t="str">
        <x:v>https://www.ecfr.gov/current/title-42/part-484/section-484.105</x:v>
      </x:c>
      <x:c r="P622" s="90" t="str"/>
    </x:row>
    <x:row r="623" ht="42" customHeight="1">
      <x:c r="A623" s="90" t="str">
        <x:v>ADM-01</x:v>
      </x:c>
      <x:c r="B623" s="90" t="str">
        <x:v>ADM</x:v>
      </x:c>
      <x:c r="C623" s="90" t="str">
        <x:v>GV-OG-002</x:v>
      </x:c>
      <x:c r="D623" s="90" t="str">
        <x:v>Administrator Qualifications &amp; Responsibilities</x:v>
      </x:c>
      <x:c r="E623" s="90" t="str">
        <x:v>Core</x:v>
      </x:c>
      <x:c r="F623" s="90" t="str">
        <x:v>Yes</x:v>
      </x:c>
      <x:c r="G623" s="90" t="str">
        <x:v>Yes — bundled</x:v>
      </x:c>
      <x:c r="H623" s="90" t="str">
        <x:v>Administrator Authority, Accountability &amp; Delegation</x:v>
      </x:c>
      <x:c r="I623" s="90" t="str">
        <x:v>80% leadership scenario quiz</x:v>
      </x:c>
      <x:c r="J623" s="90" t="str">
        <x:v>By day 14; before independent duty if earlier</x:v>
      </x:c>
      <x:c r="K623" s="90" t="str">
        <x:v>At hire; then on material revision</x:v>
      </x:c>
      <x:c r="L623" s="90" t="str">
        <x:v>Partial hold</x:v>
      </x:c>
      <x:c r="M623" s="90" t="str">
        <x:v>The Administrator must understand delegated authority, reporting, agency scope, and accountability to the Governing Body.</x:v>
      </x:c>
      <x:c r="N623" s="90" t="str">
        <x:v>12-allPoliciesContent.generated.ts — GV-OG-002</x:v>
      </x:c>
      <x:c r="O623" s="90" t="str">
        <x:v>https://www.ecfr.gov/current/title-42/part-484/section-484.105</x:v>
      </x:c>
      <x:c r="P623" s="90" t="str"/>
    </x:row>
    <x:row r="624" ht="42" customHeight="1">
      <x:c r="A624" s="90" t="str">
        <x:v>ADM-01</x:v>
      </x:c>
      <x:c r="B624" s="90" t="str">
        <x:v>ADM</x:v>
      </x:c>
      <x:c r="C624" s="90" t="str">
        <x:v>GV-OG-003</x:v>
      </x:c>
      <x:c r="D624" s="90" t="str">
        <x:v>Scope of Services Definition</x:v>
      </x:c>
      <x:c r="E624" s="90" t="str">
        <x:v>Core</x:v>
      </x:c>
      <x:c r="F624" s="90" t="str">
        <x:v>Yes</x:v>
      </x:c>
      <x:c r="G624" s="90" t="str">
        <x:v>Yes — bundled</x:v>
      </x:c>
      <x:c r="H624" s="90" t="str">
        <x:v>Administrator Authority, Accountability &amp; Delegation</x:v>
      </x:c>
      <x:c r="I624" s="90" t="str">
        <x:v>80% leadership scenario quiz</x:v>
      </x:c>
      <x:c r="J624" s="90" t="str">
        <x:v>By day 14; before independent duty if earlier</x:v>
      </x:c>
      <x:c r="K624" s="90" t="str">
        <x:v>At hire; then on material revision</x:v>
      </x:c>
      <x:c r="L624" s="90" t="str">
        <x:v>Partial hold</x:v>
      </x:c>
      <x:c r="M624" s="90" t="str">
        <x:v>The Administrator must understand delegated authority, reporting, agency scope, and accountability to the Governing Body.</x:v>
      </x:c>
      <x:c r="N624" s="90" t="str">
        <x:v>12-allPoliciesContent.generated.ts — GV-OG-003</x:v>
      </x:c>
      <x:c r="O624" s="90" t="str">
        <x:v>https://www.ecfr.gov/current/title-42/part-484/section-484.105</x:v>
      </x:c>
      <x:c r="P624" s="90" t="str"/>
    </x:row>
    <x:row r="625" ht="42" customHeight="1">
      <x:c r="A625" s="90" t="str">
        <x:v>ADM-01</x:v>
      </x:c>
      <x:c r="B625" s="90" t="str">
        <x:v>ADM</x:v>
      </x:c>
      <x:c r="C625" s="90" t="str">
        <x:v>GV-OG-005</x:v>
      </x:c>
      <x:c r="D625" s="90" t="str">
        <x:v>Delegation of Authority</x:v>
      </x:c>
      <x:c r="E625" s="90" t="str">
        <x:v>Core</x:v>
      </x:c>
      <x:c r="F625" s="90" t="str">
        <x:v>Yes</x:v>
      </x:c>
      <x:c r="G625" s="90" t="str">
        <x:v>Yes — bundled</x:v>
      </x:c>
      <x:c r="H625" s="90" t="str">
        <x:v>Administrator Authority, Accountability &amp; Delegation</x:v>
      </x:c>
      <x:c r="I625" s="90" t="str">
        <x:v>80% leadership scenario quiz</x:v>
      </x:c>
      <x:c r="J625" s="90" t="str">
        <x:v>By day 14; before independent duty if earlier</x:v>
      </x:c>
      <x:c r="K625" s="90" t="str">
        <x:v>At hire; then on material revision</x:v>
      </x:c>
      <x:c r="L625" s="90" t="str">
        <x:v>Partial hold</x:v>
      </x:c>
      <x:c r="M625" s="90" t="str">
        <x:v>The Administrator must understand delegated authority, reporting, agency scope, and accountability to the Governing Body.</x:v>
      </x:c>
      <x:c r="N625" s="90" t="str">
        <x:v>12-allPoliciesContent.generated.ts — GV-OG-005</x:v>
      </x:c>
      <x:c r="O625" s="90" t="str">
        <x:v>https://www.ecfr.gov/current/title-42/part-484/section-484.105</x:v>
      </x:c>
      <x:c r="P625" s="90" t="str"/>
    </x:row>
    <x:row r="626" ht="42" customHeight="1">
      <x:c r="A626" s="90" t="str">
        <x:v>ADM-02</x:v>
      </x:c>
      <x:c r="B626" s="90" t="str">
        <x:v>ADM</x:v>
      </x:c>
      <x:c r="C626" s="90" t="str">
        <x:v>GV-GB-002</x:v>
      </x:c>
      <x:c r="D626" s="90" t="str">
        <x:v>Board Meeting &amp; Minutes Requirements</x:v>
      </x:c>
      <x:c r="E626" s="90" t="str">
        <x:v>Core</x:v>
      </x:c>
      <x:c r="F626" s="90" t="str">
        <x:v>Yes</x:v>
      </x:c>
      <x:c r="G626" s="90" t="str">
        <x:v>Yes — bundled</x:v>
      </x:c>
      <x:c r="H626" s="90" t="str">
        <x:v>Governance, Board Operations &amp; Policy Lifecycle</x:v>
      </x:c>
      <x:c r="I626" s="90" t="str">
        <x:v>80% governance/policy decision quiz</x:v>
      </x:c>
      <x:c r="J626" s="90" t="str">
        <x:v>By day 14; before independent duty if earlier</x:v>
      </x:c>
      <x:c r="K626" s="90" t="str">
        <x:v>At hire; then on material revision</x:v>
      </x:c>
      <x:c r="L626" s="90" t="str">
        <x:v>Ready</x:v>
      </x:c>
      <x:c r="M626" s="90" t="str">
        <x:v>Administrator operationalizes governance decisions, maintains policy controls, and supports board evidence.</x:v>
      </x:c>
      <x:c r="N626" s="90" t="str">
        <x:v>12-allPoliciesContent.generated.ts — GV-GB-002</x:v>
      </x:c>
      <x:c r="O626" s="90" t="str">
        <x:v>https://www.ecfr.gov/current/title-42/part-484/section-484.105</x:v>
      </x:c>
      <x:c r="P626" s="90" t="str"/>
    </x:row>
    <x:row r="627" ht="42" customHeight="1">
      <x:c r="A627" s="90" t="str">
        <x:v>ADM-02</x:v>
      </x:c>
      <x:c r="B627" s="90" t="str">
        <x:v>ADM</x:v>
      </x:c>
      <x:c r="C627" s="90" t="str">
        <x:v>GV-GB-003</x:v>
      </x:c>
      <x:c r="D627" s="90" t="str">
        <x:v>Conflict of Interest Disclosure</x:v>
      </x:c>
      <x:c r="E627" s="90" t="str">
        <x:v>Core</x:v>
      </x:c>
      <x:c r="F627" s="90" t="str">
        <x:v>Yes</x:v>
      </x:c>
      <x:c r="G627" s="90" t="str">
        <x:v>Yes — bundled</x:v>
      </x:c>
      <x:c r="H627" s="90" t="str">
        <x:v>Governance, Board Operations &amp; Policy Lifecycle</x:v>
      </x:c>
      <x:c r="I627" s="90" t="str">
        <x:v>80% governance/policy decision quiz</x:v>
      </x:c>
      <x:c r="J627" s="90" t="str">
        <x:v>By day 14; before independent duty if earlier</x:v>
      </x:c>
      <x:c r="K627" s="90" t="str">
        <x:v>At hire; then on material revision</x:v>
      </x:c>
      <x:c r="L627" s="90" t="str">
        <x:v>Ready</x:v>
      </x:c>
      <x:c r="M627" s="90" t="str">
        <x:v>Administrator operationalizes governance decisions, maintains policy controls, and supports board evidence.</x:v>
      </x:c>
      <x:c r="N627" s="90" t="str">
        <x:v>12-allPoliciesContent.generated.ts — GV-GB-003</x:v>
      </x:c>
      <x:c r="O627" s="90" t="str">
        <x:v>https://www.ecfr.gov/current/title-42/part-484/section-484.105</x:v>
      </x:c>
      <x:c r="P627" s="90" t="str"/>
    </x:row>
    <x:row r="628" ht="42" customHeight="1">
      <x:c r="A628" s="90" t="str">
        <x:v>ADM-02</x:v>
      </x:c>
      <x:c r="B628" s="90" t="str">
        <x:v>ADM</x:v>
      </x:c>
      <x:c r="C628" s="90" t="str">
        <x:v>GV-GB-004</x:v>
      </x:c>
      <x:c r="D628" s="90" t="str">
        <x:v>Succession Planning for Key Leadership</x:v>
      </x:c>
      <x:c r="E628" s="90" t="str">
        <x:v>Core</x:v>
      </x:c>
      <x:c r="F628" s="90" t="str">
        <x:v>Yes</x:v>
      </x:c>
      <x:c r="G628" s="90" t="str">
        <x:v>Yes — bundled</x:v>
      </x:c>
      <x:c r="H628" s="90" t="str">
        <x:v>Governance, Board Operations &amp; Policy Lifecycle</x:v>
      </x:c>
      <x:c r="I628" s="90" t="str">
        <x:v>80% governance/policy decision quiz</x:v>
      </x:c>
      <x:c r="J628" s="90" t="str">
        <x:v>By day 14; before independent duty if earlier</x:v>
      </x:c>
      <x:c r="K628" s="90" t="str">
        <x:v>At hire; then on material revision</x:v>
      </x:c>
      <x:c r="L628" s="90" t="str">
        <x:v>Ready</x:v>
      </x:c>
      <x:c r="M628" s="90" t="str">
        <x:v>Administrator operationalizes governance decisions, maintains policy controls, and supports board evidence.</x:v>
      </x:c>
      <x:c r="N628" s="90" t="str">
        <x:v>12-allPoliciesContent.generated.ts — GV-GB-004</x:v>
      </x:c>
      <x:c r="O628" s="90" t="str">
        <x:v>https://www.ecfr.gov/current/title-42/part-484/section-484.105</x:v>
      </x:c>
      <x:c r="P628" s="90" t="str"/>
    </x:row>
    <x:row r="629" ht="42" customHeight="1">
      <x:c r="A629" s="90" t="str">
        <x:v>ADM-02</x:v>
      </x:c>
      <x:c r="B629" s="90" t="str">
        <x:v>ADM</x:v>
      </x:c>
      <x:c r="C629" s="90" t="str">
        <x:v>GV-GB-005</x:v>
      </x:c>
      <x:c r="D629" s="90" t="str">
        <x:v>Annual Governance Self-Assessment</x:v>
      </x:c>
      <x:c r="E629" s="90" t="str">
        <x:v>Core</x:v>
      </x:c>
      <x:c r="F629" s="90" t="str">
        <x:v>Yes</x:v>
      </x:c>
      <x:c r="G629" s="90" t="str">
        <x:v>Yes — bundled</x:v>
      </x:c>
      <x:c r="H629" s="90" t="str">
        <x:v>Governance, Board Operations &amp; Policy Lifecycle</x:v>
      </x:c>
      <x:c r="I629" s="90" t="str">
        <x:v>80% governance/policy decision quiz</x:v>
      </x:c>
      <x:c r="J629" s="90" t="str">
        <x:v>By day 14; before independent duty if earlier</x:v>
      </x:c>
      <x:c r="K629" s="90" t="str">
        <x:v>At hire; then on material revision</x:v>
      </x:c>
      <x:c r="L629" s="90" t="str">
        <x:v>Ready</x:v>
      </x:c>
      <x:c r="M629" s="90" t="str">
        <x:v>Administrator operationalizes governance decisions, maintains policy controls, and supports board evidence.</x:v>
      </x:c>
      <x:c r="N629" s="90" t="str">
        <x:v>12-allPoliciesContent.generated.ts — GV-GB-005</x:v>
      </x:c>
      <x:c r="O629" s="90" t="str">
        <x:v>https://www.ecfr.gov/current/title-42/part-484/section-484.105</x:v>
      </x:c>
      <x:c r="P629" s="90" t="str"/>
    </x:row>
    <x:row r="630" ht="42" customHeight="1">
      <x:c r="A630" s="90" t="str">
        <x:v>ADM-02</x:v>
      </x:c>
      <x:c r="B630" s="90" t="str">
        <x:v>ADM</x:v>
      </x:c>
      <x:c r="C630" s="90" t="str">
        <x:v>GV-PM-001</x:v>
      </x:c>
      <x:c r="D630" s="90" t="str">
        <x:v>Policy Development &amp; Approval Process</x:v>
      </x:c>
      <x:c r="E630" s="90" t="str">
        <x:v>Core</x:v>
      </x:c>
      <x:c r="F630" s="90" t="str">
        <x:v>Yes</x:v>
      </x:c>
      <x:c r="G630" s="90" t="str">
        <x:v>Yes — bundled</x:v>
      </x:c>
      <x:c r="H630" s="90" t="str">
        <x:v>Governance, Board Operations &amp; Policy Lifecycle</x:v>
      </x:c>
      <x:c r="I630" s="90" t="str">
        <x:v>80% governance/policy decision quiz</x:v>
      </x:c>
      <x:c r="J630" s="90" t="str">
        <x:v>By day 14; before independent duty if earlier</x:v>
      </x:c>
      <x:c r="K630" s="90" t="str">
        <x:v>At hire; then on material revision</x:v>
      </x:c>
      <x:c r="L630" s="90" t="str">
        <x:v>Ready</x:v>
      </x:c>
      <x:c r="M630" s="90" t="str">
        <x:v>Administrator operationalizes governance decisions, maintains policy controls, and supports board evidence.</x:v>
      </x:c>
      <x:c r="N630" s="90" t="str">
        <x:v>12-allPoliciesContent.generated.ts — GV-PM-001</x:v>
      </x:c>
      <x:c r="O630" s="90" t="str">
        <x:v>https://www.ecfr.gov/current/title-42/part-484/section-484.105</x:v>
      </x:c>
      <x:c r="P630" s="90" t="str"/>
    </x:row>
    <x:row r="631" ht="42" customHeight="1">
      <x:c r="A631" s="90" t="str">
        <x:v>ADM-02</x:v>
      </x:c>
      <x:c r="B631" s="90" t="str">
        <x:v>ADM</x:v>
      </x:c>
      <x:c r="C631" s="90" t="str">
        <x:v>GV-PM-002</x:v>
      </x:c>
      <x:c r="D631" s="90" t="str">
        <x:v>Policy Review &amp; Revision Cycle</x:v>
      </x:c>
      <x:c r="E631" s="90" t="str">
        <x:v>Core</x:v>
      </x:c>
      <x:c r="F631" s="90" t="str">
        <x:v>Yes</x:v>
      </x:c>
      <x:c r="G631" s="90" t="str">
        <x:v>Yes — bundled</x:v>
      </x:c>
      <x:c r="H631" s="90" t="str">
        <x:v>Governance, Board Operations &amp; Policy Lifecycle</x:v>
      </x:c>
      <x:c r="I631" s="90" t="str">
        <x:v>80% governance/policy decision quiz</x:v>
      </x:c>
      <x:c r="J631" s="90" t="str">
        <x:v>By day 14; before independent duty if earlier</x:v>
      </x:c>
      <x:c r="K631" s="90" t="str">
        <x:v>At hire; then on material revision</x:v>
      </x:c>
      <x:c r="L631" s="90" t="str">
        <x:v>Ready</x:v>
      </x:c>
      <x:c r="M631" s="90" t="str">
        <x:v>Administrator operationalizes governance decisions, maintains policy controls, and supports board evidence.</x:v>
      </x:c>
      <x:c r="N631" s="90" t="str">
        <x:v>12-allPoliciesContent.generated.ts — GV-PM-002</x:v>
      </x:c>
      <x:c r="O631" s="90" t="str">
        <x:v>https://www.ecfr.gov/current/title-42/part-484/section-484.105</x:v>
      </x:c>
      <x:c r="P631" s="90" t="str"/>
    </x:row>
    <x:row r="632" ht="42" customHeight="1">
      <x:c r="A632" s="90" t="str">
        <x:v>ADM-02</x:v>
      </x:c>
      <x:c r="B632" s="90" t="str">
        <x:v>ADM</x:v>
      </x:c>
      <x:c r="C632" s="90" t="str">
        <x:v>GV-PM-003</x:v>
      </x:c>
      <x:c r="D632" s="90" t="str">
        <x:v>Policy Acknowledgment &amp; Staff Attestation</x:v>
      </x:c>
      <x:c r="E632" s="90" t="str">
        <x:v>Core</x:v>
      </x:c>
      <x:c r="F632" s="90" t="str">
        <x:v>Yes</x:v>
      </x:c>
      <x:c r="G632" s="90" t="str">
        <x:v>Yes — bundled</x:v>
      </x:c>
      <x:c r="H632" s="90" t="str">
        <x:v>Governance, Board Operations &amp; Policy Lifecycle</x:v>
      </x:c>
      <x:c r="I632" s="90" t="str">
        <x:v>80% governance/policy decision quiz</x:v>
      </x:c>
      <x:c r="J632" s="90" t="str">
        <x:v>By day 14; before independent duty if earlier</x:v>
      </x:c>
      <x:c r="K632" s="90" t="str">
        <x:v>At hire; then on material revision</x:v>
      </x:c>
      <x:c r="L632" s="90" t="str">
        <x:v>Ready</x:v>
      </x:c>
      <x:c r="M632" s="90" t="str">
        <x:v>Administrator operationalizes governance decisions, maintains policy controls, and supports board evidence.</x:v>
      </x:c>
      <x:c r="N632" s="90" t="str">
        <x:v>12-allPoliciesContent.generated.ts — GV-PM-003</x:v>
      </x:c>
      <x:c r="O632" s="90" t="str">
        <x:v>https://www.ecfr.gov/current/title-42/part-484/section-484.105</x:v>
      </x:c>
      <x:c r="P632" s="90" t="str"/>
    </x:row>
    <x:row r="633" ht="42" customHeight="1">
      <x:c r="A633" s="90" t="str">
        <x:v>ADM-02</x:v>
      </x:c>
      <x:c r="B633" s="90" t="str">
        <x:v>ADM</x:v>
      </x:c>
      <x:c r="C633" s="90" t="str">
        <x:v>GV-PM-004</x:v>
      </x:c>
      <x:c r="D633" s="90" t="str">
        <x:v>Communication &amp; Notification Standards</x:v>
      </x:c>
      <x:c r="E633" s="90" t="str">
        <x:v>Core</x:v>
      </x:c>
      <x:c r="F633" s="90" t="str">
        <x:v>Yes</x:v>
      </x:c>
      <x:c r="G633" s="90" t="str">
        <x:v>Yes — bundled</x:v>
      </x:c>
      <x:c r="H633" s="90" t="str">
        <x:v>Governance, Board Operations &amp; Policy Lifecycle</x:v>
      </x:c>
      <x:c r="I633" s="90" t="str">
        <x:v>80% governance/policy decision quiz</x:v>
      </x:c>
      <x:c r="J633" s="90" t="str">
        <x:v>By day 14; before independent duty if earlier</x:v>
      </x:c>
      <x:c r="K633" s="90" t="str">
        <x:v>At hire; then on material revision</x:v>
      </x:c>
      <x:c r="L633" s="90" t="str">
        <x:v>Ready</x:v>
      </x:c>
      <x:c r="M633" s="90" t="str">
        <x:v>Administrator operationalizes governance decisions, maintains policy controls, and supports board evidence.</x:v>
      </x:c>
      <x:c r="N633" s="90" t="str">
        <x:v>12-allPoliciesContent.generated.ts — GV-PM-004</x:v>
      </x:c>
      <x:c r="O633" s="90" t="str">
        <x:v>https://www.ecfr.gov/current/title-42/part-484/section-484.105</x:v>
      </x:c>
      <x:c r="P633" s="90" t="str"/>
    </x:row>
    <x:row r="634" ht="42" customHeight="1">
      <x:c r="A634" s="90" t="str">
        <x:v>ADM-02</x:v>
      </x:c>
      <x:c r="B634" s="90" t="str">
        <x:v>ADM</x:v>
      </x:c>
      <x:c r="C634" s="90" t="str">
        <x:v>GV-PM-005</x:v>
      </x:c>
      <x:c r="D634" s="90" t="str">
        <x:v>Stakeholder Grievance &amp; Feedback Management</x:v>
      </x:c>
      <x:c r="E634" s="90" t="str">
        <x:v>Core</x:v>
      </x:c>
      <x:c r="F634" s="90" t="str">
        <x:v>Yes</x:v>
      </x:c>
      <x:c r="G634" s="90" t="str">
        <x:v>Yes — bundled</x:v>
      </x:c>
      <x:c r="H634" s="90" t="str">
        <x:v>Governance, Board Operations &amp; Policy Lifecycle</x:v>
      </x:c>
      <x:c r="I634" s="90" t="str">
        <x:v>80% governance/policy decision quiz</x:v>
      </x:c>
      <x:c r="J634" s="90" t="str">
        <x:v>By day 14; before independent duty if earlier</x:v>
      </x:c>
      <x:c r="K634" s="90" t="str">
        <x:v>At hire; then on material revision</x:v>
      </x:c>
      <x:c r="L634" s="90" t="str">
        <x:v>Ready</x:v>
      </x:c>
      <x:c r="M634" s="90" t="str">
        <x:v>Administrator operationalizes governance decisions, maintains policy controls, and supports board evidence.</x:v>
      </x:c>
      <x:c r="N634" s="90" t="str">
        <x:v>12-allPoliciesContent.generated.ts — GV-PM-005</x:v>
      </x:c>
      <x:c r="O634" s="90" t="str">
        <x:v>https://www.ecfr.gov/current/title-42/part-484/section-484.105</x:v>
      </x:c>
      <x:c r="P634" s="90" t="str"/>
    </x:row>
    <x:row r="635" ht="42" customHeight="1">
      <x:c r="A635" s="90" t="str">
        <x:v>ADM-02</x:v>
      </x:c>
      <x:c r="B635" s="90" t="str">
        <x:v>ADM</x:v>
      </x:c>
      <x:c r="C635" s="90" t="str">
        <x:v>EN-LC-001</x:v>
      </x:c>
      <x:c r="D635" s="90" t="str">
        <x:v>Policy Lifecycle Control &amp; Version Management</x:v>
      </x:c>
      <x:c r="E635" s="90" t="str">
        <x:v>Core</x:v>
      </x:c>
      <x:c r="F635" s="90" t="str">
        <x:v>Yes</x:v>
      </x:c>
      <x:c r="G635" s="90" t="str">
        <x:v>Yes — bundled</x:v>
      </x:c>
      <x:c r="H635" s="90" t="str">
        <x:v>Governance, Board Operations &amp; Policy Lifecycle</x:v>
      </x:c>
      <x:c r="I635" s="90" t="str">
        <x:v>80% governance/policy decision quiz</x:v>
      </x:c>
      <x:c r="J635" s="90" t="str">
        <x:v>By day 14; before independent duty if earlier</x:v>
      </x:c>
      <x:c r="K635" s="90" t="str">
        <x:v>At hire; then on material revision</x:v>
      </x:c>
      <x:c r="L635" s="90" t="str">
        <x:v>Ready</x:v>
      </x:c>
      <x:c r="M635" s="90" t="str">
        <x:v>Administrator operationalizes governance decisions, maintains policy controls, and supports board evidence.</x:v>
      </x:c>
      <x:c r="N635" s="90" t="str">
        <x:v>12-allPoliciesContent.generated.ts — EN-LC-001</x:v>
      </x:c>
      <x:c r="O635" s="90" t="str"/>
      <x:c r="P635" s="90" t="str"/>
    </x:row>
    <x:row r="636" ht="42" customHeight="1">
      <x:c r="A636" s="90" t="str">
        <x:v>ADM-02</x:v>
      </x:c>
      <x:c r="B636" s="90" t="str">
        <x:v>ADM</x:v>
      </x:c>
      <x:c r="C636" s="90" t="str">
        <x:v>EN-LC-003</x:v>
      </x:c>
      <x:c r="D636" s="90" t="str">
        <x:v>Policy Assignment and Role-Based Applicability Governance</x:v>
      </x:c>
      <x:c r="E636" s="90" t="str">
        <x:v>Core</x:v>
      </x:c>
      <x:c r="F636" s="90" t="str">
        <x:v>Yes</x:v>
      </x:c>
      <x:c r="G636" s="90" t="str">
        <x:v>Yes — bundled</x:v>
      </x:c>
      <x:c r="H636" s="90" t="str">
        <x:v>Governance, Board Operations &amp; Policy Lifecycle</x:v>
      </x:c>
      <x:c r="I636" s="90" t="str">
        <x:v>80% governance/policy decision quiz</x:v>
      </x:c>
      <x:c r="J636" s="90" t="str">
        <x:v>By day 14; before independent duty if earlier</x:v>
      </x:c>
      <x:c r="K636" s="90" t="str">
        <x:v>At hire; then on material revision</x:v>
      </x:c>
      <x:c r="L636" s="90" t="str">
        <x:v>Ready</x:v>
      </x:c>
      <x:c r="M636" s="90" t="str">
        <x:v>Administrator operationalizes governance decisions, maintains policy controls, and supports board evidence.</x:v>
      </x:c>
      <x:c r="N636" s="90" t="str">
        <x:v>12-allPoliciesContent.generated.ts — EN-LC-003</x:v>
      </x:c>
      <x:c r="O636" s="90" t="str"/>
      <x:c r="P636" s="90" t="str"/>
    </x:row>
    <x:row r="637" ht="42" customHeight="1">
      <x:c r="A637" s="90" t="str">
        <x:v>ADM-03</x:v>
      </x:c>
      <x:c r="B637" s="90" t="str">
        <x:v>ADM</x:v>
      </x:c>
      <x:c r="C637" s="90" t="str">
        <x:v>CO-CP-002</x:v>
      </x:c>
      <x:c r="D637" s="90" t="str">
        <x:v>Compliance Officer Designation &amp; Authority</x:v>
      </x:c>
      <x:c r="E637" s="90" t="str">
        <x:v>Core</x:v>
      </x:c>
      <x:c r="F637" s="90" t="str">
        <x:v>Yes</x:v>
      </x:c>
      <x:c r="G637" s="90" t="str">
        <x:v>Yes — bundled</x:v>
      </x:c>
      <x:c r="H637" s="90" t="str">
        <x:v>Compliance Leadership &amp; Survey Readiness</x:v>
      </x:c>
      <x:c r="I637" s="90" t="str">
        <x:v>80% survey/compliance case quiz</x:v>
      </x:c>
      <x:c r="J637" s="90" t="str">
        <x:v>By day 14; before independent duty if earlier</x:v>
      </x:c>
      <x:c r="K637" s="90" t="str">
        <x:v>At hire; then on material revision</x:v>
      </x:c>
      <x:c r="L637" s="90" t="str">
        <x:v>Ready</x:v>
      </x:c>
      <x:c r="M637" s="90" t="str">
        <x:v>Administrator needs decision-level knowledge of compliance governance, audits, regulatory change, survey response, and sanctions.</x:v>
      </x:c>
      <x:c r="N637" s="90" t="str">
        <x:v>12-allPoliciesContent.generated.ts — CO-CP-002</x:v>
      </x:c>
      <x:c r="O637" s="90" t="str"/>
      <x:c r="P637" s="90" t="str"/>
    </x:row>
    <x:row r="638" ht="42" customHeight="1">
      <x:c r="A638" s="90" t="str">
        <x:v>ADM-03</x:v>
      </x:c>
      <x:c r="B638" s="90" t="str">
        <x:v>ADM</x:v>
      </x:c>
      <x:c r="C638" s="90" t="str">
        <x:v>CO-CP-003</x:v>
      </x:c>
      <x:c r="D638" s="90" t="str">
        <x:v>Compliance Committee Structure &amp; Function</x:v>
      </x:c>
      <x:c r="E638" s="90" t="str">
        <x:v>Core</x:v>
      </x:c>
      <x:c r="F638" s="90" t="str">
        <x:v>Yes</x:v>
      </x:c>
      <x:c r="G638" s="90" t="str">
        <x:v>Yes — bundled</x:v>
      </x:c>
      <x:c r="H638" s="90" t="str">
        <x:v>Compliance Leadership &amp; Survey Readiness</x:v>
      </x:c>
      <x:c r="I638" s="90" t="str">
        <x:v>80% survey/compliance case quiz</x:v>
      </x:c>
      <x:c r="J638" s="90" t="str">
        <x:v>By day 14; before independent duty if earlier</x:v>
      </x:c>
      <x:c r="K638" s="90" t="str">
        <x:v>At hire; then on material revision</x:v>
      </x:c>
      <x:c r="L638" s="90" t="str">
        <x:v>Ready</x:v>
      </x:c>
      <x:c r="M638" s="90" t="str">
        <x:v>Administrator needs decision-level knowledge of compliance governance, audits, regulatory change, survey response, and sanctions.</x:v>
      </x:c>
      <x:c r="N638" s="90" t="str">
        <x:v>12-allPoliciesContent.generated.ts — CO-CP-003</x:v>
      </x:c>
      <x:c r="O638" s="90" t="str"/>
      <x:c r="P638" s="90" t="str"/>
    </x:row>
    <x:row r="639" ht="42" customHeight="1">
      <x:c r="A639" s="90" t="str">
        <x:v>ADM-03</x:v>
      </x:c>
      <x:c r="B639" s="90" t="str">
        <x:v>ADM</x:v>
      </x:c>
      <x:c r="C639" s="90" t="str">
        <x:v>CO-CP-007</x:v>
      </x:c>
      <x:c r="D639" s="90" t="str">
        <x:v>Compliance Investigation Process</x:v>
      </x:c>
      <x:c r="E639" s="90" t="str">
        <x:v>Core</x:v>
      </x:c>
      <x:c r="F639" s="90" t="str">
        <x:v>Yes</x:v>
      </x:c>
      <x:c r="G639" s="90" t="str">
        <x:v>Yes — bundled</x:v>
      </x:c>
      <x:c r="H639" s="90" t="str">
        <x:v>Compliance Leadership &amp; Survey Readiness</x:v>
      </x:c>
      <x:c r="I639" s="90" t="str">
        <x:v>80% survey/compliance case quiz</x:v>
      </x:c>
      <x:c r="J639" s="90" t="str">
        <x:v>By day 14; before independent duty if earlier</x:v>
      </x:c>
      <x:c r="K639" s="90" t="str">
        <x:v>At hire; then on material revision</x:v>
      </x:c>
      <x:c r="L639" s="90" t="str">
        <x:v>Ready</x:v>
      </x:c>
      <x:c r="M639" s="90" t="str">
        <x:v>Administrator needs decision-level knowledge of compliance governance, audits, regulatory change, survey response, and sanctions.</x:v>
      </x:c>
      <x:c r="N639" s="90" t="str">
        <x:v>12-allPoliciesContent.generated.ts — CO-CP-007</x:v>
      </x:c>
      <x:c r="O639" s="90" t="str"/>
      <x:c r="P639" s="90" t="str"/>
    </x:row>
    <x:row r="640" ht="42" customHeight="1">
      <x:c r="A640" s="90" t="str">
        <x:v>ADM-03</x:v>
      </x:c>
      <x:c r="B640" s="90" t="str">
        <x:v>ADM</x:v>
      </x:c>
      <x:c r="C640" s="90" t="str">
        <x:v>CO-RA-001</x:v>
      </x:c>
      <x:c r="D640" s="90" t="str">
        <x:v>Regulatory Change Monitoring &amp; Implementation</x:v>
      </x:c>
      <x:c r="E640" s="90" t="str">
        <x:v>Core</x:v>
      </x:c>
      <x:c r="F640" s="90" t="str">
        <x:v>Yes</x:v>
      </x:c>
      <x:c r="G640" s="90" t="str">
        <x:v>Yes — bundled</x:v>
      </x:c>
      <x:c r="H640" s="90" t="str">
        <x:v>Compliance Leadership &amp; Survey Readiness</x:v>
      </x:c>
      <x:c r="I640" s="90" t="str">
        <x:v>80% survey/compliance case quiz</x:v>
      </x:c>
      <x:c r="J640" s="90" t="str">
        <x:v>By day 14; before independent duty if earlier</x:v>
      </x:c>
      <x:c r="K640" s="90" t="str">
        <x:v>At hire; then on material revision</x:v>
      </x:c>
      <x:c r="L640" s="90" t="str">
        <x:v>Ready</x:v>
      </x:c>
      <x:c r="M640" s="90" t="str">
        <x:v>Administrator needs decision-level knowledge of compliance governance, audits, regulatory change, survey response, and sanctions.</x:v>
      </x:c>
      <x:c r="N640" s="90" t="str">
        <x:v>12-allPoliciesContent.generated.ts — CO-RA-001</x:v>
      </x:c>
      <x:c r="O640" s="90" t="str"/>
      <x:c r="P640" s="90" t="str"/>
    </x:row>
    <x:row r="641" ht="42" customHeight="1">
      <x:c r="A641" s="90" t="str">
        <x:v>ADM-03</x:v>
      </x:c>
      <x:c r="B641" s="90" t="str">
        <x:v>ADM</x:v>
      </x:c>
      <x:c r="C641" s="90" t="str">
        <x:v>CO-RA-002</x:v>
      </x:c>
      <x:c r="D641" s="90" t="str">
        <x:v>Internal Compliance Auditing Program</x:v>
      </x:c>
      <x:c r="E641" s="90" t="str">
        <x:v>Core</x:v>
      </x:c>
      <x:c r="F641" s="90" t="str">
        <x:v>Yes</x:v>
      </x:c>
      <x:c r="G641" s="90" t="str">
        <x:v>Yes — bundled</x:v>
      </x:c>
      <x:c r="H641" s="90" t="str">
        <x:v>Compliance Leadership &amp; Survey Readiness</x:v>
      </x:c>
      <x:c r="I641" s="90" t="str">
        <x:v>80% survey/compliance case quiz</x:v>
      </x:c>
      <x:c r="J641" s="90" t="str">
        <x:v>By day 14; before independent duty if earlier</x:v>
      </x:c>
      <x:c r="K641" s="90" t="str">
        <x:v>At hire; then on material revision</x:v>
      </x:c>
      <x:c r="L641" s="90" t="str">
        <x:v>Ready</x:v>
      </x:c>
      <x:c r="M641" s="90" t="str">
        <x:v>Administrator needs decision-level knowledge of compliance governance, audits, regulatory change, survey response, and sanctions.</x:v>
      </x:c>
      <x:c r="N641" s="90" t="str">
        <x:v>12-allPoliciesContent.generated.ts — CO-RA-002</x:v>
      </x:c>
      <x:c r="O641" s="90" t="str"/>
      <x:c r="P641" s="90" t="str"/>
    </x:row>
    <x:row r="642" ht="42" customHeight="1">
      <x:c r="A642" s="90" t="str">
        <x:v>ADM-03</x:v>
      </x:c>
      <x:c r="B642" s="90" t="str">
        <x:v>ADM</x:v>
      </x:c>
      <x:c r="C642" s="90" t="str">
        <x:v>CO-RA-003</x:v>
      </x:c>
      <x:c r="D642" s="90" t="str">
        <x:v>External Audit &amp; Survey Readiness</x:v>
      </x:c>
      <x:c r="E642" s="90" t="str">
        <x:v>Core</x:v>
      </x:c>
      <x:c r="F642" s="90" t="str">
        <x:v>Yes</x:v>
      </x:c>
      <x:c r="G642" s="90" t="str">
        <x:v>Yes — bundled</x:v>
      </x:c>
      <x:c r="H642" s="90" t="str">
        <x:v>Compliance Leadership &amp; Survey Readiness</x:v>
      </x:c>
      <x:c r="I642" s="90" t="str">
        <x:v>80% survey/compliance case quiz</x:v>
      </x:c>
      <x:c r="J642" s="90" t="str">
        <x:v>By day 14; before independent duty if earlier</x:v>
      </x:c>
      <x:c r="K642" s="90" t="str">
        <x:v>At hire; then on material revision</x:v>
      </x:c>
      <x:c r="L642" s="90" t="str">
        <x:v>Ready</x:v>
      </x:c>
      <x:c r="M642" s="90" t="str">
        <x:v>Administrator needs decision-level knowledge of compliance governance, audits, regulatory change, survey response, and sanctions.</x:v>
      </x:c>
      <x:c r="N642" s="90" t="str">
        <x:v>12-allPoliciesContent.generated.ts — CO-RA-003</x:v>
      </x:c>
      <x:c r="O642" s="90" t="str"/>
      <x:c r="P642" s="90" t="str"/>
    </x:row>
    <x:row r="643" ht="42" customHeight="1">
      <x:c r="A643" s="90" t="str">
        <x:v>ADM-03</x:v>
      </x:c>
      <x:c r="B643" s="90" t="str">
        <x:v>ADM</x:v>
      </x:c>
      <x:c r="C643" s="90" t="str">
        <x:v>CO-RA-004</x:v>
      </x:c>
      <x:c r="D643" s="90" t="str">
        <x:v>Medicare Conditions of Participation Compliance</x:v>
      </x:c>
      <x:c r="E643" s="90" t="str">
        <x:v>Core</x:v>
      </x:c>
      <x:c r="F643" s="90" t="str">
        <x:v>Yes</x:v>
      </x:c>
      <x:c r="G643" s="90" t="str">
        <x:v>Yes — bundled</x:v>
      </x:c>
      <x:c r="H643" s="90" t="str">
        <x:v>Compliance Leadership &amp; Survey Readiness</x:v>
      </x:c>
      <x:c r="I643" s="90" t="str">
        <x:v>80% survey/compliance case quiz</x:v>
      </x:c>
      <x:c r="J643" s="90" t="str">
        <x:v>By day 14; before independent duty if earlier</x:v>
      </x:c>
      <x:c r="K643" s="90" t="str">
        <x:v>At hire; then on material revision</x:v>
      </x:c>
      <x:c r="L643" s="90" t="str">
        <x:v>Ready</x:v>
      </x:c>
      <x:c r="M643" s="90" t="str">
        <x:v>Administrator needs decision-level knowledge of compliance governance, audits, regulatory change, survey response, and sanctions.</x:v>
      </x:c>
      <x:c r="N643" s="90" t="str">
        <x:v>12-allPoliciesContent.generated.ts — CO-RA-004</x:v>
      </x:c>
      <x:c r="O643" s="90" t="str"/>
      <x:c r="P643" s="90" t="str"/>
    </x:row>
    <x:row r="644" ht="42" customHeight="1">
      <x:c r="A644" s="90" t="str">
        <x:v>ADM-03</x:v>
      </x:c>
      <x:c r="B644" s="90" t="str">
        <x:v>ADM</x:v>
      </x:c>
      <x:c r="C644" s="90" t="str">
        <x:v>CO-RA-005</x:v>
      </x:c>
      <x:c r="D644" s="90" t="str">
        <x:v>State Licensure &amp; Regulatory Compliance</x:v>
      </x:c>
      <x:c r="E644" s="90" t="str">
        <x:v>Core</x:v>
      </x:c>
      <x:c r="F644" s="90" t="str">
        <x:v>Yes</x:v>
      </x:c>
      <x:c r="G644" s="90" t="str">
        <x:v>Yes — bundled</x:v>
      </x:c>
      <x:c r="H644" s="90" t="str">
        <x:v>Compliance Leadership &amp; Survey Readiness</x:v>
      </x:c>
      <x:c r="I644" s="90" t="str">
        <x:v>80% survey/compliance case quiz</x:v>
      </x:c>
      <x:c r="J644" s="90" t="str">
        <x:v>By day 14; before independent duty if earlier</x:v>
      </x:c>
      <x:c r="K644" s="90" t="str">
        <x:v>At hire; then on material revision</x:v>
      </x:c>
      <x:c r="L644" s="90" t="str">
        <x:v>Ready</x:v>
      </x:c>
      <x:c r="M644" s="90" t="str">
        <x:v>Administrator needs decision-level knowledge of compliance governance, audits, regulatory change, survey response, and sanctions.</x:v>
      </x:c>
      <x:c r="N644" s="90" t="str">
        <x:v>12-allPoliciesContent.generated.ts — CO-RA-005</x:v>
      </x:c>
      <x:c r="O644" s="90" t="str"/>
      <x:c r="P644" s="90" t="str"/>
    </x:row>
    <x:row r="645" ht="42" customHeight="1">
      <x:c r="A645" s="90" t="str">
        <x:v>ADM-03</x:v>
      </x:c>
      <x:c r="B645" s="90" t="str">
        <x:v>ADM</x:v>
      </x:c>
      <x:c r="C645" s="90" t="str">
        <x:v>CO-RA-006</x:v>
      </x:c>
      <x:c r="D645" s="90" t="str">
        <x:v>Accreditation Standards Compliance</x:v>
      </x:c>
      <x:c r="E645" s="90" t="str">
        <x:v>Core</x:v>
      </x:c>
      <x:c r="F645" s="90" t="str">
        <x:v>Yes</x:v>
      </x:c>
      <x:c r="G645" s="90" t="str">
        <x:v>Yes — bundled</x:v>
      </x:c>
      <x:c r="H645" s="90" t="str">
        <x:v>Compliance Leadership &amp; Survey Readiness</x:v>
      </x:c>
      <x:c r="I645" s="90" t="str">
        <x:v>80% survey/compliance case quiz</x:v>
      </x:c>
      <x:c r="J645" s="90" t="str">
        <x:v>By day 14; before independent duty if earlier</x:v>
      </x:c>
      <x:c r="K645" s="90" t="str">
        <x:v>At hire; then on material revision</x:v>
      </x:c>
      <x:c r="L645" s="90" t="str">
        <x:v>Ready</x:v>
      </x:c>
      <x:c r="M645" s="90" t="str">
        <x:v>Administrator needs decision-level knowledge of compliance governance, audits, regulatory change, survey response, and sanctions.</x:v>
      </x:c>
      <x:c r="N645" s="90" t="str">
        <x:v>12-allPoliciesContent.generated.ts — CO-RA-006</x:v>
      </x:c>
      <x:c r="O645" s="90" t="str"/>
      <x:c r="P645" s="90" t="str"/>
    </x:row>
    <x:row r="646" ht="42" customHeight="1">
      <x:c r="A646" s="90" t="str">
        <x:v>ADM-03</x:v>
      </x:c>
      <x:c r="B646" s="90" t="str">
        <x:v>ADM</x:v>
      </x:c>
      <x:c r="C646" s="90" t="str">
        <x:v>CO-RA-007</x:v>
      </x:c>
      <x:c r="D646" s="90" t="str">
        <x:v>Sanctions &amp; Enforcement Response</x:v>
      </x:c>
      <x:c r="E646" s="90" t="str">
        <x:v>Core</x:v>
      </x:c>
      <x:c r="F646" s="90" t="str">
        <x:v>Yes</x:v>
      </x:c>
      <x:c r="G646" s="90" t="str">
        <x:v>Yes — bundled</x:v>
      </x:c>
      <x:c r="H646" s="90" t="str">
        <x:v>Compliance Leadership &amp; Survey Readiness</x:v>
      </x:c>
      <x:c r="I646" s="90" t="str">
        <x:v>80% survey/compliance case quiz</x:v>
      </x:c>
      <x:c r="J646" s="90" t="str">
        <x:v>By day 14; before independent duty if earlier</x:v>
      </x:c>
      <x:c r="K646" s="90" t="str">
        <x:v>At hire; then on material revision</x:v>
      </x:c>
      <x:c r="L646" s="90" t="str">
        <x:v>Ready</x:v>
      </x:c>
      <x:c r="M646" s="90" t="str">
        <x:v>Administrator needs decision-level knowledge of compliance governance, audits, regulatory change, survey response, and sanctions.</x:v>
      </x:c>
      <x:c r="N646" s="90" t="str">
        <x:v>12-allPoliciesContent.generated.ts — CO-RA-007</x:v>
      </x:c>
      <x:c r="O646" s="90" t="str"/>
      <x:c r="P646" s="90" t="str"/>
    </x:row>
    <x:row r="647" ht="42" customHeight="1">
      <x:c r="A647" s="90" t="str">
        <x:v>ADM-03</x:v>
      </x:c>
      <x:c r="B647" s="90" t="str">
        <x:v>ADM</x:v>
      </x:c>
      <x:c r="C647" s="90" t="str">
        <x:v>EN-CM-001</x:v>
      </x:c>
      <x:c r="D647" s="90" t="str">
        <x:v>Enterprise Compliance Metrics Program</x:v>
      </x:c>
      <x:c r="E647" s="90" t="str">
        <x:v>Core</x:v>
      </x:c>
      <x:c r="F647" s="90" t="str">
        <x:v>Yes</x:v>
      </x:c>
      <x:c r="G647" s="90" t="str">
        <x:v>Yes — bundled</x:v>
      </x:c>
      <x:c r="H647" s="90" t="str">
        <x:v>Compliance Leadership &amp; Survey Readiness</x:v>
      </x:c>
      <x:c r="I647" s="90" t="str">
        <x:v>80% survey/compliance case quiz</x:v>
      </x:c>
      <x:c r="J647" s="90" t="str">
        <x:v>By day 14; before independent duty if earlier</x:v>
      </x:c>
      <x:c r="K647" s="90" t="str">
        <x:v>At hire; then on material revision</x:v>
      </x:c>
      <x:c r="L647" s="90" t="str">
        <x:v>Ready</x:v>
      </x:c>
      <x:c r="M647" s="90" t="str">
        <x:v>Administrator needs decision-level knowledge of compliance governance, audits, regulatory change, survey response, and sanctions.</x:v>
      </x:c>
      <x:c r="N647" s="90" t="str">
        <x:v>12-allPoliciesContent.generated.ts — EN-CM-001</x:v>
      </x:c>
      <x:c r="O647" s="90" t="str"/>
      <x:c r="P647" s="90" t="str"/>
    </x:row>
    <x:row r="648" ht="42" customHeight="1">
      <x:c r="A648" s="90" t="str">
        <x:v>ADM-03</x:v>
      </x:c>
      <x:c r="B648" s="90" t="str">
        <x:v>ADM</x:v>
      </x:c>
      <x:c r="C648" s="90" t="str">
        <x:v>EN-CM-002</x:v>
      </x:c>
      <x:c r="D648" s="90" t="str">
        <x:v>Inter-Domain Policy Coordination &amp; Conflict Resolution</x:v>
      </x:c>
      <x:c r="E648" s="90" t="str">
        <x:v>Core</x:v>
      </x:c>
      <x:c r="F648" s="90" t="str">
        <x:v>Yes</x:v>
      </x:c>
      <x:c r="G648" s="90" t="str">
        <x:v>Yes — bundled</x:v>
      </x:c>
      <x:c r="H648" s="90" t="str">
        <x:v>Compliance Leadership &amp; Survey Readiness</x:v>
      </x:c>
      <x:c r="I648" s="90" t="str">
        <x:v>80% survey/compliance case quiz</x:v>
      </x:c>
      <x:c r="J648" s="90" t="str">
        <x:v>By day 14; before independent duty if earlier</x:v>
      </x:c>
      <x:c r="K648" s="90" t="str">
        <x:v>At hire; then on material revision</x:v>
      </x:c>
      <x:c r="L648" s="90" t="str">
        <x:v>Ready</x:v>
      </x:c>
      <x:c r="M648" s="90" t="str">
        <x:v>Administrator needs decision-level knowledge of compliance governance, audits, regulatory change, survey response, and sanctions.</x:v>
      </x:c>
      <x:c r="N648" s="90" t="str">
        <x:v>12-allPoliciesContent.generated.ts — EN-CM-002</x:v>
      </x:c>
      <x:c r="O648" s="90" t="str"/>
      <x:c r="P648" s="90" t="str"/>
    </x:row>
    <x:row r="649" ht="42" customHeight="1">
      <x:c r="A649" s="90" t="str">
        <x:v>ADM-04</x:v>
      </x:c>
      <x:c r="B649" s="90" t="str">
        <x:v>ADM</x:v>
      </x:c>
      <x:c r="C649" s="90" t="str">
        <x:v>QA-PG-001</x:v>
      </x:c>
      <x:c r="D649" s="90" t="str">
        <x:v>QAPI Program Establishment &amp; Governance</x:v>
      </x:c>
      <x:c r="E649" s="90" t="str">
        <x:v>Core</x:v>
      </x:c>
      <x:c r="F649" s="90" t="str">
        <x:v>Yes</x:v>
      </x:c>
      <x:c r="G649" s="90" t="str">
        <x:v>Yes — bundled</x:v>
      </x:c>
      <x:c r="H649" s="90" t="str">
        <x:v>QAPI Governance &amp; Data-Driven Oversight</x:v>
      </x:c>
      <x:c r="I649" s="90" t="str">
        <x:v>80% QAPI governance scenario quiz</x:v>
      </x:c>
      <x:c r="J649" s="90" t="str">
        <x:v>By day 14; before independent duty if earlier</x:v>
      </x:c>
      <x:c r="K649" s="90" t="str">
        <x:v>At hire; then on material revision</x:v>
      </x:c>
      <x:c r="L649" s="90" t="str">
        <x:v>Ready</x:v>
      </x:c>
      <x:c r="M649" s="90" t="str">
        <x:v>Administrator must govern the QAPI plan, projects, indicators, corrective actions, and outcome oversight.</x:v>
      </x:c>
      <x:c r="N649" s="90" t="str">
        <x:v>12-allPoliciesContent.generated.ts — QA-PG-001</x:v>
      </x:c>
      <x:c r="O649" s="90" t="str">
        <x:v>https://www.ecfr.gov/current/title-42/part-484/section-484.65</x:v>
      </x:c>
      <x:c r="P649" s="90" t="str"/>
    </x:row>
    <x:row r="650" ht="42" customHeight="1">
      <x:c r="A650" s="90" t="str">
        <x:v>ADM-04</x:v>
      </x:c>
      <x:c r="B650" s="90" t="str">
        <x:v>ADM</x:v>
      </x:c>
      <x:c r="C650" s="90" t="str">
        <x:v>QA-PG-002</x:v>
      </x:c>
      <x:c r="D650" s="90" t="str">
        <x:v>QAPI Plan Development &amp; Annual Review</x:v>
      </x:c>
      <x:c r="E650" s="90" t="str">
        <x:v>Core</x:v>
      </x:c>
      <x:c r="F650" s="90" t="str">
        <x:v>Yes</x:v>
      </x:c>
      <x:c r="G650" s="90" t="str">
        <x:v>Yes — bundled</x:v>
      </x:c>
      <x:c r="H650" s="90" t="str">
        <x:v>QAPI Governance &amp; Data-Driven Oversight</x:v>
      </x:c>
      <x:c r="I650" s="90" t="str">
        <x:v>80% QAPI governance scenario quiz</x:v>
      </x:c>
      <x:c r="J650" s="90" t="str">
        <x:v>By day 14; before independent duty if earlier</x:v>
      </x:c>
      <x:c r="K650" s="90" t="str">
        <x:v>At hire; then on material revision</x:v>
      </x:c>
      <x:c r="L650" s="90" t="str">
        <x:v>Ready</x:v>
      </x:c>
      <x:c r="M650" s="90" t="str">
        <x:v>Administrator must govern the QAPI plan, projects, indicators, corrective actions, and outcome oversight.</x:v>
      </x:c>
      <x:c r="N650" s="90" t="str">
        <x:v>12-allPoliciesContent.generated.ts — QA-PG-002</x:v>
      </x:c>
      <x:c r="O650" s="90" t="str">
        <x:v>https://www.ecfr.gov/current/title-42/part-484/section-484.65</x:v>
      </x:c>
      <x:c r="P650" s="90" t="str"/>
    </x:row>
    <x:row r="651" ht="42" customHeight="1">
      <x:c r="A651" s="90" t="str">
        <x:v>ADM-04</x:v>
      </x:c>
      <x:c r="B651" s="90" t="str">
        <x:v>ADM</x:v>
      </x:c>
      <x:c r="C651" s="90" t="str">
        <x:v>QA-PG-003</x:v>
      </x:c>
      <x:c r="D651" s="90" t="str">
        <x:v>QAPI Committee Structure &amp; Meeting Requirements</x:v>
      </x:c>
      <x:c r="E651" s="90" t="str">
        <x:v>Core</x:v>
      </x:c>
      <x:c r="F651" s="90" t="str">
        <x:v>Yes</x:v>
      </x:c>
      <x:c r="G651" s="90" t="str">
        <x:v>Yes — bundled</x:v>
      </x:c>
      <x:c r="H651" s="90" t="str">
        <x:v>QAPI Governance &amp; Data-Driven Oversight</x:v>
      </x:c>
      <x:c r="I651" s="90" t="str">
        <x:v>80% QAPI governance scenario quiz</x:v>
      </x:c>
      <x:c r="J651" s="90" t="str">
        <x:v>By day 14; before independent duty if earlier</x:v>
      </x:c>
      <x:c r="K651" s="90" t="str">
        <x:v>At hire; then on material revision</x:v>
      </x:c>
      <x:c r="L651" s="90" t="str">
        <x:v>Ready</x:v>
      </x:c>
      <x:c r="M651" s="90" t="str">
        <x:v>Administrator must govern the QAPI plan, projects, indicators, corrective actions, and outcome oversight.</x:v>
      </x:c>
      <x:c r="N651" s="90" t="str">
        <x:v>12-allPoliciesContent.generated.ts — QA-PG-003</x:v>
      </x:c>
      <x:c r="O651" s="90" t="str">
        <x:v>https://www.ecfr.gov/current/title-42/part-484/section-484.65</x:v>
      </x:c>
      <x:c r="P651" s="90" t="str"/>
    </x:row>
    <x:row r="652" ht="42" customHeight="1">
      <x:c r="A652" s="90" t="str">
        <x:v>ADM-04</x:v>
      </x:c>
      <x:c r="B652" s="90" t="str">
        <x:v>ADM</x:v>
      </x:c>
      <x:c r="C652" s="90" t="str">
        <x:v>QA-PI-001</x:v>
      </x:c>
      <x:c r="D652" s="90" t="str">
        <x:v>Performance Improvement Project Management</x:v>
      </x:c>
      <x:c r="E652" s="90" t="str">
        <x:v>Core</x:v>
      </x:c>
      <x:c r="F652" s="90" t="str">
        <x:v>Yes</x:v>
      </x:c>
      <x:c r="G652" s="90" t="str">
        <x:v>Yes — bundled</x:v>
      </x:c>
      <x:c r="H652" s="90" t="str">
        <x:v>QAPI Governance &amp; Data-Driven Oversight</x:v>
      </x:c>
      <x:c r="I652" s="90" t="str">
        <x:v>80% QAPI governance scenario quiz</x:v>
      </x:c>
      <x:c r="J652" s="90" t="str">
        <x:v>By day 14; before independent duty if earlier</x:v>
      </x:c>
      <x:c r="K652" s="90" t="str">
        <x:v>At hire; then on material revision</x:v>
      </x:c>
      <x:c r="L652" s="90" t="str">
        <x:v>Ready</x:v>
      </x:c>
      <x:c r="M652" s="90" t="str">
        <x:v>Administrator must govern the QAPI plan, projects, indicators, corrective actions, and outcome oversight.</x:v>
      </x:c>
      <x:c r="N652" s="90" t="str">
        <x:v>12-allPoliciesContent.generated.ts — QA-PI-001</x:v>
      </x:c>
      <x:c r="O652" s="90" t="str">
        <x:v>https://www.ecfr.gov/current/title-42/part-484/section-484.65</x:v>
      </x:c>
      <x:c r="P652" s="90" t="str"/>
    </x:row>
    <x:row r="653" ht="42" customHeight="1">
      <x:c r="A653" s="90" t="str">
        <x:v>ADM-04</x:v>
      </x:c>
      <x:c r="B653" s="90" t="str">
        <x:v>ADM</x:v>
      </x:c>
      <x:c r="C653" s="90" t="str">
        <x:v>QA-PI-002</x:v>
      </x:c>
      <x:c r="D653" s="90" t="str">
        <x:v>Quality Indicator Monitoring &amp; Reporting</x:v>
      </x:c>
      <x:c r="E653" s="90" t="str">
        <x:v>Core</x:v>
      </x:c>
      <x:c r="F653" s="90" t="str">
        <x:v>Yes</x:v>
      </x:c>
      <x:c r="G653" s="90" t="str">
        <x:v>Yes — bundled</x:v>
      </x:c>
      <x:c r="H653" s="90" t="str">
        <x:v>QAPI Governance &amp; Data-Driven Oversight</x:v>
      </x:c>
      <x:c r="I653" s="90" t="str">
        <x:v>80% QAPI governance scenario quiz</x:v>
      </x:c>
      <x:c r="J653" s="90" t="str">
        <x:v>By day 14; before independent duty if earlier</x:v>
      </x:c>
      <x:c r="K653" s="90" t="str">
        <x:v>At hire; then on material revision</x:v>
      </x:c>
      <x:c r="L653" s="90" t="str">
        <x:v>Ready</x:v>
      </x:c>
      <x:c r="M653" s="90" t="str">
        <x:v>Administrator must govern the QAPI plan, projects, indicators, corrective actions, and outcome oversight.</x:v>
      </x:c>
      <x:c r="N653" s="90" t="str">
        <x:v>12-allPoliciesContent.generated.ts — QA-PI-002</x:v>
      </x:c>
      <x:c r="O653" s="90" t="str">
        <x:v>https://www.ecfr.gov/current/title-42/part-484/section-484.65</x:v>
      </x:c>
      <x:c r="P653" s="90" t="str"/>
    </x:row>
    <x:row r="654" ht="42" customHeight="1">
      <x:c r="A654" s="90" t="str">
        <x:v>ADM-04</x:v>
      </x:c>
      <x:c r="B654" s="90" t="str">
        <x:v>ADM</x:v>
      </x:c>
      <x:c r="C654" s="90" t="str">
        <x:v>QA-PI-003</x:v>
      </x:c>
      <x:c r="D654" s="90" t="str">
        <x:v>Clinical Outcome Benchmarking</x:v>
      </x:c>
      <x:c r="E654" s="90" t="str">
        <x:v>Core</x:v>
      </x:c>
      <x:c r="F654" s="90" t="str">
        <x:v>Yes</x:v>
      </x:c>
      <x:c r="G654" s="90" t="str">
        <x:v>Yes — bundled</x:v>
      </x:c>
      <x:c r="H654" s="90" t="str">
        <x:v>QAPI Governance &amp; Data-Driven Oversight</x:v>
      </x:c>
      <x:c r="I654" s="90" t="str">
        <x:v>80% QAPI governance scenario quiz</x:v>
      </x:c>
      <x:c r="J654" s="90" t="str">
        <x:v>By day 14; before independent duty if earlier</x:v>
      </x:c>
      <x:c r="K654" s="90" t="str">
        <x:v>At hire; then on material revision</x:v>
      </x:c>
      <x:c r="L654" s="90" t="str">
        <x:v>Ready</x:v>
      </x:c>
      <x:c r="M654" s="90" t="str">
        <x:v>Administrator must govern the QAPI plan, projects, indicators, corrective actions, and outcome oversight.</x:v>
      </x:c>
      <x:c r="N654" s="90" t="str">
        <x:v>12-allPoliciesContent.generated.ts — QA-PI-003</x:v>
      </x:c>
      <x:c r="O654" s="90" t="str">
        <x:v>https://www.ecfr.gov/current/title-42/part-484/section-484.65</x:v>
      </x:c>
      <x:c r="P654" s="90" t="str"/>
    </x:row>
    <x:row r="655" ht="42" customHeight="1">
      <x:c r="A655" s="90" t="str">
        <x:v>ADM-04</x:v>
      </x:c>
      <x:c r="B655" s="90" t="str">
        <x:v>ADM</x:v>
      </x:c>
      <x:c r="C655" s="90" t="str">
        <x:v>QA-PI-004</x:v>
      </x:c>
      <x:c r="D655" s="90" t="str">
        <x:v>Data-Driven Decision Making</x:v>
      </x:c>
      <x:c r="E655" s="90" t="str">
        <x:v>Core</x:v>
      </x:c>
      <x:c r="F655" s="90" t="str">
        <x:v>Yes</x:v>
      </x:c>
      <x:c r="G655" s="90" t="str">
        <x:v>Yes — bundled</x:v>
      </x:c>
      <x:c r="H655" s="90" t="str">
        <x:v>QAPI Governance &amp; Data-Driven Oversight</x:v>
      </x:c>
      <x:c r="I655" s="90" t="str">
        <x:v>80% QAPI governance scenario quiz</x:v>
      </x:c>
      <x:c r="J655" s="90" t="str">
        <x:v>By day 14; before independent duty if earlier</x:v>
      </x:c>
      <x:c r="K655" s="90" t="str">
        <x:v>At hire; then on material revision</x:v>
      </x:c>
      <x:c r="L655" s="90" t="str">
        <x:v>Ready</x:v>
      </x:c>
      <x:c r="M655" s="90" t="str">
        <x:v>Administrator must govern the QAPI plan, projects, indicators, corrective actions, and outcome oversight.</x:v>
      </x:c>
      <x:c r="N655" s="90" t="str">
        <x:v>12-allPoliciesContent.generated.ts — QA-PI-004</x:v>
      </x:c>
      <x:c r="O655" s="90" t="str">
        <x:v>https://www.ecfr.gov/current/title-42/part-484/section-484.65</x:v>
      </x:c>
      <x:c r="P655" s="90" t="str"/>
    </x:row>
    <x:row r="656" ht="42" customHeight="1">
      <x:c r="A656" s="90" t="str">
        <x:v>ADM-04</x:v>
      </x:c>
      <x:c r="B656" s="90" t="str">
        <x:v>ADM</x:v>
      </x:c>
      <x:c r="C656" s="90" t="str">
        <x:v>QA-PI-005</x:v>
      </x:c>
      <x:c r="D656" s="90" t="str">
        <x:v>Staff Competency Integration with QAPI</x:v>
      </x:c>
      <x:c r="E656" s="90" t="str">
        <x:v>Core</x:v>
      </x:c>
      <x:c r="F656" s="90" t="str">
        <x:v>Yes</x:v>
      </x:c>
      <x:c r="G656" s="90" t="str">
        <x:v>Yes — bundled</x:v>
      </x:c>
      <x:c r="H656" s="90" t="str">
        <x:v>QAPI Governance &amp; Data-Driven Oversight</x:v>
      </x:c>
      <x:c r="I656" s="90" t="str">
        <x:v>80% QAPI governance scenario quiz</x:v>
      </x:c>
      <x:c r="J656" s="90" t="str">
        <x:v>By day 14; before independent duty if earlier</x:v>
      </x:c>
      <x:c r="K656" s="90" t="str">
        <x:v>At hire; then on material revision</x:v>
      </x:c>
      <x:c r="L656" s="90" t="str">
        <x:v>Ready</x:v>
      </x:c>
      <x:c r="M656" s="90" t="str">
        <x:v>Administrator must govern the QAPI plan, projects, indicators, corrective actions, and outcome oversight.</x:v>
      </x:c>
      <x:c r="N656" s="90" t="str">
        <x:v>12-allPoliciesContent.generated.ts — QA-PI-005</x:v>
      </x:c>
      <x:c r="O656" s="90" t="str">
        <x:v>https://www.ecfr.gov/current/title-42/part-484/section-484.65</x:v>
      </x:c>
      <x:c r="P656" s="90" t="str"/>
    </x:row>
    <x:row r="657" ht="42" customHeight="1">
      <x:c r="A657" s="90" t="str">
        <x:v>ADM-04</x:v>
      </x:c>
      <x:c r="B657" s="90" t="str">
        <x:v>ADM</x:v>
      </x:c>
      <x:c r="C657" s="90" t="str">
        <x:v>QA-AE-002</x:v>
      </x:c>
      <x:c r="D657" s="90" t="str">
        <x:v>Root Cause Analysis Process</x:v>
      </x:c>
      <x:c r="E657" s="90" t="str">
        <x:v>Core</x:v>
      </x:c>
      <x:c r="F657" s="90" t="str">
        <x:v>Yes</x:v>
      </x:c>
      <x:c r="G657" s="90" t="str">
        <x:v>Yes — bundled</x:v>
      </x:c>
      <x:c r="H657" s="90" t="str">
        <x:v>QAPI Governance &amp; Data-Driven Oversight</x:v>
      </x:c>
      <x:c r="I657" s="90" t="str">
        <x:v>80% QAPI governance scenario quiz</x:v>
      </x:c>
      <x:c r="J657" s="90" t="str">
        <x:v>By day 14; before independent duty if earlier</x:v>
      </x:c>
      <x:c r="K657" s="90" t="str">
        <x:v>At hire; then on material revision</x:v>
      </x:c>
      <x:c r="L657" s="90" t="str">
        <x:v>Ready</x:v>
      </x:c>
      <x:c r="M657" s="90" t="str">
        <x:v>Administrator must govern the QAPI plan, projects, indicators, corrective actions, and outcome oversight.</x:v>
      </x:c>
      <x:c r="N657" s="90" t="str">
        <x:v>12-allPoliciesContent.generated.ts — QA-AE-002</x:v>
      </x:c>
      <x:c r="O657" s="90" t="str">
        <x:v>https://www.ecfr.gov/current/title-42/part-484/section-484.65</x:v>
      </x:c>
      <x:c r="P657" s="90" t="str"/>
    </x:row>
    <x:row r="658" ht="42" customHeight="1">
      <x:c r="A658" s="90" t="str">
        <x:v>ADM-04</x:v>
      </x:c>
      <x:c r="B658" s="90" t="str">
        <x:v>ADM</x:v>
      </x:c>
      <x:c r="C658" s="90" t="str">
        <x:v>QA-AE-003</x:v>
      </x:c>
      <x:c r="D658" s="90" t="str">
        <x:v>Corrective Action Plan Development &amp; Tracking</x:v>
      </x:c>
      <x:c r="E658" s="90" t="str">
        <x:v>Core</x:v>
      </x:c>
      <x:c r="F658" s="90" t="str">
        <x:v>Yes</x:v>
      </x:c>
      <x:c r="G658" s="90" t="str">
        <x:v>Yes — bundled</x:v>
      </x:c>
      <x:c r="H658" s="90" t="str">
        <x:v>QAPI Governance &amp; Data-Driven Oversight</x:v>
      </x:c>
      <x:c r="I658" s="90" t="str">
        <x:v>80% QAPI governance scenario quiz</x:v>
      </x:c>
      <x:c r="J658" s="90" t="str">
        <x:v>By day 14; before independent duty if earlier</x:v>
      </x:c>
      <x:c r="K658" s="90" t="str">
        <x:v>At hire; then on material revision</x:v>
      </x:c>
      <x:c r="L658" s="90" t="str">
        <x:v>Ready</x:v>
      </x:c>
      <x:c r="M658" s="90" t="str">
        <x:v>Administrator must govern the QAPI plan, projects, indicators, corrective actions, and outcome oversight.</x:v>
      </x:c>
      <x:c r="N658" s="90" t="str">
        <x:v>12-allPoliciesContent.generated.ts — QA-AE-003</x:v>
      </x:c>
      <x:c r="O658" s="90" t="str">
        <x:v>https://www.ecfr.gov/current/title-42/part-484/section-484.65</x:v>
      </x:c>
      <x:c r="P658" s="90" t="str"/>
    </x:row>
    <x:row r="659" ht="42" customHeight="1">
      <x:c r="A659" s="90" t="str">
        <x:v>ADM-04</x:v>
      </x:c>
      <x:c r="B659" s="90" t="str">
        <x:v>ADM</x:v>
      </x:c>
      <x:c r="C659" s="90" t="str">
        <x:v>QA-AE-004</x:v>
      </x:c>
      <x:c r="D659" s="90" t="str">
        <x:v>Patient Safety Program</x:v>
      </x:c>
      <x:c r="E659" s="90" t="str">
        <x:v>Core</x:v>
      </x:c>
      <x:c r="F659" s="90" t="str">
        <x:v>Yes</x:v>
      </x:c>
      <x:c r="G659" s="90" t="str">
        <x:v>Yes — bundled</x:v>
      </x:c>
      <x:c r="H659" s="90" t="str">
        <x:v>QAPI Governance &amp; Data-Driven Oversight</x:v>
      </x:c>
      <x:c r="I659" s="90" t="str">
        <x:v>80% QAPI governance scenario quiz</x:v>
      </x:c>
      <x:c r="J659" s="90" t="str">
        <x:v>By day 14; before independent duty if earlier</x:v>
      </x:c>
      <x:c r="K659" s="90" t="str">
        <x:v>At hire; then on material revision</x:v>
      </x:c>
      <x:c r="L659" s="90" t="str">
        <x:v>Ready</x:v>
      </x:c>
      <x:c r="M659" s="90" t="str">
        <x:v>Administrator must govern the QAPI plan, projects, indicators, corrective actions, and outcome oversight.</x:v>
      </x:c>
      <x:c r="N659" s="90" t="str">
        <x:v>12-allPoliciesContent.generated.ts — QA-AE-004</x:v>
      </x:c>
      <x:c r="O659" s="90" t="str">
        <x:v>https://www.ecfr.gov/current/title-42/part-484/section-484.65</x:v>
      </x:c>
      <x:c r="P659" s="90" t="str"/>
    </x:row>
    <x:row r="660" ht="42" customHeight="1">
      <x:c r="A660" s="90" t="str">
        <x:v>ADM-04</x:v>
      </x:c>
      <x:c r="B660" s="90" t="str">
        <x:v>ADM</x:v>
      </x:c>
      <x:c r="C660" s="90" t="str">
        <x:v>QA-SM-001</x:v>
      </x:c>
      <x:c r="D660" s="90" t="str">
        <x:v>Utilization Review &amp; Management</x:v>
      </x:c>
      <x:c r="E660" s="90" t="str">
        <x:v>Core</x:v>
      </x:c>
      <x:c r="F660" s="90" t="str">
        <x:v>Yes</x:v>
      </x:c>
      <x:c r="G660" s="90" t="str">
        <x:v>Yes — bundled</x:v>
      </x:c>
      <x:c r="H660" s="90" t="str">
        <x:v>QAPI Governance &amp; Data-Driven Oversight</x:v>
      </x:c>
      <x:c r="I660" s="90" t="str">
        <x:v>80% QAPI governance scenario quiz</x:v>
      </x:c>
      <x:c r="J660" s="90" t="str">
        <x:v>By day 14; before independent duty if earlier</x:v>
      </x:c>
      <x:c r="K660" s="90" t="str">
        <x:v>At hire; then on material revision</x:v>
      </x:c>
      <x:c r="L660" s="90" t="str">
        <x:v>Ready</x:v>
      </x:c>
      <x:c r="M660" s="90" t="str">
        <x:v>Administrator must govern the QAPI plan, projects, indicators, corrective actions, and outcome oversight.</x:v>
      </x:c>
      <x:c r="N660" s="90" t="str">
        <x:v>12-allPoliciesContent.generated.ts — QA-SM-001</x:v>
      </x:c>
      <x:c r="O660" s="90" t="str">
        <x:v>https://www.ecfr.gov/current/title-42/part-484/section-484.65</x:v>
      </x:c>
      <x:c r="P660" s="90" t="str"/>
    </x:row>
    <x:row r="661" ht="42" customHeight="1">
      <x:c r="A661" s="90" t="str">
        <x:v>ADM-04</x:v>
      </x:c>
      <x:c r="B661" s="90" t="str">
        <x:v>ADM</x:v>
      </x:c>
      <x:c r="C661" s="90" t="str">
        <x:v>QA-SM-003</x:v>
      </x:c>
      <x:c r="D661" s="90" t="str">
        <x:v>Patient Satisfaction Survey &amp; Analysis</x:v>
      </x:c>
      <x:c r="E661" s="90" t="str">
        <x:v>Core</x:v>
      </x:c>
      <x:c r="F661" s="90" t="str">
        <x:v>Yes</x:v>
      </x:c>
      <x:c r="G661" s="90" t="str">
        <x:v>Yes — bundled</x:v>
      </x:c>
      <x:c r="H661" s="90" t="str">
        <x:v>QAPI Governance &amp; Data-Driven Oversight</x:v>
      </x:c>
      <x:c r="I661" s="90" t="str">
        <x:v>80% QAPI governance scenario quiz</x:v>
      </x:c>
      <x:c r="J661" s="90" t="str">
        <x:v>By day 14; before independent duty if earlier</x:v>
      </x:c>
      <x:c r="K661" s="90" t="str">
        <x:v>At hire; then on material revision</x:v>
      </x:c>
      <x:c r="L661" s="90" t="str">
        <x:v>Ready</x:v>
      </x:c>
      <x:c r="M661" s="90" t="str">
        <x:v>Administrator must govern the QAPI plan, projects, indicators, corrective actions, and outcome oversight.</x:v>
      </x:c>
      <x:c r="N661" s="90" t="str">
        <x:v>12-allPoliciesContent.generated.ts — QA-SM-003</x:v>
      </x:c>
      <x:c r="O661" s="90" t="str">
        <x:v>https://www.ecfr.gov/current/title-42/part-484/section-484.65</x:v>
      </x:c>
      <x:c r="P661" s="90" t="str"/>
    </x:row>
    <x:row r="662" ht="42" customHeight="1">
      <x:c r="A662" s="90" t="str">
        <x:v>ADM-04</x:v>
      </x:c>
      <x:c r="B662" s="90" t="str">
        <x:v>ADM</x:v>
      </x:c>
      <x:c r="C662" s="90" t="str">
        <x:v>QA-SM-004</x:v>
      </x:c>
      <x:c r="D662" s="90" t="str">
        <x:v>Home Health Compare &amp; Star Rating Monitoring</x:v>
      </x:c>
      <x:c r="E662" s="90" t="str">
        <x:v>Core</x:v>
      </x:c>
      <x:c r="F662" s="90" t="str">
        <x:v>Yes</x:v>
      </x:c>
      <x:c r="G662" s="90" t="str">
        <x:v>Yes — bundled</x:v>
      </x:c>
      <x:c r="H662" s="90" t="str">
        <x:v>QAPI Governance &amp; Data-Driven Oversight</x:v>
      </x:c>
      <x:c r="I662" s="90" t="str">
        <x:v>80% QAPI governance scenario quiz</x:v>
      </x:c>
      <x:c r="J662" s="90" t="str">
        <x:v>By day 14; before independent duty if earlier</x:v>
      </x:c>
      <x:c r="K662" s="90" t="str">
        <x:v>At hire; then on material revision</x:v>
      </x:c>
      <x:c r="L662" s="90" t="str">
        <x:v>Ready</x:v>
      </x:c>
      <x:c r="M662" s="90" t="str">
        <x:v>Administrator must govern the QAPI plan, projects, indicators, corrective actions, and outcome oversight.</x:v>
      </x:c>
      <x:c r="N662" s="90" t="str">
        <x:v>12-allPoliciesContent.generated.ts — QA-SM-004</x:v>
      </x:c>
      <x:c r="O662" s="90" t="str">
        <x:v>https://www.ecfr.gov/current/title-42/part-484/section-484.65</x:v>
      </x:c>
      <x:c r="P662" s="90" t="str"/>
    </x:row>
    <x:row r="663" ht="42" customHeight="1">
      <x:c r="A663" s="90" t="str">
        <x:v>ADM-04</x:v>
      </x:c>
      <x:c r="B663" s="90" t="str">
        <x:v>ADM</x:v>
      </x:c>
      <x:c r="C663" s="90" t="str">
        <x:v>QA-SM-005</x:v>
      </x:c>
      <x:c r="D663" s="90" t="str">
        <x:v>Policy Effectiveness Monitoring and Outcome Validation</x:v>
      </x:c>
      <x:c r="E663" s="90" t="str">
        <x:v>Core</x:v>
      </x:c>
      <x:c r="F663" s="90" t="str">
        <x:v>Yes</x:v>
      </x:c>
      <x:c r="G663" s="90" t="str">
        <x:v>Yes — bundled</x:v>
      </x:c>
      <x:c r="H663" s="90" t="str">
        <x:v>QAPI Governance &amp; Data-Driven Oversight</x:v>
      </x:c>
      <x:c r="I663" s="90" t="str">
        <x:v>80% QAPI governance scenario quiz</x:v>
      </x:c>
      <x:c r="J663" s="90" t="str">
        <x:v>By day 14; before independent duty if earlier</x:v>
      </x:c>
      <x:c r="K663" s="90" t="str">
        <x:v>At hire; then on material revision</x:v>
      </x:c>
      <x:c r="L663" s="90" t="str">
        <x:v>Ready</x:v>
      </x:c>
      <x:c r="M663" s="90" t="str">
        <x:v>Administrator must govern the QAPI plan, projects, indicators, corrective actions, and outcome oversight.</x:v>
      </x:c>
      <x:c r="N663" s="90" t="str">
        <x:v>12-allPoliciesContent.generated.ts — QA-SM-005</x:v>
      </x:c>
      <x:c r="O663" s="90" t="str">
        <x:v>https://www.ecfr.gov/current/title-42/part-484/section-484.65</x:v>
      </x:c>
      <x:c r="P663" s="90" t="str"/>
    </x:row>
    <x:row r="664" ht="42" customHeight="1">
      <x:c r="A664" s="90" t="str">
        <x:v>ADM-04</x:v>
      </x:c>
      <x:c r="B664" s="90" t="str">
        <x:v>ADM</x:v>
      </x:c>
      <x:c r="C664" s="90" t="str">
        <x:v>QA-VBP-101</x:v>
      </x:c>
      <x:c r="D664" s="90" t="str">
        <x:v>HHVBP Performance &amp; Outcomes Management</x:v>
      </x:c>
      <x:c r="E664" s="90" t="str">
        <x:v>Core</x:v>
      </x:c>
      <x:c r="F664" s="90" t="str">
        <x:v>Yes</x:v>
      </x:c>
      <x:c r="G664" s="90" t="str">
        <x:v>Yes — bundled</x:v>
      </x:c>
      <x:c r="H664" s="90" t="str">
        <x:v>QAPI Governance &amp; Data-Driven Oversight</x:v>
      </x:c>
      <x:c r="I664" s="90" t="str">
        <x:v>80% QAPI governance scenario quiz</x:v>
      </x:c>
      <x:c r="J664" s="90" t="str">
        <x:v>By day 14; before independent duty if earlier</x:v>
      </x:c>
      <x:c r="K664" s="90" t="str">
        <x:v>At hire; then on material revision</x:v>
      </x:c>
      <x:c r="L664" s="90" t="str">
        <x:v>Ready</x:v>
      </x:c>
      <x:c r="M664" s="90" t="str">
        <x:v>Administrator must govern the QAPI plan, projects, indicators, corrective actions, and outcome oversight.</x:v>
      </x:c>
      <x:c r="N664" s="90" t="str">
        <x:v>12-allPoliciesContent.generated.ts — QA-VBP-101</x:v>
      </x:c>
      <x:c r="O664" s="90" t="str">
        <x:v>https://www.ecfr.gov/current/title-42/part-484/section-484.65</x:v>
      </x:c>
      <x:c r="P664" s="90" t="str"/>
    </x:row>
    <x:row r="665" ht="42" customHeight="1">
      <x:c r="A665" s="90" t="str">
        <x:v>ADM-05</x:v>
      </x:c>
      <x:c r="B665" s="90" t="str">
        <x:v>ADM</x:v>
      </x:c>
      <x:c r="C665" s="90" t="str">
        <x:v>RM-EP-001</x:v>
      </x:c>
      <x:c r="D665" s="90" t="str">
        <x:v>Emergency Preparedness Program</x:v>
      </x:c>
      <x:c r="E665" s="90" t="str">
        <x:v>Core</x:v>
      </x:c>
      <x:c r="F665" s="90" t="str">
        <x:v>Yes</x:v>
      </x:c>
      <x:c r="G665" s="90" t="str">
        <x:v>Yes — bundled</x:v>
      </x:c>
      <x:c r="H665" s="90" t="str">
        <x:v>Enterprise Risk, Emergency &amp; Claims Leadership</x:v>
      </x:c>
      <x:c r="I665" s="90" t="str">
        <x:v>80% risk/emergency case quiz plus exercise participation</x:v>
      </x:c>
      <x:c r="J665" s="90" t="str">
        <x:v>By day 14; before independent duty if earlier</x:v>
      </x:c>
      <x:c r="K665" s="90" t="str">
        <x:v>At hire; then on material revision</x:v>
      </x:c>
      <x:c r="L665" s="90" t="str">
        <x:v>Ready</x:v>
      </x:c>
      <x:c r="M665" s="90" t="str">
        <x:v>Administrator owns escalation, continuity, prioritization, insurance, claims, and trend response.</x:v>
      </x:c>
      <x:c r="N665" s="90" t="str">
        <x:v>12-allPoliciesContent.generated.ts — RM-EP-001</x:v>
      </x:c>
      <x:c r="O665" s="90" t="str">
        <x:v>https://www.ecfr.gov/current/title-42/part-484/section-484.102</x:v>
      </x:c>
      <x:c r="P665" s="90" t="str"/>
    </x:row>
    <x:row r="666" ht="42" customHeight="1">
      <x:c r="A666" s="90" t="str">
        <x:v>ADM-05</x:v>
      </x:c>
      <x:c r="B666" s="90" t="str">
        <x:v>ADM</x:v>
      </x:c>
      <x:c r="C666" s="90" t="str">
        <x:v>RM-EP-002</x:v>
      </x:c>
      <x:c r="D666" s="90" t="str">
        <x:v>Emergency Preparedness Training &amp; Testing Program</x:v>
      </x:c>
      <x:c r="E666" s="90" t="str">
        <x:v>Core</x:v>
      </x:c>
      <x:c r="F666" s="90" t="str">
        <x:v>Yes</x:v>
      </x:c>
      <x:c r="G666" s="90" t="str">
        <x:v>Yes — bundled</x:v>
      </x:c>
      <x:c r="H666" s="90" t="str">
        <x:v>Enterprise Risk, Emergency &amp; Claims Leadership</x:v>
      </x:c>
      <x:c r="I666" s="90" t="str">
        <x:v>80% risk/emergency case quiz plus exercise participation</x:v>
      </x:c>
      <x:c r="J666" s="90" t="str">
        <x:v>By day 14; before independent duty if earlier</x:v>
      </x:c>
      <x:c r="K666" s="90" t="str">
        <x:v>At hire; then on material revision</x:v>
      </x:c>
      <x:c r="L666" s="90" t="str">
        <x:v>Ready</x:v>
      </x:c>
      <x:c r="M666" s="90" t="str">
        <x:v>Administrator owns escalation, continuity, prioritization, insurance, claims, and trend response.</x:v>
      </x:c>
      <x:c r="N666" s="90" t="str">
        <x:v>12-allPoliciesContent.generated.ts — RM-EP-002</x:v>
      </x:c>
      <x:c r="O666" s="90" t="str">
        <x:v>https://www.ecfr.gov/current/title-42/part-484/section-484.102</x:v>
      </x:c>
      <x:c r="P666" s="90" t="str"/>
    </x:row>
    <x:row r="667" ht="42" customHeight="1">
      <x:c r="A667" s="90" t="str">
        <x:v>ADM-05</x:v>
      </x:c>
      <x:c r="B667" s="90" t="str">
        <x:v>ADM</x:v>
      </x:c>
      <x:c r="C667" s="90" t="str">
        <x:v>RM-EP-003</x:v>
      </x:c>
      <x:c r="D667" s="90" t="str">
        <x:v>Patient Emergency Communication Plan</x:v>
      </x:c>
      <x:c r="E667" s="90" t="str">
        <x:v>Core</x:v>
      </x:c>
      <x:c r="F667" s="90" t="str">
        <x:v>Yes</x:v>
      </x:c>
      <x:c r="G667" s="90" t="str">
        <x:v>Yes — bundled</x:v>
      </x:c>
      <x:c r="H667" s="90" t="str">
        <x:v>Enterprise Risk, Emergency &amp; Claims Leadership</x:v>
      </x:c>
      <x:c r="I667" s="90" t="str">
        <x:v>80% risk/emergency case quiz plus exercise participation</x:v>
      </x:c>
      <x:c r="J667" s="90" t="str">
        <x:v>By day 14; before independent duty if earlier</x:v>
      </x:c>
      <x:c r="K667" s="90" t="str">
        <x:v>At hire; then on material revision</x:v>
      </x:c>
      <x:c r="L667" s="90" t="str">
        <x:v>Ready</x:v>
      </x:c>
      <x:c r="M667" s="90" t="str">
        <x:v>Administrator owns escalation, continuity, prioritization, insurance, claims, and trend response.</x:v>
      </x:c>
      <x:c r="N667" s="90" t="str">
        <x:v>12-allPoliciesContent.generated.ts — RM-EP-003</x:v>
      </x:c>
      <x:c r="O667" s="90" t="str">
        <x:v>https://www.ecfr.gov/current/title-42/part-484/section-484.102</x:v>
      </x:c>
      <x:c r="P667" s="90" t="str"/>
    </x:row>
    <x:row r="668" ht="42" customHeight="1">
      <x:c r="A668" s="90" t="str">
        <x:v>ADM-05</x:v>
      </x:c>
      <x:c r="B668" s="90" t="str">
        <x:v>ADM</x:v>
      </x:c>
      <x:c r="C668" s="90" t="str">
        <x:v>RM-ER-001</x:v>
      </x:c>
      <x:c r="D668" s="90" t="str">
        <x:v>Enterprise Risk Management Program</x:v>
      </x:c>
      <x:c r="E668" s="90" t="str">
        <x:v>Core</x:v>
      </x:c>
      <x:c r="F668" s="90" t="str">
        <x:v>Yes</x:v>
      </x:c>
      <x:c r="G668" s="90" t="str">
        <x:v>Yes — bundled</x:v>
      </x:c>
      <x:c r="H668" s="90" t="str">
        <x:v>Enterprise Risk, Emergency &amp; Claims Leadership</x:v>
      </x:c>
      <x:c r="I668" s="90" t="str">
        <x:v>80% risk/emergency case quiz plus exercise participation</x:v>
      </x:c>
      <x:c r="J668" s="90" t="str">
        <x:v>By day 14; before independent duty if earlier</x:v>
      </x:c>
      <x:c r="K668" s="90" t="str">
        <x:v>At hire; then on material revision</x:v>
      </x:c>
      <x:c r="L668" s="90" t="str">
        <x:v>Ready</x:v>
      </x:c>
      <x:c r="M668" s="90" t="str">
        <x:v>Administrator owns escalation, continuity, prioritization, insurance, claims, and trend response.</x:v>
      </x:c>
      <x:c r="N668" s="90" t="str">
        <x:v>12-allPoliciesContent.generated.ts — RM-ER-001</x:v>
      </x:c>
      <x:c r="O668" s="90" t="str"/>
      <x:c r="P668" s="90" t="str"/>
    </x:row>
    <x:row r="669" ht="42" customHeight="1">
      <x:c r="A669" s="90" t="str">
        <x:v>ADM-05</x:v>
      </x:c>
      <x:c r="B669" s="90" t="str">
        <x:v>ADM</x:v>
      </x:c>
      <x:c r="C669" s="90" t="str">
        <x:v>RM-ER-002</x:v>
      </x:c>
      <x:c r="D669" s="90" t="str">
        <x:v>Incident Reporting &amp; Investigation</x:v>
      </x:c>
      <x:c r="E669" s="90" t="str">
        <x:v>Core</x:v>
      </x:c>
      <x:c r="F669" s="90" t="str">
        <x:v>Yes</x:v>
      </x:c>
      <x:c r="G669" s="90" t="str">
        <x:v>Yes — bundled</x:v>
      </x:c>
      <x:c r="H669" s="90" t="str">
        <x:v>Enterprise Risk, Emergency &amp; Claims Leadership</x:v>
      </x:c>
      <x:c r="I669" s="90" t="str">
        <x:v>80% risk/emergency case quiz plus exercise participation</x:v>
      </x:c>
      <x:c r="J669" s="90" t="str">
        <x:v>By day 14; before independent duty if earlier</x:v>
      </x:c>
      <x:c r="K669" s="90" t="str">
        <x:v>At hire; then on material revision</x:v>
      </x:c>
      <x:c r="L669" s="90" t="str">
        <x:v>Ready</x:v>
      </x:c>
      <x:c r="M669" s="90" t="str">
        <x:v>Administrator owns escalation, continuity, prioritization, insurance, claims, and trend response.</x:v>
      </x:c>
      <x:c r="N669" s="90" t="str">
        <x:v>12-allPoliciesContent.generated.ts — RM-ER-002</x:v>
      </x:c>
      <x:c r="O669" s="90" t="str"/>
      <x:c r="P669" s="90" t="str"/>
    </x:row>
    <x:row r="670" ht="42" customHeight="1">
      <x:c r="A670" s="90" t="str">
        <x:v>ADM-05</x:v>
      </x:c>
      <x:c r="B670" s="90" t="str">
        <x:v>ADM</x:v>
      </x:c>
      <x:c r="C670" s="90" t="str">
        <x:v>RM-ER-003</x:v>
      </x:c>
      <x:c r="D670" s="90" t="str">
        <x:v>Risk Assessment &amp; Prioritization</x:v>
      </x:c>
      <x:c r="E670" s="90" t="str">
        <x:v>Core</x:v>
      </x:c>
      <x:c r="F670" s="90" t="str">
        <x:v>Yes</x:v>
      </x:c>
      <x:c r="G670" s="90" t="str">
        <x:v>Yes — bundled</x:v>
      </x:c>
      <x:c r="H670" s="90" t="str">
        <x:v>Enterprise Risk, Emergency &amp; Claims Leadership</x:v>
      </x:c>
      <x:c r="I670" s="90" t="str">
        <x:v>80% risk/emergency case quiz plus exercise participation</x:v>
      </x:c>
      <x:c r="J670" s="90" t="str">
        <x:v>By day 14; before independent duty if earlier</x:v>
      </x:c>
      <x:c r="K670" s="90" t="str">
        <x:v>At hire; then on material revision</x:v>
      </x:c>
      <x:c r="L670" s="90" t="str">
        <x:v>Ready</x:v>
      </x:c>
      <x:c r="M670" s="90" t="str">
        <x:v>Administrator owns escalation, continuity, prioritization, insurance, claims, and trend response.</x:v>
      </x:c>
      <x:c r="N670" s="90" t="str">
        <x:v>12-allPoliciesContent.generated.ts — RM-ER-003</x:v>
      </x:c>
      <x:c r="O670" s="90" t="str"/>
      <x:c r="P670" s="90" t="str"/>
    </x:row>
    <x:row r="671" ht="42" customHeight="1">
      <x:c r="A671" s="90" t="str">
        <x:v>ADM-05</x:v>
      </x:c>
      <x:c r="B671" s="90" t="str">
        <x:v>ADM</x:v>
      </x:c>
      <x:c r="C671" s="90" t="str">
        <x:v>RM-ER-004</x:v>
      </x:c>
      <x:c r="D671" s="90" t="str">
        <x:v>Liability &amp; Insurance Management</x:v>
      </x:c>
      <x:c r="E671" s="90" t="str">
        <x:v>Core</x:v>
      </x:c>
      <x:c r="F671" s="90" t="str">
        <x:v>Yes</x:v>
      </x:c>
      <x:c r="G671" s="90" t="str">
        <x:v>Yes — bundled</x:v>
      </x:c>
      <x:c r="H671" s="90" t="str">
        <x:v>Enterprise Risk, Emergency &amp; Claims Leadership</x:v>
      </x:c>
      <x:c r="I671" s="90" t="str">
        <x:v>80% risk/emergency case quiz plus exercise participation</x:v>
      </x:c>
      <x:c r="J671" s="90" t="str">
        <x:v>By day 14; before independent duty if earlier</x:v>
      </x:c>
      <x:c r="K671" s="90" t="str">
        <x:v>At hire; then on material revision</x:v>
      </x:c>
      <x:c r="L671" s="90" t="str">
        <x:v>Ready</x:v>
      </x:c>
      <x:c r="M671" s="90" t="str">
        <x:v>Administrator owns escalation, continuity, prioritization, insurance, claims, and trend response.</x:v>
      </x:c>
      <x:c r="N671" s="90" t="str">
        <x:v>12-allPoliciesContent.generated.ts — RM-ER-004</x:v>
      </x:c>
      <x:c r="O671" s="90" t="str"/>
      <x:c r="P671" s="90" t="str"/>
    </x:row>
    <x:row r="672" ht="42" customHeight="1">
      <x:c r="A672" s="90" t="str">
        <x:v>ADM-05</x:v>
      </x:c>
      <x:c r="B672" s="90" t="str">
        <x:v>ADM</x:v>
      </x:c>
      <x:c r="C672" s="90" t="str">
        <x:v>RM-ER-005</x:v>
      </x:c>
      <x:c r="D672" s="90" t="str">
        <x:v>Risk Trending &amp; Pattern Analysis</x:v>
      </x:c>
      <x:c r="E672" s="90" t="str">
        <x:v>Core</x:v>
      </x:c>
      <x:c r="F672" s="90" t="str">
        <x:v>Yes</x:v>
      </x:c>
      <x:c r="G672" s="90" t="str">
        <x:v>Yes — bundled</x:v>
      </x:c>
      <x:c r="H672" s="90" t="str">
        <x:v>Enterprise Risk, Emergency &amp; Claims Leadership</x:v>
      </x:c>
      <x:c r="I672" s="90" t="str">
        <x:v>80% risk/emergency case quiz plus exercise participation</x:v>
      </x:c>
      <x:c r="J672" s="90" t="str">
        <x:v>By day 14; before independent duty if earlier</x:v>
      </x:c>
      <x:c r="K672" s="90" t="str">
        <x:v>At hire; then on material revision</x:v>
      </x:c>
      <x:c r="L672" s="90" t="str">
        <x:v>Ready</x:v>
      </x:c>
      <x:c r="M672" s="90" t="str">
        <x:v>Administrator owns escalation, continuity, prioritization, insurance, claims, and trend response.</x:v>
      </x:c>
      <x:c r="N672" s="90" t="str">
        <x:v>12-allPoliciesContent.generated.ts — RM-ER-005</x:v>
      </x:c>
      <x:c r="O672" s="90" t="str"/>
      <x:c r="P672" s="90" t="str"/>
    </x:row>
    <x:row r="673" ht="42" customHeight="1">
      <x:c r="A673" s="90" t="str">
        <x:v>ADM-05</x:v>
      </x:c>
      <x:c r="B673" s="90" t="str">
        <x:v>ADM</x:v>
      </x:c>
      <x:c r="C673" s="90" t="str">
        <x:v>RM-ER-006</x:v>
      </x:c>
      <x:c r="D673" s="90" t="str">
        <x:v>Claims Management &amp; Litigation Support</x:v>
      </x:c>
      <x:c r="E673" s="90" t="str">
        <x:v>Core</x:v>
      </x:c>
      <x:c r="F673" s="90" t="str">
        <x:v>Yes</x:v>
      </x:c>
      <x:c r="G673" s="90" t="str">
        <x:v>Yes — bundled</x:v>
      </x:c>
      <x:c r="H673" s="90" t="str">
        <x:v>Enterprise Risk, Emergency &amp; Claims Leadership</x:v>
      </x:c>
      <x:c r="I673" s="90" t="str">
        <x:v>80% risk/emergency case quiz plus exercise participation</x:v>
      </x:c>
      <x:c r="J673" s="90" t="str">
        <x:v>By day 14; before independent duty if earlier</x:v>
      </x:c>
      <x:c r="K673" s="90" t="str">
        <x:v>At hire; then on material revision</x:v>
      </x:c>
      <x:c r="L673" s="90" t="str">
        <x:v>Ready</x:v>
      </x:c>
      <x:c r="M673" s="90" t="str">
        <x:v>Administrator owns escalation, continuity, prioritization, insurance, claims, and trend response.</x:v>
      </x:c>
      <x:c r="N673" s="90" t="str">
        <x:v>12-allPoliciesContent.generated.ts — RM-ER-006</x:v>
      </x:c>
      <x:c r="O673" s="90" t="str"/>
      <x:c r="P673" s="90" t="str"/>
    </x:row>
    <x:row r="674" ht="42" customHeight="1">
      <x:c r="A674" s="90" t="str">
        <x:v>ADM-06</x:v>
      </x:c>
      <x:c r="B674" s="90" t="str">
        <x:v>ADM</x:v>
      </x:c>
      <x:c r="C674" s="90" t="str">
        <x:v>HR-TA-005</x:v>
      </x:c>
      <x:c r="D674" s="90" t="str">
        <x:v>Employee Orientation &amp; Onboarding</x:v>
      </x:c>
      <x:c r="E674" s="90" t="str">
        <x:v>Core</x:v>
      </x:c>
      <x:c r="F674" s="90" t="str">
        <x:v>Yes</x:v>
      </x:c>
      <x:c r="G674" s="90" t="str">
        <x:v>Yes — bundled</x:v>
      </x:c>
      <x:c r="H674" s="90" t="str">
        <x:v>Workforce, Training, Competency &amp; Employee Relations Leadership</x:v>
      </x:c>
      <x:c r="I674" s="90" t="str">
        <x:v>80% supervisor quiz; 2-hour interactive harassment course every 2 years</x:v>
      </x:c>
      <x:c r="J674" s="90" t="str">
        <x:v>By day 14; before independent duty if earlier</x:v>
      </x:c>
      <x:c r="K674" s="90" t="str">
        <x:v>At hire; then on material revision</x:v>
      </x:c>
      <x:c r="L674" s="90" t="str">
        <x:v>Partial hold</x:v>
      </x:c>
      <x:c r="M674" s="90" t="str">
        <x:v>Administrator needs workforce decision rules, training/competency controls, performance, discipline, and supervisory harassment obligations.</x:v>
      </x:c>
      <x:c r="N674" s="90" t="str">
        <x:v>12-allPoliciesContent.generated.ts — HR-TA-005</x:v>
      </x:c>
      <x:c r="O674" s="90" t="str"/>
      <x:c r="P674" s="90" t="str"/>
    </x:row>
    <x:row r="675" ht="42" customHeight="1">
      <x:c r="A675" s="90" t="str">
        <x:v>ADM-06</x:v>
      </x:c>
      <x:c r="B675" s="90" t="str">
        <x:v>ADM</x:v>
      </x:c>
      <x:c r="C675" s="90" t="str">
        <x:v>HR-TA-006</x:v>
      </x:c>
      <x:c r="D675" s="90" t="str">
        <x:v>Job Description &amp; Role Definition</x:v>
      </x:c>
      <x:c r="E675" s="90" t="str">
        <x:v>Core</x:v>
      </x:c>
      <x:c r="F675" s="90" t="str">
        <x:v>Yes</x:v>
      </x:c>
      <x:c r="G675" s="90" t="str">
        <x:v>Yes — bundled</x:v>
      </x:c>
      <x:c r="H675" s="90" t="str">
        <x:v>Workforce, Training, Competency &amp; Employee Relations Leadership</x:v>
      </x:c>
      <x:c r="I675" s="90" t="str">
        <x:v>80% supervisor quiz; 2-hour interactive harassment course every 2 years</x:v>
      </x:c>
      <x:c r="J675" s="90" t="str">
        <x:v>By day 14; before independent duty if earlier</x:v>
      </x:c>
      <x:c r="K675" s="90" t="str">
        <x:v>At hire; then on material revision</x:v>
      </x:c>
      <x:c r="L675" s="90" t="str">
        <x:v>Partial hold</x:v>
      </x:c>
      <x:c r="M675" s="90" t="str">
        <x:v>Administrator needs workforce decision rules, training/competency controls, performance, discipline, and supervisory harassment obligations.</x:v>
      </x:c>
      <x:c r="N675" s="90" t="str">
        <x:v>12-allPoliciesContent.generated.ts — HR-TA-006</x:v>
      </x:c>
      <x:c r="O675" s="90" t="str"/>
      <x:c r="P675" s="90" t="str"/>
    </x:row>
    <x:row r="676" ht="42" customHeight="1">
      <x:c r="A676" s="90" t="str">
        <x:v>ADM-06</x:v>
      </x:c>
      <x:c r="B676" s="90" t="str">
        <x:v>ADM</x:v>
      </x:c>
      <x:c r="C676" s="90" t="str">
        <x:v>HR-TD-001</x:v>
      </x:c>
      <x:c r="D676" s="90" t="str">
        <x:v>Annual Mandatory Training Requirements</x:v>
      </x:c>
      <x:c r="E676" s="90" t="str">
        <x:v>Core</x:v>
      </x:c>
      <x:c r="F676" s="90" t="str">
        <x:v>Yes</x:v>
      </x:c>
      <x:c r="G676" s="90" t="str">
        <x:v>Yes — bundled</x:v>
      </x:c>
      <x:c r="H676" s="90" t="str">
        <x:v>Workforce, Training, Competency &amp; Employee Relations Leadership</x:v>
      </x:c>
      <x:c r="I676" s="90" t="str">
        <x:v>80% supervisor quiz; 2-hour interactive harassment course every 2 years</x:v>
      </x:c>
      <x:c r="J676" s="90" t="str">
        <x:v>By day 14; before independent duty if earlier</x:v>
      </x:c>
      <x:c r="K676" s="90" t="str">
        <x:v>At hire; then on material revision</x:v>
      </x:c>
      <x:c r="L676" s="90" t="str">
        <x:v>Partial hold</x:v>
      </x:c>
      <x:c r="M676" s="90" t="str">
        <x:v>Administrator needs workforce decision rules, training/competency controls, performance, discipline, and supervisory harassment obligations.</x:v>
      </x:c>
      <x:c r="N676" s="90" t="str">
        <x:v>12-allPoliciesContent.generated.ts — HR-TD-001</x:v>
      </x:c>
      <x:c r="O676" s="90" t="str"/>
      <x:c r="P676" s="90" t="str"/>
    </x:row>
    <x:row r="677" ht="42" customHeight="1">
      <x:c r="A677" s="90" t="str">
        <x:v>ADM-06</x:v>
      </x:c>
      <x:c r="B677" s="90" t="str">
        <x:v>ADM</x:v>
      </x:c>
      <x:c r="C677" s="90" t="str">
        <x:v>HR-TD-003</x:v>
      </x:c>
      <x:c r="D677" s="90" t="str">
        <x:v>Clinical Staff Competency Evaluation</x:v>
      </x:c>
      <x:c r="E677" s="90" t="str">
        <x:v>Core</x:v>
      </x:c>
      <x:c r="F677" s="90" t="str">
        <x:v>Yes</x:v>
      </x:c>
      <x:c r="G677" s="90" t="str">
        <x:v>Yes — bundled</x:v>
      </x:c>
      <x:c r="H677" s="90" t="str">
        <x:v>Workforce, Training, Competency &amp; Employee Relations Leadership</x:v>
      </x:c>
      <x:c r="I677" s="90" t="str">
        <x:v>80% supervisor quiz; 2-hour interactive harassment course every 2 years</x:v>
      </x:c>
      <x:c r="J677" s="90" t="str">
        <x:v>By day 14; before independent duty if earlier</x:v>
      </x:c>
      <x:c r="K677" s="90" t="str">
        <x:v>At hire; then on material revision</x:v>
      </x:c>
      <x:c r="L677" s="90" t="str">
        <x:v>Partial hold</x:v>
      </x:c>
      <x:c r="M677" s="90" t="str">
        <x:v>Administrator needs workforce decision rules, training/competency controls, performance, discipline, and supervisory harassment obligations.</x:v>
      </x:c>
      <x:c r="N677" s="90" t="str">
        <x:v>12-allPoliciesContent.generated.ts — HR-TD-003</x:v>
      </x:c>
      <x:c r="O677" s="90" t="str"/>
      <x:c r="P677" s="90" t="str"/>
    </x:row>
    <x:row r="678" ht="42" customHeight="1">
      <x:c r="A678" s="90" t="str">
        <x:v>ADM-06</x:v>
      </x:c>
      <x:c r="B678" s="90" t="str">
        <x:v>ADM</x:v>
      </x:c>
      <x:c r="C678" s="90" t="str">
        <x:v>HR-TD-005</x:v>
      </x:c>
      <x:c r="D678" s="90" t="str">
        <x:v>Emergency Preparedness Training &amp; Drills</x:v>
      </x:c>
      <x:c r="E678" s="90" t="str">
        <x:v>Core</x:v>
      </x:c>
      <x:c r="F678" s="90" t="str">
        <x:v>Yes</x:v>
      </x:c>
      <x:c r="G678" s="90" t="str">
        <x:v>Yes — bundled</x:v>
      </x:c>
      <x:c r="H678" s="90" t="str">
        <x:v>Workforce, Training, Competency &amp; Employee Relations Leadership</x:v>
      </x:c>
      <x:c r="I678" s="90" t="str">
        <x:v>80% supervisor quiz; 2-hour interactive harassment course every 2 years</x:v>
      </x:c>
      <x:c r="J678" s="90" t="str">
        <x:v>By day 14; before independent duty if earlier</x:v>
      </x:c>
      <x:c r="K678" s="90" t="str">
        <x:v>At hire; then on material revision</x:v>
      </x:c>
      <x:c r="L678" s="90" t="str">
        <x:v>Partial hold</x:v>
      </x:c>
      <x:c r="M678" s="90" t="str">
        <x:v>Administrator needs workforce decision rules, training/competency controls, performance, discipline, and supervisory harassment obligations.</x:v>
      </x:c>
      <x:c r="N678" s="90" t="str">
        <x:v>12-allPoliciesContent.generated.ts — HR-TD-005</x:v>
      </x:c>
      <x:c r="O678" s="90" t="str"/>
      <x:c r="P678" s="90" t="str"/>
    </x:row>
    <x:row r="679" ht="42" customHeight="1">
      <x:c r="A679" s="90" t="str">
        <x:v>ADM-06</x:v>
      </x:c>
      <x:c r="B679" s="90" t="str">
        <x:v>ADM</x:v>
      </x:c>
      <x:c r="C679" s="90" t="str">
        <x:v>HR-TR-101</x:v>
      </x:c>
      <x:c r="D679" s="90" t="str">
        <x:v>Workforce Training, Competency &amp; Policy Acknowledgment</x:v>
      </x:c>
      <x:c r="E679" s="90" t="str">
        <x:v>Core</x:v>
      </x:c>
      <x:c r="F679" s="90" t="str">
        <x:v>Yes</x:v>
      </x:c>
      <x:c r="G679" s="90" t="str">
        <x:v>Yes — bundled</x:v>
      </x:c>
      <x:c r="H679" s="90" t="str">
        <x:v>Workforce, Training, Competency &amp; Employee Relations Leadership</x:v>
      </x:c>
      <x:c r="I679" s="90" t="str">
        <x:v>80% supervisor quiz; 2-hour interactive harassment course every 2 years</x:v>
      </x:c>
      <x:c r="J679" s="90" t="str">
        <x:v>By day 14; before independent duty if earlier</x:v>
      </x:c>
      <x:c r="K679" s="90" t="str">
        <x:v>At hire; then on material revision</x:v>
      </x:c>
      <x:c r="L679" s="90" t="str">
        <x:v>Partial hold</x:v>
      </x:c>
      <x:c r="M679" s="90" t="str">
        <x:v>Administrator needs workforce decision rules, training/competency controls, performance, discipline, and supervisory harassment obligations.</x:v>
      </x:c>
      <x:c r="N679" s="90" t="str">
        <x:v>12-allPoliciesContent.generated.ts — HR-TR-101</x:v>
      </x:c>
      <x:c r="O679" s="90" t="str"/>
      <x:c r="P679" s="90" t="str"/>
    </x:row>
    <x:row r="680" ht="42" customHeight="1">
      <x:c r="A680" s="90" t="str">
        <x:v>ADM-06</x:v>
      </x:c>
      <x:c r="B680" s="90" t="str">
        <x:v>ADM</x:v>
      </x:c>
      <x:c r="C680" s="90" t="str">
        <x:v>HR-WM-001</x:v>
      </x:c>
      <x:c r="D680" s="90" t="str">
        <x:v>Staffing Levels &amp; Workload Management</x:v>
      </x:c>
      <x:c r="E680" s="90" t="str">
        <x:v>Core</x:v>
      </x:c>
      <x:c r="F680" s="90" t="str">
        <x:v>Yes</x:v>
      </x:c>
      <x:c r="G680" s="90" t="str">
        <x:v>Yes — bundled</x:v>
      </x:c>
      <x:c r="H680" s="90" t="str">
        <x:v>Workforce, Training, Competency &amp; Employee Relations Leadership</x:v>
      </x:c>
      <x:c r="I680" s="90" t="str">
        <x:v>80% supervisor quiz; 2-hour interactive harassment course every 2 years</x:v>
      </x:c>
      <x:c r="J680" s="90" t="str">
        <x:v>By day 14; before independent duty if earlier</x:v>
      </x:c>
      <x:c r="K680" s="90" t="str">
        <x:v>At hire; then on material revision</x:v>
      </x:c>
      <x:c r="L680" s="90" t="str">
        <x:v>Partial hold</x:v>
      </x:c>
      <x:c r="M680" s="90" t="str">
        <x:v>Administrator needs workforce decision rules, training/competency controls, performance, discipline, and supervisory harassment obligations.</x:v>
      </x:c>
      <x:c r="N680" s="90" t="str">
        <x:v>12-allPoliciesContent.generated.ts — HR-WM-001</x:v>
      </x:c>
      <x:c r="O680" s="90" t="str"/>
      <x:c r="P680" s="90" t="str"/>
    </x:row>
    <x:row r="681" ht="42" customHeight="1">
      <x:c r="A681" s="90" t="str">
        <x:v>ADM-06</x:v>
      </x:c>
      <x:c r="B681" s="90" t="str">
        <x:v>ADM</x:v>
      </x:c>
      <x:c r="C681" s="90" t="str">
        <x:v>HR-WM-003</x:v>
      </x:c>
      <x:c r="D681" s="90" t="str">
        <x:v>Employee Health &amp; Immunization Requirements</x:v>
      </x:c>
      <x:c r="E681" s="90" t="str">
        <x:v>Core</x:v>
      </x:c>
      <x:c r="F681" s="90" t="str">
        <x:v>Yes</x:v>
      </x:c>
      <x:c r="G681" s="90" t="str">
        <x:v>Yes — bundled</x:v>
      </x:c>
      <x:c r="H681" s="90" t="str">
        <x:v>Workforce, Training, Competency &amp; Employee Relations Leadership</x:v>
      </x:c>
      <x:c r="I681" s="90" t="str">
        <x:v>80% supervisor quiz; 2-hour interactive harassment course every 2 years</x:v>
      </x:c>
      <x:c r="J681" s="90" t="str">
        <x:v>By day 14; before independent duty if earlier</x:v>
      </x:c>
      <x:c r="K681" s="90" t="str">
        <x:v>At hire; then on material revision</x:v>
      </x:c>
      <x:c r="L681" s="90" t="str">
        <x:v>Partial hold</x:v>
      </x:c>
      <x:c r="M681" s="90" t="str">
        <x:v>Administrator needs workforce decision rules, training/competency controls, performance, discipline, and supervisory harassment obligations.</x:v>
      </x:c>
      <x:c r="N681" s="90" t="str">
        <x:v>12-allPoliciesContent.generated.ts — HR-WM-003</x:v>
      </x:c>
      <x:c r="O681" s="90" t="str"/>
      <x:c r="P681" s="90" t="str"/>
    </x:row>
    <x:row r="682" ht="42" customHeight="1">
      <x:c r="A682" s="90" t="str">
        <x:v>ADM-06</x:v>
      </x:c>
      <x:c r="B682" s="90" t="str">
        <x:v>ADM</x:v>
      </x:c>
      <x:c r="C682" s="90" t="str">
        <x:v>HR-WM-004</x:v>
      </x:c>
      <x:c r="D682" s="90" t="str">
        <x:v>Workplace Safety &amp; Injury Prevention</x:v>
      </x:c>
      <x:c r="E682" s="90" t="str">
        <x:v>Core</x:v>
      </x:c>
      <x:c r="F682" s="90" t="str">
        <x:v>Yes</x:v>
      </x:c>
      <x:c r="G682" s="90" t="str">
        <x:v>Yes — bundled</x:v>
      </x:c>
      <x:c r="H682" s="90" t="str">
        <x:v>Workforce, Training, Competency &amp; Employee Relations Leadership</x:v>
      </x:c>
      <x:c r="I682" s="90" t="str">
        <x:v>80% supervisor quiz; 2-hour interactive harassment course every 2 years</x:v>
      </x:c>
      <x:c r="J682" s="90" t="str">
        <x:v>By day 14; before independent duty if earlier</x:v>
      </x:c>
      <x:c r="K682" s="90" t="str">
        <x:v>At hire; then on material revision</x:v>
      </x:c>
      <x:c r="L682" s="90" t="str">
        <x:v>Partial hold</x:v>
      </x:c>
      <x:c r="M682" s="90" t="str">
        <x:v>Administrator needs workforce decision rules, training/competency controls, performance, discipline, and supervisory harassment obligations.</x:v>
      </x:c>
      <x:c r="N682" s="90" t="str">
        <x:v>12-allPoliciesContent.generated.ts — HR-WM-004</x:v>
      </x:c>
      <x:c r="O682" s="90" t="str"/>
      <x:c r="P682" s="90" t="str"/>
    </x:row>
    <x:row r="683" ht="42" customHeight="1">
      <x:c r="A683" s="90" t="str">
        <x:v>ADM-06</x:v>
      </x:c>
      <x:c r="B683" s="90" t="str">
        <x:v>ADM</x:v>
      </x:c>
      <x:c r="C683" s="90" t="str">
        <x:v>HR-WM-007</x:v>
      </x:c>
      <x:c r="D683" s="90" t="str">
        <x:v>Personnel File Content &amp; Compliance</x:v>
      </x:c>
      <x:c r="E683" s="90" t="str">
        <x:v>Core</x:v>
      </x:c>
      <x:c r="F683" s="90" t="str">
        <x:v>Yes</x:v>
      </x:c>
      <x:c r="G683" s="90" t="str">
        <x:v>Yes — bundled</x:v>
      </x:c>
      <x:c r="H683" s="90" t="str">
        <x:v>Workforce, Training, Competency &amp; Employee Relations Leadership</x:v>
      </x:c>
      <x:c r="I683" s="90" t="str">
        <x:v>80% supervisor quiz; 2-hour interactive harassment course every 2 years</x:v>
      </x:c>
      <x:c r="J683" s="90" t="str">
        <x:v>By day 14; before independent duty if earlier</x:v>
      </x:c>
      <x:c r="K683" s="90" t="str">
        <x:v>At hire; then on material revision</x:v>
      </x:c>
      <x:c r="L683" s="90" t="str">
        <x:v>Partial hold</x:v>
      </x:c>
      <x:c r="M683" s="90" t="str">
        <x:v>Administrator needs workforce decision rules, training/competency controls, performance, discipline, and supervisory harassment obligations.</x:v>
      </x:c>
      <x:c r="N683" s="90" t="str">
        <x:v>12-allPoliciesContent.generated.ts — HR-WM-007</x:v>
      </x:c>
      <x:c r="O683" s="90" t="str"/>
      <x:c r="P683" s="90" t="str"/>
    </x:row>
    <x:row r="684" ht="42" customHeight="1">
      <x:c r="A684" s="90" t="str">
        <x:v>ADM-06</x:v>
      </x:c>
      <x:c r="B684" s="90" t="str">
        <x:v>ADM</x:v>
      </x:c>
      <x:c r="C684" s="90" t="str">
        <x:v>HR-ER-001</x:v>
      </x:c>
      <x:c r="D684" s="90" t="str">
        <x:v>Performance Evaluation &amp; Review</x:v>
      </x:c>
      <x:c r="E684" s="90" t="str">
        <x:v>Core</x:v>
      </x:c>
      <x:c r="F684" s="90" t="str">
        <x:v>Yes</x:v>
      </x:c>
      <x:c r="G684" s="90" t="str">
        <x:v>Yes — bundled</x:v>
      </x:c>
      <x:c r="H684" s="90" t="str">
        <x:v>Workforce, Training, Competency &amp; Employee Relations Leadership</x:v>
      </x:c>
      <x:c r="I684" s="90" t="str">
        <x:v>80% supervisor quiz; 2-hour interactive harassment course every 2 years</x:v>
      </x:c>
      <x:c r="J684" s="90" t="str">
        <x:v>By day 14; before independent duty if earlier</x:v>
      </x:c>
      <x:c r="K684" s="90" t="str">
        <x:v>At hire; then on material revision</x:v>
      </x:c>
      <x:c r="L684" s="90" t="str">
        <x:v>Partial hold</x:v>
      </x:c>
      <x:c r="M684" s="90" t="str">
        <x:v>Administrator needs workforce decision rules, training/competency controls, performance, discipline, and supervisory harassment obligations.</x:v>
      </x:c>
      <x:c r="N684" s="90" t="str">
        <x:v>12-allPoliciesContent.generated.ts — HR-ER-001</x:v>
      </x:c>
      <x:c r="O684" s="90" t="str"/>
      <x:c r="P684" s="90" t="str"/>
    </x:row>
    <x:row r="685" ht="42" customHeight="1">
      <x:c r="A685" s="90" t="str">
        <x:v>ADM-06</x:v>
      </x:c>
      <x:c r="B685" s="90" t="str">
        <x:v>ADM</x:v>
      </x:c>
      <x:c r="C685" s="90" t="str">
        <x:v>HR-ER-002</x:v>
      </x:c>
      <x:c r="D685" s="90" t="str">
        <x:v>Disciplinary Action &amp; Progressive Discipline</x:v>
      </x:c>
      <x:c r="E685" s="90" t="str">
        <x:v>Core</x:v>
      </x:c>
      <x:c r="F685" s="90" t="str">
        <x:v>Yes</x:v>
      </x:c>
      <x:c r="G685" s="90" t="str">
        <x:v>Yes — bundled</x:v>
      </x:c>
      <x:c r="H685" s="90" t="str">
        <x:v>Workforce, Training, Competency &amp; Employee Relations Leadership</x:v>
      </x:c>
      <x:c r="I685" s="90" t="str">
        <x:v>80% supervisor quiz; 2-hour interactive harassment course every 2 years</x:v>
      </x:c>
      <x:c r="J685" s="90" t="str">
        <x:v>By day 14; before independent duty if earlier</x:v>
      </x:c>
      <x:c r="K685" s="90" t="str">
        <x:v>At hire; then on material revision</x:v>
      </x:c>
      <x:c r="L685" s="90" t="str">
        <x:v>Partial hold</x:v>
      </x:c>
      <x:c r="M685" s="90" t="str">
        <x:v>Administrator needs workforce decision rules, training/competency controls, performance, discipline, and supervisory harassment obligations.</x:v>
      </x:c>
      <x:c r="N685" s="90" t="str">
        <x:v>12-allPoliciesContent.generated.ts — HR-ER-002</x:v>
      </x:c>
      <x:c r="O685" s="90" t="str"/>
      <x:c r="P685" s="90" t="str"/>
    </x:row>
    <x:row r="686" ht="42" customHeight="1">
      <x:c r="A686" s="90" t="str">
        <x:v>ADM-06</x:v>
      </x:c>
      <x:c r="B686" s="90" t="str">
        <x:v>ADM</x:v>
      </x:c>
      <x:c r="C686" s="90" t="str">
        <x:v>HR-ER-004</x:v>
      </x:c>
      <x:c r="D686" s="90" t="str">
        <x:v>Anti-Harassment &amp; Non-Discrimination</x:v>
      </x:c>
      <x:c r="E686" s="90" t="str">
        <x:v>Hold</x:v>
      </x:c>
      <x:c r="F686" s="90" t="str">
        <x:v>Yes</x:v>
      </x:c>
      <x:c r="G686" s="90" t="str">
        <x:v>Yes — bundled</x:v>
      </x:c>
      <x:c r="H686" s="90" t="str">
        <x:v>Workforce, Training, Competency &amp; Employee Relations Leadership</x:v>
      </x:c>
      <x:c r="I686" s="90" t="str">
        <x:v>80% supervisor quiz; 2-hour interactive harassment course every 2 years</x:v>
      </x:c>
      <x:c r="J686" s="90" t="str">
        <x:v>By day 14; before independent duty if earlier</x:v>
      </x:c>
      <x:c r="K686" s="90" t="str">
        <x:v>At hire; then on material revision</x:v>
      </x:c>
      <x:c r="L686" s="90" t="str">
        <x:v>Hold</x:v>
      </x:c>
      <x:c r="M686" s="90" t="str">
        <x:v>Administrator needs workforce decision rules, training/competency controls, performance, discipline, and supervisory harassment obligations.</x:v>
      </x:c>
      <x:c r="N686" s="90" t="str">
        <x:v>12-allPoliciesContent.generated.ts — HR-ER-004</x:v>
      </x:c>
      <x:c r="O686" s="90" t="str">
        <x:v>https://calcivilrights.ca.gov/Employment/</x:v>
      </x:c>
      <x:c r="P686" s="90" t="str"/>
    </x:row>
    <x:row r="687" ht="42" customHeight="1">
      <x:c r="A687" s="90" t="str">
        <x:v>ADM-06</x:v>
      </x:c>
      <x:c r="B687" s="90" t="str">
        <x:v>ADM</x:v>
      </x:c>
      <x:c r="C687" s="90" t="str">
        <x:v>HR-ER-006</x:v>
      </x:c>
      <x:c r="D687" s="90" t="str">
        <x:v>Separation &amp; Exit Process</x:v>
      </x:c>
      <x:c r="E687" s="90" t="str">
        <x:v>Core</x:v>
      </x:c>
      <x:c r="F687" s="90" t="str">
        <x:v>Yes</x:v>
      </x:c>
      <x:c r="G687" s="90" t="str">
        <x:v>Yes — bundled</x:v>
      </x:c>
      <x:c r="H687" s="90" t="str">
        <x:v>Workforce, Training, Competency &amp; Employee Relations Leadership</x:v>
      </x:c>
      <x:c r="I687" s="90" t="str">
        <x:v>80% supervisor quiz; 2-hour interactive harassment course every 2 years</x:v>
      </x:c>
      <x:c r="J687" s="90" t="str">
        <x:v>By day 14; before independent duty if earlier</x:v>
      </x:c>
      <x:c r="K687" s="90" t="str">
        <x:v>At hire; then on material revision</x:v>
      </x:c>
      <x:c r="L687" s="90" t="str">
        <x:v>Partial hold</x:v>
      </x:c>
      <x:c r="M687" s="90" t="str">
        <x:v>Administrator needs workforce decision rules, training/competency controls, performance, discipline, and supervisory harassment obligations.</x:v>
      </x:c>
      <x:c r="N687" s="90" t="str">
        <x:v>12-allPoliciesContent.generated.ts — HR-ER-006</x:v>
      </x:c>
      <x:c r="O687" s="90" t="str"/>
      <x:c r="P687" s="90" t="str"/>
    </x:row>
    <x:row r="688" ht="42" customHeight="1">
      <x:c r="A688" s="90" t="str">
        <x:v>ADM-07</x:v>
      </x:c>
      <x:c r="B688" s="90" t="str">
        <x:v>ADM</x:v>
      </x:c>
      <x:c r="C688" s="90" t="str">
        <x:v>FN-FP-005</x:v>
      </x:c>
      <x:c r="D688" s="90" t="str">
        <x:v>Annual Budget &amp; Financial Planning</x:v>
      </x:c>
      <x:c r="E688" s="90" t="str">
        <x:v>Core</x:v>
      </x:c>
      <x:c r="F688" s="90" t="str">
        <x:v>Yes</x:v>
      </x:c>
      <x:c r="G688" s="90" t="str">
        <x:v>Yes — bundled</x:v>
      </x:c>
      <x:c r="H688" s="90" t="str">
        <x:v>Financial Stewardship, Licensure &amp; Agency Continuity</x:v>
      </x:c>
      <x:c r="I688" s="90" t="str">
        <x:v>80% executive decision quiz</x:v>
      </x:c>
      <x:c r="J688" s="90" t="str">
        <x:v>By day 14; before independent duty if earlier</x:v>
      </x:c>
      <x:c r="K688" s="90" t="str">
        <x:v>At hire; then on material revision</x:v>
      </x:c>
      <x:c r="L688" s="90" t="str">
        <x:v>Ready</x:v>
      </x:c>
      <x:c r="M688" s="90" t="str">
        <x:v>Covers budget/fraud controls, contracts, licensure, strategic goals, closure, and change of ownership.</x:v>
      </x:c>
      <x:c r="N688" s="90" t="str">
        <x:v>12-allPoliciesContent.generated.ts — FN-FP-005</x:v>
      </x:c>
      <x:c r="O688" s="90" t="str"/>
      <x:c r="P688" s="90" t="str"/>
    </x:row>
    <x:row r="689" ht="42" customHeight="1">
      <x:c r="A689" s="90" t="str">
        <x:v>ADM-07</x:v>
      </x:c>
      <x:c r="B689" s="90" t="str">
        <x:v>ADM</x:v>
      </x:c>
      <x:c r="C689" s="90" t="str">
        <x:v>FN-FP-007</x:v>
      </x:c>
      <x:c r="D689" s="90" t="str">
        <x:v>Financial Compliance &amp; Fraud Monitoring Controls</x:v>
      </x:c>
      <x:c r="E689" s="90" t="str">
        <x:v>Core</x:v>
      </x:c>
      <x:c r="F689" s="90" t="str">
        <x:v>Yes</x:v>
      </x:c>
      <x:c r="G689" s="90" t="str">
        <x:v>Yes — bundled</x:v>
      </x:c>
      <x:c r="H689" s="90" t="str">
        <x:v>Financial Stewardship, Licensure &amp; Agency Continuity</x:v>
      </x:c>
      <x:c r="I689" s="90" t="str">
        <x:v>80% executive decision quiz</x:v>
      </x:c>
      <x:c r="J689" s="90" t="str">
        <x:v>By day 14; before independent duty if earlier</x:v>
      </x:c>
      <x:c r="K689" s="90" t="str">
        <x:v>At hire; then on material revision</x:v>
      </x:c>
      <x:c r="L689" s="90" t="str">
        <x:v>Ready</x:v>
      </x:c>
      <x:c r="M689" s="90" t="str">
        <x:v>Covers budget/fraud controls, contracts, licensure, strategic goals, closure, and change of ownership.</x:v>
      </x:c>
      <x:c r="N689" s="90" t="str">
        <x:v>12-allPoliciesContent.generated.ts — FN-FP-007</x:v>
      </x:c>
      <x:c r="O689" s="90" t="str"/>
      <x:c r="P689" s="90" t="str"/>
    </x:row>
    <x:row r="690" ht="42" customHeight="1">
      <x:c r="A690" s="90" t="str">
        <x:v>ADM-07</x:v>
      </x:c>
      <x:c r="B690" s="90" t="str">
        <x:v>ADM</x:v>
      </x:c>
      <x:c r="C690" s="90" t="str">
        <x:v>FN-BC-004</x:v>
      </x:c>
      <x:c r="D690" s="90" t="str">
        <x:v>Overpayment Identification &amp; Refund</x:v>
      </x:c>
      <x:c r="E690" s="90" t="str">
        <x:v>Core</x:v>
      </x:c>
      <x:c r="F690" s="90" t="str">
        <x:v>Yes</x:v>
      </x:c>
      <x:c r="G690" s="90" t="str">
        <x:v>Yes — bundled</x:v>
      </x:c>
      <x:c r="H690" s="90" t="str">
        <x:v>Financial Stewardship, Licensure &amp; Agency Continuity</x:v>
      </x:c>
      <x:c r="I690" s="90" t="str">
        <x:v>80% executive decision quiz</x:v>
      </x:c>
      <x:c r="J690" s="90" t="str">
        <x:v>By day 14; before independent duty if earlier</x:v>
      </x:c>
      <x:c r="K690" s="90" t="str">
        <x:v>At hire; then on material revision</x:v>
      </x:c>
      <x:c r="L690" s="90" t="str">
        <x:v>Ready</x:v>
      </x:c>
      <x:c r="M690" s="90" t="str">
        <x:v>Covers budget/fraud controls, contracts, licensure, strategic goals, closure, and change of ownership.</x:v>
      </x:c>
      <x:c r="N690" s="90" t="str">
        <x:v>12-allPoliciesContent.generated.ts — FN-BC-004</x:v>
      </x:c>
      <x:c r="O690" s="90" t="str"/>
      <x:c r="P690" s="90" t="str"/>
    </x:row>
    <x:row r="691" ht="42" customHeight="1">
      <x:c r="A691" s="90" t="str">
        <x:v>ADM-07</x:v>
      </x:c>
      <x:c r="B691" s="90" t="str">
        <x:v>ADM</x:v>
      </x:c>
      <x:c r="C691" s="90" t="str">
        <x:v>GV-EA-001</x:v>
      </x:c>
      <x:c r="D691" s="90" t="str">
        <x:v>Interagency Agreements &amp; Contracts</x:v>
      </x:c>
      <x:c r="E691" s="90" t="str">
        <x:v>Core</x:v>
      </x:c>
      <x:c r="F691" s="90" t="str">
        <x:v>Yes</x:v>
      </x:c>
      <x:c r="G691" s="90" t="str">
        <x:v>Yes — bundled</x:v>
      </x:c>
      <x:c r="H691" s="90" t="str">
        <x:v>Financial Stewardship, Licensure &amp; Agency Continuity</x:v>
      </x:c>
      <x:c r="I691" s="90" t="str">
        <x:v>80% executive decision quiz</x:v>
      </x:c>
      <x:c r="J691" s="90" t="str">
        <x:v>By day 14; before independent duty if earlier</x:v>
      </x:c>
      <x:c r="K691" s="90" t="str">
        <x:v>At hire; then on material revision</x:v>
      </x:c>
      <x:c r="L691" s="90" t="str">
        <x:v>Ready</x:v>
      </x:c>
      <x:c r="M691" s="90" t="str">
        <x:v>Covers budget/fraud controls, contracts, licensure, strategic goals, closure, and change of ownership.</x:v>
      </x:c>
      <x:c r="N691" s="90" t="str">
        <x:v>12-allPoliciesContent.generated.ts — GV-EA-001</x:v>
      </x:c>
      <x:c r="O691" s="90" t="str">
        <x:v>https://www.ecfr.gov/current/title-42/part-484/section-484.105</x:v>
      </x:c>
      <x:c r="P691" s="90" t="str"/>
    </x:row>
    <x:row r="692" ht="42" customHeight="1">
      <x:c r="A692" s="90" t="str">
        <x:v>ADM-07</x:v>
      </x:c>
      <x:c r="B692" s="90" t="str">
        <x:v>ADM</x:v>
      </x:c>
      <x:c r="C692" s="90" t="str">
        <x:v>GV-EA-004</x:v>
      </x:c>
      <x:c r="D692" s="90" t="str">
        <x:v>Agency Licensure &amp; Certification Maintenance</x:v>
      </x:c>
      <x:c r="E692" s="90" t="str">
        <x:v>Core</x:v>
      </x:c>
      <x:c r="F692" s="90" t="str">
        <x:v>Yes</x:v>
      </x:c>
      <x:c r="G692" s="90" t="str">
        <x:v>Yes — bundled</x:v>
      </x:c>
      <x:c r="H692" s="90" t="str">
        <x:v>Financial Stewardship, Licensure &amp; Agency Continuity</x:v>
      </x:c>
      <x:c r="I692" s="90" t="str">
        <x:v>80% executive decision quiz</x:v>
      </x:c>
      <x:c r="J692" s="90" t="str">
        <x:v>By day 14; before independent duty if earlier</x:v>
      </x:c>
      <x:c r="K692" s="90" t="str">
        <x:v>At hire; then on material revision</x:v>
      </x:c>
      <x:c r="L692" s="90" t="str">
        <x:v>Ready</x:v>
      </x:c>
      <x:c r="M692" s="90" t="str">
        <x:v>Covers budget/fraud controls, contracts, licensure, strategic goals, closure, and change of ownership.</x:v>
      </x:c>
      <x:c r="N692" s="90" t="str">
        <x:v>12-allPoliciesContent.generated.ts — GV-EA-004</x:v>
      </x:c>
      <x:c r="O692" s="90" t="str">
        <x:v>https://www.ecfr.gov/current/title-42/part-484/section-484.105</x:v>
      </x:c>
      <x:c r="P692" s="90" t="str"/>
    </x:row>
    <x:row r="693" ht="42" customHeight="1">
      <x:c r="A693" s="90" t="str">
        <x:v>ADM-07</x:v>
      </x:c>
      <x:c r="B693" s="90" t="str">
        <x:v>ADM</x:v>
      </x:c>
      <x:c r="C693" s="90" t="str">
        <x:v>GV-EA-005</x:v>
      </x:c>
      <x:c r="D693" s="90" t="str">
        <x:v>Agency Closure or Change of Ownership</x:v>
      </x:c>
      <x:c r="E693" s="90" t="str">
        <x:v>Core</x:v>
      </x:c>
      <x:c r="F693" s="90" t="str">
        <x:v>Yes</x:v>
      </x:c>
      <x:c r="G693" s="90" t="str">
        <x:v>Yes — bundled</x:v>
      </x:c>
      <x:c r="H693" s="90" t="str">
        <x:v>Financial Stewardship, Licensure &amp; Agency Continuity</x:v>
      </x:c>
      <x:c r="I693" s="90" t="str">
        <x:v>80% executive decision quiz</x:v>
      </x:c>
      <x:c r="J693" s="90" t="str">
        <x:v>By day 14; before independent duty if earlier</x:v>
      </x:c>
      <x:c r="K693" s="90" t="str">
        <x:v>At hire; then on material revision</x:v>
      </x:c>
      <x:c r="L693" s="90" t="str">
        <x:v>Ready</x:v>
      </x:c>
      <x:c r="M693" s="90" t="str">
        <x:v>Covers budget/fraud controls, contracts, licensure, strategic goals, closure, and change of ownership.</x:v>
      </x:c>
      <x:c r="N693" s="90" t="str">
        <x:v>12-allPoliciesContent.generated.ts — GV-EA-005</x:v>
      </x:c>
      <x:c r="O693" s="90" t="str">
        <x:v>https://www.ecfr.gov/current/title-42/part-484/section-484.105</x:v>
      </x:c>
      <x:c r="P693" s="90" t="str"/>
    </x:row>
    <x:row r="694" ht="42" customHeight="1">
      <x:c r="A694" s="90" t="str">
        <x:v>ADM-07</x:v>
      </x:c>
      <x:c r="B694" s="90" t="str">
        <x:v>ADM</x:v>
      </x:c>
      <x:c r="C694" s="90" t="str">
        <x:v>GV-OG-004</x:v>
      </x:c>
      <x:c r="D694" s="90" t="str">
        <x:v>Strategic Planning &amp; Annual Goals</x:v>
      </x:c>
      <x:c r="E694" s="90" t="str">
        <x:v>Core</x:v>
      </x:c>
      <x:c r="F694" s="90" t="str">
        <x:v>Yes</x:v>
      </x:c>
      <x:c r="G694" s="90" t="str">
        <x:v>Yes — bundled</x:v>
      </x:c>
      <x:c r="H694" s="90" t="str">
        <x:v>Financial Stewardship, Licensure &amp; Agency Continuity</x:v>
      </x:c>
      <x:c r="I694" s="90" t="str">
        <x:v>80% executive decision quiz</x:v>
      </x:c>
      <x:c r="J694" s="90" t="str">
        <x:v>By day 14; before independent duty if earlier</x:v>
      </x:c>
      <x:c r="K694" s="90" t="str">
        <x:v>At hire; then on material revision</x:v>
      </x:c>
      <x:c r="L694" s="90" t="str">
        <x:v>Ready</x:v>
      </x:c>
      <x:c r="M694" s="90" t="str">
        <x:v>Covers budget/fraud controls, contracts, licensure, strategic goals, closure, and change of ownership.</x:v>
      </x:c>
      <x:c r="N694" s="90" t="str">
        <x:v>12-allPoliciesContent.generated.ts — GV-OG-004</x:v>
      </x:c>
      <x:c r="O694" s="90" t="str">
        <x:v>https://www.ecfr.gov/current/title-42/part-484/section-484.105</x:v>
      </x:c>
      <x:c r="P694" s="90" t="str"/>
    </x:row>
    <x:row r="695" ht="42" customHeight="1">
      <x:c r="A695" s="90" t="str">
        <x:v>DON-01</x:v>
      </x:c>
      <x:c r="B695" s="90" t="str">
        <x:v>DON</x:v>
      </x:c>
      <x:c r="C695" s="90" t="str">
        <x:v>HR-JD-003</x:v>
      </x:c>
      <x:c r="D695" s="90" t="str">
        <x:v>Director of Nursing / Clinical Manager — Job Description</x:v>
      </x:c>
      <x:c r="E695" s="90" t="str">
        <x:v>Core</x:v>
      </x:c>
      <x:c r="F695" s="90" t="str">
        <x:v>Yes</x:v>
      </x:c>
      <x:c r="G695" s="90" t="str">
        <x:v>Yes — bundled</x:v>
      </x:c>
      <x:c r="H695" s="90" t="str">
        <x:v>DON / Clinical Manager Authority, Delegation &amp; Role</x:v>
      </x:c>
      <x:c r="I695" s="90" t="str">
        <x:v>80% clinical-leadership scenario quiz</x:v>
      </x:c>
      <x:c r="J695" s="90" t="str">
        <x:v>By day 14; before independent duty if earlier</x:v>
      </x:c>
      <x:c r="K695" s="90" t="str">
        <x:v>At hire; then on material revision</x:v>
      </x:c>
      <x:c r="L695" s="90" t="str">
        <x:v>Ready</x:v>
      </x:c>
      <x:c r="M695" s="90" t="str">
        <x:v>Defines clinical authority, designee rules, reporting, and delegation boundaries.</x:v>
      </x:c>
      <x:c r="N695" s="90" t="str">
        <x:v>12-allPoliciesContent.generated.ts — HR-JD-003</x:v>
      </x:c>
      <x:c r="O695" s="90" t="str">
        <x:v>https://www.ecfr.gov/current/title-42/part-484/section-484.105</x:v>
      </x:c>
      <x:c r="P695" s="90" t="str"/>
    </x:row>
    <x:row r="696" ht="42" customHeight="1">
      <x:c r="A696" s="90" t="str">
        <x:v>DON-01</x:v>
      </x:c>
      <x:c r="B696" s="90" t="str">
        <x:v>DON</x:v>
      </x:c>
      <x:c r="C696" s="90" t="str">
        <x:v>HR-JD-004</x:v>
      </x:c>
      <x:c r="D696" s="90" t="str">
        <x:v>Clinical Designee — Job Description</x:v>
      </x:c>
      <x:c r="E696" s="90" t="str">
        <x:v>Core</x:v>
      </x:c>
      <x:c r="F696" s="90" t="str">
        <x:v>Yes</x:v>
      </x:c>
      <x:c r="G696" s="90" t="str">
        <x:v>Yes — bundled</x:v>
      </x:c>
      <x:c r="H696" s="90" t="str">
        <x:v>DON / Clinical Manager Authority, Delegation &amp; Role</x:v>
      </x:c>
      <x:c r="I696" s="90" t="str">
        <x:v>80% clinical-leadership scenario quiz</x:v>
      </x:c>
      <x:c r="J696" s="90" t="str">
        <x:v>By day 14; before independent duty if earlier</x:v>
      </x:c>
      <x:c r="K696" s="90" t="str">
        <x:v>At hire; then on material revision</x:v>
      </x:c>
      <x:c r="L696" s="90" t="str">
        <x:v>Ready</x:v>
      </x:c>
      <x:c r="M696" s="90" t="str">
        <x:v>Defines clinical authority, designee rules, reporting, and delegation boundaries.</x:v>
      </x:c>
      <x:c r="N696" s="90" t="str">
        <x:v>12-allPoliciesContent.generated.ts — HR-JD-004</x:v>
      </x:c>
      <x:c r="O696" s="90" t="str">
        <x:v>https://www.ecfr.gov/current/title-42/part-484/section-484.105</x:v>
      </x:c>
      <x:c r="P696" s="90" t="str"/>
    </x:row>
    <x:row r="697" ht="42" customHeight="1">
      <x:c r="A697" s="90" t="str">
        <x:v>DON-01</x:v>
      </x:c>
      <x:c r="B697" s="90" t="str">
        <x:v>DON</x:v>
      </x:c>
      <x:c r="C697" s="90" t="str">
        <x:v>HR-JD-000</x:v>
      </x:c>
      <x:c r="D697" s="90" t="str">
        <x:v>Job Description Framework &amp; Organizational Chart</x:v>
      </x:c>
      <x:c r="E697" s="90" t="str">
        <x:v>Core</x:v>
      </x:c>
      <x:c r="F697" s="90" t="str">
        <x:v>Yes</x:v>
      </x:c>
      <x:c r="G697" s="90" t="str">
        <x:v>Yes — bundled</x:v>
      </x:c>
      <x:c r="H697" s="90" t="str">
        <x:v>DON / Clinical Manager Authority, Delegation &amp; Role</x:v>
      </x:c>
      <x:c r="I697" s="90" t="str">
        <x:v>80% clinical-leadership scenario quiz</x:v>
      </x:c>
      <x:c r="J697" s="90" t="str">
        <x:v>By day 14; before independent duty if earlier</x:v>
      </x:c>
      <x:c r="K697" s="90" t="str">
        <x:v>At hire; then on material revision</x:v>
      </x:c>
      <x:c r="L697" s="90" t="str">
        <x:v>Ready</x:v>
      </x:c>
      <x:c r="M697" s="90" t="str">
        <x:v>Defines clinical authority, designee rules, reporting, and delegation boundaries.</x:v>
      </x:c>
      <x:c r="N697" s="90" t="str">
        <x:v>12-allPoliciesContent.generated.ts — HR-JD-000</x:v>
      </x:c>
      <x:c r="O697" s="90" t="str">
        <x:v>https://www.ecfr.gov/current/title-42/part-484/section-484.105</x:v>
      </x:c>
      <x:c r="P697" s="90" t="str"/>
    </x:row>
    <x:row r="698" ht="42" customHeight="1">
      <x:c r="A698" s="90" t="str">
        <x:v>DON-01</x:v>
      </x:c>
      <x:c r="B698" s="90" t="str">
        <x:v>DON</x:v>
      </x:c>
      <x:c r="C698" s="90" t="str">
        <x:v>GV-OG-002</x:v>
      </x:c>
      <x:c r="D698" s="90" t="str">
        <x:v>Administrator Qualifications &amp; Responsibilities</x:v>
      </x:c>
      <x:c r="E698" s="90" t="str">
        <x:v>Core</x:v>
      </x:c>
      <x:c r="F698" s="90" t="str">
        <x:v>Yes</x:v>
      </x:c>
      <x:c r="G698" s="90" t="str">
        <x:v>Yes — bundled</x:v>
      </x:c>
      <x:c r="H698" s="90" t="str">
        <x:v>DON / Clinical Manager Authority, Delegation &amp; Role</x:v>
      </x:c>
      <x:c r="I698" s="90" t="str">
        <x:v>80% clinical-leadership scenario quiz</x:v>
      </x:c>
      <x:c r="J698" s="90" t="str">
        <x:v>By day 14; before independent duty if earlier</x:v>
      </x:c>
      <x:c r="K698" s="90" t="str">
        <x:v>At hire; then on material revision</x:v>
      </x:c>
      <x:c r="L698" s="90" t="str">
        <x:v>Ready</x:v>
      </x:c>
      <x:c r="M698" s="90" t="str">
        <x:v>Defines clinical authority, designee rules, reporting, and delegation boundaries.</x:v>
      </x:c>
      <x:c r="N698" s="90" t="str">
        <x:v>12-allPoliciesContent.generated.ts — GV-OG-002</x:v>
      </x:c>
      <x:c r="O698" s="90" t="str">
        <x:v>https://www.ecfr.gov/current/title-42/part-484/section-484.105</x:v>
      </x:c>
      <x:c r="P698" s="90" t="str"/>
    </x:row>
    <x:row r="699" ht="42" customHeight="1">
      <x:c r="A699" s="90" t="str">
        <x:v>DON-01</x:v>
      </x:c>
      <x:c r="B699" s="90" t="str">
        <x:v>DON</x:v>
      </x:c>
      <x:c r="C699" s="90" t="str">
        <x:v>GV-OG-005</x:v>
      </x:c>
      <x:c r="D699" s="90" t="str">
        <x:v>Delegation of Authority</x:v>
      </x:c>
      <x:c r="E699" s="90" t="str">
        <x:v>Core</x:v>
      </x:c>
      <x:c r="F699" s="90" t="str">
        <x:v>Yes</x:v>
      </x:c>
      <x:c r="G699" s="90" t="str">
        <x:v>Yes — bundled</x:v>
      </x:c>
      <x:c r="H699" s="90" t="str">
        <x:v>DON / Clinical Manager Authority, Delegation &amp; Role</x:v>
      </x:c>
      <x:c r="I699" s="90" t="str">
        <x:v>80% clinical-leadership scenario quiz</x:v>
      </x:c>
      <x:c r="J699" s="90" t="str">
        <x:v>By day 14; before independent duty if earlier</x:v>
      </x:c>
      <x:c r="K699" s="90" t="str">
        <x:v>At hire; then on material revision</x:v>
      </x:c>
      <x:c r="L699" s="90" t="str">
        <x:v>Ready</x:v>
      </x:c>
      <x:c r="M699" s="90" t="str">
        <x:v>Defines clinical authority, designee rules, reporting, and delegation boundaries.</x:v>
      </x:c>
      <x:c r="N699" s="90" t="str">
        <x:v>12-allPoliciesContent.generated.ts — GV-OG-005</x:v>
      </x:c>
      <x:c r="O699" s="90" t="str">
        <x:v>https://www.ecfr.gov/current/title-42/part-484/section-484.105</x:v>
      </x:c>
      <x:c r="P699" s="90" t="str"/>
    </x:row>
    <x:row r="700" ht="42" customHeight="1">
      <x:c r="A700" s="90" t="str">
        <x:v>DON-01</x:v>
      </x:c>
      <x:c r="B700" s="90" t="str">
        <x:v>DON</x:v>
      </x:c>
      <x:c r="C700" s="90" t="str">
        <x:v>HR-TA-006</x:v>
      </x:c>
      <x:c r="D700" s="90" t="str">
        <x:v>Job Description &amp; Role Definition</x:v>
      </x:c>
      <x:c r="E700" s="90" t="str">
        <x:v>Core</x:v>
      </x:c>
      <x:c r="F700" s="90" t="str">
        <x:v>Yes</x:v>
      </x:c>
      <x:c r="G700" s="90" t="str">
        <x:v>Yes — bundled</x:v>
      </x:c>
      <x:c r="H700" s="90" t="str">
        <x:v>DON / Clinical Manager Authority, Delegation &amp; Role</x:v>
      </x:c>
      <x:c r="I700" s="90" t="str">
        <x:v>80% clinical-leadership scenario quiz</x:v>
      </x:c>
      <x:c r="J700" s="90" t="str">
        <x:v>By day 14; before independent duty if earlier</x:v>
      </x:c>
      <x:c r="K700" s="90" t="str">
        <x:v>At hire; then on material revision</x:v>
      </x:c>
      <x:c r="L700" s="90" t="str">
        <x:v>Ready</x:v>
      </x:c>
      <x:c r="M700" s="90" t="str">
        <x:v>Defines clinical authority, designee rules, reporting, and delegation boundaries.</x:v>
      </x:c>
      <x:c r="N700" s="90" t="str">
        <x:v>12-allPoliciesContent.generated.ts — HR-TA-006</x:v>
      </x:c>
      <x:c r="O700" s="90" t="str"/>
      <x:c r="P700" s="90" t="str"/>
    </x:row>
    <x:row r="701" ht="42" customHeight="1">
      <x:c r="A701" s="90" t="str">
        <x:v>DON-02</x:v>
      </x:c>
      <x:c r="B701" s="90" t="str">
        <x:v>DON</x:v>
      </x:c>
      <x:c r="C701" s="90" t="str">
        <x:v>CL-CD-001</x:v>
      </x:c>
      <x:c r="D701" s="90" t="str">
        <x:v>Clinical Documentation Standards</x:v>
      </x:c>
      <x:c r="E701" s="90" t="str">
        <x:v>Core</x:v>
      </x:c>
      <x:c r="F701" s="90" t="str">
        <x:v>Yes</x:v>
      </x:c>
      <x:c r="G701" s="90" t="str">
        <x:v>Yes — bundled</x:v>
      </x:c>
      <x:c r="H701" s="90" t="str">
        <x:v>Clinical Documentation, Orders &amp; Care Coordination Oversight</x:v>
      </x:c>
      <x:c r="I701" s="90" t="str">
        <x:v>80% audit/clinical-documentation case quiz</x:v>
      </x:c>
      <x:c r="J701" s="90" t="str">
        <x:v>By day 14; before independent duty if earlier</x:v>
      </x:c>
      <x:c r="K701" s="90" t="str">
        <x:v>At hire; then on material revision</x:v>
      </x:c>
      <x:c r="L701" s="90" t="str">
        <x:v>Ready</x:v>
      </x:c>
      <x:c r="M701" s="90" t="str">
        <x:v>DON must set and audit clinical documentation, orders, coordination, transfers, discharge, and recertification controls.</x:v>
      </x:c>
      <x:c r="N701" s="90" t="str">
        <x:v>12-allPoliciesContent.generated.ts — CL-CD-001</x:v>
      </x:c>
      <x:c r="O701" s="90" t="str">
        <x:v>https://www.ecfr.gov/current/title-42/part-484/section-484.110</x:v>
      </x:c>
      <x:c r="P701" s="90" t="str"/>
    </x:row>
    <x:row r="702" ht="42" customHeight="1">
      <x:c r="A702" s="90" t="str">
        <x:v>DON-02</x:v>
      </x:c>
      <x:c r="B702" s="90" t="str">
        <x:v>DON</x:v>
      </x:c>
      <x:c r="C702" s="90" t="str">
        <x:v>CL-CD-002</x:v>
      </x:c>
      <x:c r="D702" s="90" t="str">
        <x:v>Clinical Record Content &amp; Organization</x:v>
      </x:c>
      <x:c r="E702" s="90" t="str">
        <x:v>Core</x:v>
      </x:c>
      <x:c r="F702" s="90" t="str">
        <x:v>Yes</x:v>
      </x:c>
      <x:c r="G702" s="90" t="str">
        <x:v>Yes — bundled</x:v>
      </x:c>
      <x:c r="H702" s="90" t="str">
        <x:v>Clinical Documentation, Orders &amp; Care Coordination Oversight</x:v>
      </x:c>
      <x:c r="I702" s="90" t="str">
        <x:v>80% audit/clinical-documentation case quiz</x:v>
      </x:c>
      <x:c r="J702" s="90" t="str">
        <x:v>By day 14; before independent duty if earlier</x:v>
      </x:c>
      <x:c r="K702" s="90" t="str">
        <x:v>At hire; then on material revision</x:v>
      </x:c>
      <x:c r="L702" s="90" t="str">
        <x:v>Ready</x:v>
      </x:c>
      <x:c r="M702" s="90" t="str">
        <x:v>DON must set and audit clinical documentation, orders, coordination, transfers, discharge, and recertification controls.</x:v>
      </x:c>
      <x:c r="N702" s="90" t="str">
        <x:v>12-allPoliciesContent.generated.ts — CL-CD-002</x:v>
      </x:c>
      <x:c r="O702" s="90" t="str">
        <x:v>https://www.ecfr.gov/current/title-42/part-484/section-484.110</x:v>
      </x:c>
      <x:c r="P702" s="90" t="str"/>
    </x:row>
    <x:row r="703" ht="42" customHeight="1">
      <x:c r="A703" s="90" t="str">
        <x:v>DON-02</x:v>
      </x:c>
      <x:c r="B703" s="90" t="str">
        <x:v>DON</x:v>
      </x:c>
      <x:c r="C703" s="90" t="str">
        <x:v>CL-CD-003</x:v>
      </x:c>
      <x:c r="D703" s="90" t="str">
        <x:v>Clinical Record Authentication &amp; Signature Requirements</x:v>
      </x:c>
      <x:c r="E703" s="90" t="str">
        <x:v>Core</x:v>
      </x:c>
      <x:c r="F703" s="90" t="str">
        <x:v>Yes</x:v>
      </x:c>
      <x:c r="G703" s="90" t="str">
        <x:v>Yes — bundled</x:v>
      </x:c>
      <x:c r="H703" s="90" t="str">
        <x:v>Clinical Documentation, Orders &amp; Care Coordination Oversight</x:v>
      </x:c>
      <x:c r="I703" s="90" t="str">
        <x:v>80% audit/clinical-documentation case quiz</x:v>
      </x:c>
      <x:c r="J703" s="90" t="str">
        <x:v>By day 14; before independent duty if earlier</x:v>
      </x:c>
      <x:c r="K703" s="90" t="str">
        <x:v>At hire; then on material revision</x:v>
      </x:c>
      <x:c r="L703" s="90" t="str">
        <x:v>Ready</x:v>
      </x:c>
      <x:c r="M703" s="90" t="str">
        <x:v>DON must set and audit clinical documentation, orders, coordination, transfers, discharge, and recertification controls.</x:v>
      </x:c>
      <x:c r="N703" s="90" t="str">
        <x:v>12-allPoliciesContent.generated.ts — CL-CD-003</x:v>
      </x:c>
      <x:c r="O703" s="90" t="str">
        <x:v>https://www.ecfr.gov/current/title-42/part-484/section-484.110</x:v>
      </x:c>
      <x:c r="P703" s="90" t="str"/>
    </x:row>
    <x:row r="704" ht="42" customHeight="1">
      <x:c r="A704" s="90" t="str">
        <x:v>DON-02</x:v>
      </x:c>
      <x:c r="B704" s="90" t="str">
        <x:v>DON</x:v>
      </x:c>
      <x:c r="C704" s="90" t="str">
        <x:v>CL-CD-004</x:v>
      </x:c>
      <x:c r="D704" s="90" t="str">
        <x:v>Timely Documentation Completion &amp; Lock Requirements</x:v>
      </x:c>
      <x:c r="E704" s="90" t="str">
        <x:v>Core</x:v>
      </x:c>
      <x:c r="F704" s="90" t="str">
        <x:v>Yes</x:v>
      </x:c>
      <x:c r="G704" s="90" t="str">
        <x:v>Yes — bundled</x:v>
      </x:c>
      <x:c r="H704" s="90" t="str">
        <x:v>Clinical Documentation, Orders &amp; Care Coordination Oversight</x:v>
      </x:c>
      <x:c r="I704" s="90" t="str">
        <x:v>80% audit/clinical-documentation case quiz</x:v>
      </x:c>
      <x:c r="J704" s="90" t="str">
        <x:v>By day 14; before independent duty if earlier</x:v>
      </x:c>
      <x:c r="K704" s="90" t="str">
        <x:v>At hire; then on material revision</x:v>
      </x:c>
      <x:c r="L704" s="90" t="str">
        <x:v>Ready</x:v>
      </x:c>
      <x:c r="M704" s="90" t="str">
        <x:v>DON must set and audit clinical documentation, orders, coordination, transfers, discharge, and recertification controls.</x:v>
      </x:c>
      <x:c r="N704" s="90" t="str">
        <x:v>12-allPoliciesContent.generated.ts — CL-CD-004</x:v>
      </x:c>
      <x:c r="O704" s="90" t="str">
        <x:v>https://www.ecfr.gov/current/title-42/part-484/section-484.110</x:v>
      </x:c>
      <x:c r="P704" s="90" t="str"/>
    </x:row>
    <x:row r="705" ht="42" customHeight="1">
      <x:c r="A705" s="90" t="str">
        <x:v>DON-02</x:v>
      </x:c>
      <x:c r="B705" s="90" t="str">
        <x:v>DON</x:v>
      </x:c>
      <x:c r="C705" s="90" t="str">
        <x:v>CO-DC-001</x:v>
      </x:c>
      <x:c r="D705" s="90" t="str">
        <x:v>Assessment Audit Trail and Data Integrity</x:v>
      </x:c>
      <x:c r="E705" s="90" t="str">
        <x:v>Core</x:v>
      </x:c>
      <x:c r="F705" s="90" t="str">
        <x:v>Yes</x:v>
      </x:c>
      <x:c r="G705" s="90" t="str">
        <x:v>Yes — bundled</x:v>
      </x:c>
      <x:c r="H705" s="90" t="str">
        <x:v>Clinical Documentation, Orders &amp; Care Coordination Oversight</x:v>
      </x:c>
      <x:c r="I705" s="90" t="str">
        <x:v>80% audit/clinical-documentation case quiz</x:v>
      </x:c>
      <x:c r="J705" s="90" t="str">
        <x:v>By day 14; before independent duty if earlier</x:v>
      </x:c>
      <x:c r="K705" s="90" t="str">
        <x:v>At hire; then on material revision</x:v>
      </x:c>
      <x:c r="L705" s="90" t="str">
        <x:v>Ready</x:v>
      </x:c>
      <x:c r="M705" s="90" t="str">
        <x:v>DON must set and audit clinical documentation, orders, coordination, transfers, discharge, and recertification controls.</x:v>
      </x:c>
      <x:c r="N705" s="90" t="str">
        <x:v>12-allPoliciesContent.generated.ts — CO-DC-001</x:v>
      </x:c>
      <x:c r="O705" s="90" t="str">
        <x:v>https://www.ecfr.gov/current/title-42/part-484/section-484.110</x:v>
      </x:c>
      <x:c r="P705" s="90" t="str"/>
    </x:row>
    <x:row r="706" ht="42" customHeight="1">
      <x:c r="A706" s="90" t="str">
        <x:v>DON-02</x:v>
      </x:c>
      <x:c r="B706" s="90" t="str">
        <x:v>DON</x:v>
      </x:c>
      <x:c r="C706" s="90" t="str">
        <x:v>CO-DC-002</x:v>
      </x:c>
      <x:c r="D706" s="90" t="str">
        <x:v>Documentation Audit &amp; Monitoring Program</x:v>
      </x:c>
      <x:c r="E706" s="90" t="str">
        <x:v>Core</x:v>
      </x:c>
      <x:c r="F706" s="90" t="str">
        <x:v>Yes</x:v>
      </x:c>
      <x:c r="G706" s="90" t="str">
        <x:v>Yes — bundled</x:v>
      </x:c>
      <x:c r="H706" s="90" t="str">
        <x:v>Clinical Documentation, Orders &amp; Care Coordination Oversight</x:v>
      </x:c>
      <x:c r="I706" s="90" t="str">
        <x:v>80% audit/clinical-documentation case quiz</x:v>
      </x:c>
      <x:c r="J706" s="90" t="str">
        <x:v>By day 14; before independent duty if earlier</x:v>
      </x:c>
      <x:c r="K706" s="90" t="str">
        <x:v>At hire; then on material revision</x:v>
      </x:c>
      <x:c r="L706" s="90" t="str">
        <x:v>Ready</x:v>
      </x:c>
      <x:c r="M706" s="90" t="str">
        <x:v>DON must set and audit clinical documentation, orders, coordination, transfers, discharge, and recertification controls.</x:v>
      </x:c>
      <x:c r="N706" s="90" t="str">
        <x:v>12-allPoliciesContent.generated.ts — CO-DC-002</x:v>
      </x:c>
      <x:c r="O706" s="90" t="str">
        <x:v>https://www.ecfr.gov/current/title-42/part-484/section-484.110</x:v>
      </x:c>
      <x:c r="P706" s="90" t="str"/>
    </x:row>
    <x:row r="707" ht="42" customHeight="1">
      <x:c r="A707" s="90" t="str">
        <x:v>DON-02</x:v>
      </x:c>
      <x:c r="B707" s="90" t="str">
        <x:v>DON</x:v>
      </x:c>
      <x:c r="C707" s="90" t="str">
        <x:v>CO-DC-003</x:v>
      </x:c>
      <x:c r="D707" s="90" t="str">
        <x:v>Late Entry, Correction &amp; Amendment Standards</x:v>
      </x:c>
      <x:c r="E707" s="90" t="str">
        <x:v>Core</x:v>
      </x:c>
      <x:c r="F707" s="90" t="str">
        <x:v>Yes</x:v>
      </x:c>
      <x:c r="G707" s="90" t="str">
        <x:v>Yes — bundled</x:v>
      </x:c>
      <x:c r="H707" s="90" t="str">
        <x:v>Clinical Documentation, Orders &amp; Care Coordination Oversight</x:v>
      </x:c>
      <x:c r="I707" s="90" t="str">
        <x:v>80% audit/clinical-documentation case quiz</x:v>
      </x:c>
      <x:c r="J707" s="90" t="str">
        <x:v>By day 14; before independent duty if earlier</x:v>
      </x:c>
      <x:c r="K707" s="90" t="str">
        <x:v>At hire; then on material revision</x:v>
      </x:c>
      <x:c r="L707" s="90" t="str">
        <x:v>Ready</x:v>
      </x:c>
      <x:c r="M707" s="90" t="str">
        <x:v>DON must set and audit clinical documentation, orders, coordination, transfers, discharge, and recertification controls.</x:v>
      </x:c>
      <x:c r="N707" s="90" t="str">
        <x:v>12-allPoliciesContent.generated.ts — CO-DC-003</x:v>
      </x:c>
      <x:c r="O707" s="90" t="str">
        <x:v>https://www.ecfr.gov/current/title-42/part-484/section-484.110</x:v>
      </x:c>
      <x:c r="P707" s="90" t="str"/>
    </x:row>
    <x:row r="708" ht="42" customHeight="1">
      <x:c r="A708" s="90" t="str">
        <x:v>DON-02</x:v>
      </x:c>
      <x:c r="B708" s="90" t="str">
        <x:v>DON</x:v>
      </x:c>
      <x:c r="C708" s="90" t="str">
        <x:v>CO-DC-004</x:v>
      </x:c>
      <x:c r="D708" s="90" t="str">
        <x:v>Clinical, Documentation, and Billing Alignment Audit</x:v>
      </x:c>
      <x:c r="E708" s="90" t="str">
        <x:v>Core</x:v>
      </x:c>
      <x:c r="F708" s="90" t="str">
        <x:v>Yes</x:v>
      </x:c>
      <x:c r="G708" s="90" t="str">
        <x:v>Yes — bundled</x:v>
      </x:c>
      <x:c r="H708" s="90" t="str">
        <x:v>Clinical Documentation, Orders &amp; Care Coordination Oversight</x:v>
      </x:c>
      <x:c r="I708" s="90" t="str">
        <x:v>80% audit/clinical-documentation case quiz</x:v>
      </x:c>
      <x:c r="J708" s="90" t="str">
        <x:v>By day 14; before independent duty if earlier</x:v>
      </x:c>
      <x:c r="K708" s="90" t="str">
        <x:v>At hire; then on material revision</x:v>
      </x:c>
      <x:c r="L708" s="90" t="str">
        <x:v>Ready</x:v>
      </x:c>
      <x:c r="M708" s="90" t="str">
        <x:v>DON must set and audit clinical documentation, orders, coordination, transfers, discharge, and recertification controls.</x:v>
      </x:c>
      <x:c r="N708" s="90" t="str">
        <x:v>12-allPoliciesContent.generated.ts — CO-DC-004</x:v>
      </x:c>
      <x:c r="O708" s="90" t="str">
        <x:v>https://www.ecfr.gov/current/title-42/part-484/section-484.110</x:v>
      </x:c>
      <x:c r="P708" s="90" t="str"/>
    </x:row>
    <x:row r="709" ht="42" customHeight="1">
      <x:c r="A709" s="90" t="str">
        <x:v>DON-02</x:v>
      </x:c>
      <x:c r="B709" s="90" t="str">
        <x:v>DON</x:v>
      </x:c>
      <x:c r="C709" s="90" t="str">
        <x:v>CL-DC-101</x:v>
      </x:c>
      <x:c r="D709" s="90" t="str">
        <x:v>Clinical Documentation Integrity &amp; Authenticity</x:v>
      </x:c>
      <x:c r="E709" s="90" t="str">
        <x:v>Core</x:v>
      </x:c>
      <x:c r="F709" s="90" t="str">
        <x:v>Yes</x:v>
      </x:c>
      <x:c r="G709" s="90" t="str">
        <x:v>Yes — bundled</x:v>
      </x:c>
      <x:c r="H709" s="90" t="str">
        <x:v>Clinical Documentation, Orders &amp; Care Coordination Oversight</x:v>
      </x:c>
      <x:c r="I709" s="90" t="str">
        <x:v>80% audit/clinical-documentation case quiz</x:v>
      </x:c>
      <x:c r="J709" s="90" t="str">
        <x:v>By day 14; before independent duty if earlier</x:v>
      </x:c>
      <x:c r="K709" s="90" t="str">
        <x:v>At hire; then on material revision</x:v>
      </x:c>
      <x:c r="L709" s="90" t="str">
        <x:v>Ready</x:v>
      </x:c>
      <x:c r="M709" s="90" t="str">
        <x:v>DON must set and audit clinical documentation, orders, coordination, transfers, discharge, and recertification controls.</x:v>
      </x:c>
      <x:c r="N709" s="90" t="str">
        <x:v>12-allPoliciesContent.generated.ts — CL-DC-101</x:v>
      </x:c>
      <x:c r="O709" s="90" t="str">
        <x:v>https://www.ecfr.gov/current/title-42/part-484/section-484.110</x:v>
      </x:c>
      <x:c r="P709" s="90" t="str"/>
    </x:row>
    <x:row r="710" ht="42" customHeight="1">
      <x:c r="A710" s="90" t="str">
        <x:v>DON-02</x:v>
      </x:c>
      <x:c r="B710" s="90" t="str">
        <x:v>DON</x:v>
      </x:c>
      <x:c r="C710" s="90" t="str">
        <x:v>CL-CP-001</x:v>
      </x:c>
      <x:c r="D710" s="90" t="str">
        <x:v>Plan of Care Development &amp; Approval</x:v>
      </x:c>
      <x:c r="E710" s="90" t="str">
        <x:v>Core</x:v>
      </x:c>
      <x:c r="F710" s="90" t="str">
        <x:v>Yes</x:v>
      </x:c>
      <x:c r="G710" s="90" t="str">
        <x:v>Yes — bundled</x:v>
      </x:c>
      <x:c r="H710" s="90" t="str">
        <x:v>Clinical Documentation, Orders &amp; Care Coordination Oversight</x:v>
      </x:c>
      <x:c r="I710" s="90" t="str">
        <x:v>80% audit/clinical-documentation case quiz</x:v>
      </x:c>
      <x:c r="J710" s="90" t="str">
        <x:v>By day 14; before independent duty if earlier</x:v>
      </x:c>
      <x:c r="K710" s="90" t="str">
        <x:v>At hire; then on material revision</x:v>
      </x:c>
      <x:c r="L710" s="90" t="str">
        <x:v>Ready</x:v>
      </x:c>
      <x:c r="M710" s="90" t="str">
        <x:v>DON must set and audit clinical documentation, orders, coordination, transfers, discharge, and recertification controls.</x:v>
      </x:c>
      <x:c r="N710" s="90" t="str">
        <x:v>12-allPoliciesContent.generated.ts — CL-CP-001</x:v>
      </x:c>
      <x:c r="O710" s="90" t="str">
        <x:v>https://www.ecfr.gov/current/title-42/part-484/section-484.60</x:v>
      </x:c>
      <x:c r="P710" s="90" t="str"/>
    </x:row>
    <x:row r="711" ht="42" customHeight="1">
      <x:c r="A711" s="90" t="str">
        <x:v>DON-02</x:v>
      </x:c>
      <x:c r="B711" s="90" t="str">
        <x:v>DON</x:v>
      </x:c>
      <x:c r="C711" s="90" t="str">
        <x:v>CL-CP-002</x:v>
      </x:c>
      <x:c r="D711" s="90" t="str">
        <x:v>Plan of Care Review &amp; Update</x:v>
      </x:c>
      <x:c r="E711" s="90" t="str">
        <x:v>Core</x:v>
      </x:c>
      <x:c r="F711" s="90" t="str">
        <x:v>Yes</x:v>
      </x:c>
      <x:c r="G711" s="90" t="str">
        <x:v>Yes — bundled</x:v>
      </x:c>
      <x:c r="H711" s="90" t="str">
        <x:v>Clinical Documentation, Orders &amp; Care Coordination Oversight</x:v>
      </x:c>
      <x:c r="I711" s="90" t="str">
        <x:v>80% audit/clinical-documentation case quiz</x:v>
      </x:c>
      <x:c r="J711" s="90" t="str">
        <x:v>By day 14; before independent duty if earlier</x:v>
      </x:c>
      <x:c r="K711" s="90" t="str">
        <x:v>At hire; then on material revision</x:v>
      </x:c>
      <x:c r="L711" s="90" t="str">
        <x:v>Ready</x:v>
      </x:c>
      <x:c r="M711" s="90" t="str">
        <x:v>DON must set and audit clinical documentation, orders, coordination, transfers, discharge, and recertification controls.</x:v>
      </x:c>
      <x:c r="N711" s="90" t="str">
        <x:v>12-allPoliciesContent.generated.ts — CL-CP-002</x:v>
      </x:c>
      <x:c r="O711" s="90" t="str">
        <x:v>https://www.ecfr.gov/current/title-42/part-484/section-484.60</x:v>
      </x:c>
      <x:c r="P711" s="90" t="str"/>
    </x:row>
    <x:row r="712" ht="42" customHeight="1">
      <x:c r="A712" s="90" t="str">
        <x:v>DON-02</x:v>
      </x:c>
      <x:c r="B712" s="90" t="str">
        <x:v>DON</x:v>
      </x:c>
      <x:c r="C712" s="90" t="str">
        <x:v>CL-CP-003</x:v>
      </x:c>
      <x:c r="D712" s="90" t="str">
        <x:v>Physician Orders &amp; Order Management</x:v>
      </x:c>
      <x:c r="E712" s="90" t="str">
        <x:v>Core</x:v>
      </x:c>
      <x:c r="F712" s="90" t="str">
        <x:v>Yes</x:v>
      </x:c>
      <x:c r="G712" s="90" t="str">
        <x:v>Yes — bundled</x:v>
      </x:c>
      <x:c r="H712" s="90" t="str">
        <x:v>Clinical Documentation, Orders &amp; Care Coordination Oversight</x:v>
      </x:c>
      <x:c r="I712" s="90" t="str">
        <x:v>80% audit/clinical-documentation case quiz</x:v>
      </x:c>
      <x:c r="J712" s="90" t="str">
        <x:v>By day 14; before independent duty if earlier</x:v>
      </x:c>
      <x:c r="K712" s="90" t="str">
        <x:v>At hire; then on material revision</x:v>
      </x:c>
      <x:c r="L712" s="90" t="str">
        <x:v>Ready</x:v>
      </x:c>
      <x:c r="M712" s="90" t="str">
        <x:v>DON must set and audit clinical documentation, orders, coordination, transfers, discharge, and recertification controls.</x:v>
      </x:c>
      <x:c r="N712" s="90" t="str">
        <x:v>12-allPoliciesContent.generated.ts — CL-CP-003</x:v>
      </x:c>
      <x:c r="O712" s="90" t="str">
        <x:v>https://www.ecfr.gov/current/title-42/part-484/section-484.60</x:v>
      </x:c>
      <x:c r="P712" s="90" t="str"/>
    </x:row>
    <x:row r="713" ht="42" customHeight="1">
      <x:c r="A713" s="90" t="str">
        <x:v>DON-02</x:v>
      </x:c>
      <x:c r="B713" s="90" t="str">
        <x:v>DON</x:v>
      </x:c>
      <x:c r="C713" s="90" t="str">
        <x:v>CL-CP-004</x:v>
      </x:c>
      <x:c r="D713" s="90" t="str">
        <x:v>Verbal Order Receipt &amp; Authentication</x:v>
      </x:c>
      <x:c r="E713" s="90" t="str">
        <x:v>Core</x:v>
      </x:c>
      <x:c r="F713" s="90" t="str">
        <x:v>Yes</x:v>
      </x:c>
      <x:c r="G713" s="90" t="str">
        <x:v>Yes — bundled</x:v>
      </x:c>
      <x:c r="H713" s="90" t="str">
        <x:v>Clinical Documentation, Orders &amp; Care Coordination Oversight</x:v>
      </x:c>
      <x:c r="I713" s="90" t="str">
        <x:v>80% audit/clinical-documentation case quiz</x:v>
      </x:c>
      <x:c r="J713" s="90" t="str">
        <x:v>By day 14; before independent duty if earlier</x:v>
      </x:c>
      <x:c r="K713" s="90" t="str">
        <x:v>At hire; then on material revision</x:v>
      </x:c>
      <x:c r="L713" s="90" t="str">
        <x:v>Ready</x:v>
      </x:c>
      <x:c r="M713" s="90" t="str">
        <x:v>DON must set and audit clinical documentation, orders, coordination, transfers, discharge, and recertification controls.</x:v>
      </x:c>
      <x:c r="N713" s="90" t="str">
        <x:v>12-allPoliciesContent.generated.ts — CL-CP-004</x:v>
      </x:c>
      <x:c r="O713" s="90" t="str">
        <x:v>https://www.ecfr.gov/current/title-42/part-484/section-484.60</x:v>
      </x:c>
      <x:c r="P713" s="90" t="str"/>
    </x:row>
    <x:row r="714" ht="42" customHeight="1">
      <x:c r="A714" s="90" t="str">
        <x:v>DON-02</x:v>
      </x:c>
      <x:c r="B714" s="90" t="str">
        <x:v>DON</x:v>
      </x:c>
      <x:c r="C714" s="90" t="str">
        <x:v>CL-CP-005</x:v>
      </x:c>
      <x:c r="D714" s="90" t="str">
        <x:v>Coordination of Care</x:v>
      </x:c>
      <x:c r="E714" s="90" t="str">
        <x:v>Core</x:v>
      </x:c>
      <x:c r="F714" s="90" t="str">
        <x:v>Yes</x:v>
      </x:c>
      <x:c r="G714" s="90" t="str">
        <x:v>Yes — bundled</x:v>
      </x:c>
      <x:c r="H714" s="90" t="str">
        <x:v>Clinical Documentation, Orders &amp; Care Coordination Oversight</x:v>
      </x:c>
      <x:c r="I714" s="90" t="str">
        <x:v>80% audit/clinical-documentation case quiz</x:v>
      </x:c>
      <x:c r="J714" s="90" t="str">
        <x:v>By day 14; before independent duty if earlier</x:v>
      </x:c>
      <x:c r="K714" s="90" t="str">
        <x:v>At hire; then on material revision</x:v>
      </x:c>
      <x:c r="L714" s="90" t="str">
        <x:v>Ready</x:v>
      </x:c>
      <x:c r="M714" s="90" t="str">
        <x:v>DON must set and audit clinical documentation, orders, coordination, transfers, discharge, and recertification controls.</x:v>
      </x:c>
      <x:c r="N714" s="90" t="str">
        <x:v>12-allPoliciesContent.generated.ts — CL-CP-005</x:v>
      </x:c>
      <x:c r="O714" s="90" t="str">
        <x:v>https://www.ecfr.gov/current/title-42/part-484/section-484.60</x:v>
      </x:c>
      <x:c r="P714" s="90" t="str"/>
    </x:row>
    <x:row r="715" ht="42" customHeight="1">
      <x:c r="A715" s="90" t="str">
        <x:v>DON-02</x:v>
      </x:c>
      <x:c r="B715" s="90" t="str">
        <x:v>DON</x:v>
      </x:c>
      <x:c r="C715" s="90" t="str">
        <x:v>CL-CP-006</x:v>
      </x:c>
      <x:c r="D715" s="90" t="str">
        <x:v>Discharge Planning &amp; Criteria</x:v>
      </x:c>
      <x:c r="E715" s="90" t="str">
        <x:v>Core</x:v>
      </x:c>
      <x:c r="F715" s="90" t="str">
        <x:v>Yes</x:v>
      </x:c>
      <x:c r="G715" s="90" t="str">
        <x:v>Yes — bundled</x:v>
      </x:c>
      <x:c r="H715" s="90" t="str">
        <x:v>Clinical Documentation, Orders &amp; Care Coordination Oversight</x:v>
      </x:c>
      <x:c r="I715" s="90" t="str">
        <x:v>80% audit/clinical-documentation case quiz</x:v>
      </x:c>
      <x:c r="J715" s="90" t="str">
        <x:v>By day 14; before independent duty if earlier</x:v>
      </x:c>
      <x:c r="K715" s="90" t="str">
        <x:v>At hire; then on material revision</x:v>
      </x:c>
      <x:c r="L715" s="90" t="str">
        <x:v>Ready</x:v>
      </x:c>
      <x:c r="M715" s="90" t="str">
        <x:v>DON must set and audit clinical documentation, orders, coordination, transfers, discharge, and recertification controls.</x:v>
      </x:c>
      <x:c r="N715" s="90" t="str">
        <x:v>12-allPoliciesContent.generated.ts — CL-CP-006</x:v>
      </x:c>
      <x:c r="O715" s="90" t="str">
        <x:v>https://www.ecfr.gov/current/title-42/part-484/section-484.60</x:v>
      </x:c>
      <x:c r="P715" s="90" t="str"/>
    </x:row>
    <x:row r="716" ht="42" customHeight="1">
      <x:c r="A716" s="90" t="str">
        <x:v>DON-02</x:v>
      </x:c>
      <x:c r="B716" s="90" t="str">
        <x:v>DON</x:v>
      </x:c>
      <x:c r="C716" s="90" t="str">
        <x:v>CL-CP-007</x:v>
      </x:c>
      <x:c r="D716" s="90" t="str">
        <x:v>Transfer &amp; Referral Procedures</x:v>
      </x:c>
      <x:c r="E716" s="90" t="str">
        <x:v>Core</x:v>
      </x:c>
      <x:c r="F716" s="90" t="str">
        <x:v>Yes</x:v>
      </x:c>
      <x:c r="G716" s="90" t="str">
        <x:v>Yes — bundled</x:v>
      </x:c>
      <x:c r="H716" s="90" t="str">
        <x:v>Clinical Documentation, Orders &amp; Care Coordination Oversight</x:v>
      </x:c>
      <x:c r="I716" s="90" t="str">
        <x:v>80% audit/clinical-documentation case quiz</x:v>
      </x:c>
      <x:c r="J716" s="90" t="str">
        <x:v>By day 14; before independent duty if earlier</x:v>
      </x:c>
      <x:c r="K716" s="90" t="str">
        <x:v>At hire; then on material revision</x:v>
      </x:c>
      <x:c r="L716" s="90" t="str">
        <x:v>Ready</x:v>
      </x:c>
      <x:c r="M716" s="90" t="str">
        <x:v>DON must set and audit clinical documentation, orders, coordination, transfers, discharge, and recertification controls.</x:v>
      </x:c>
      <x:c r="N716" s="90" t="str">
        <x:v>12-allPoliciesContent.generated.ts — CL-CP-007</x:v>
      </x:c>
      <x:c r="O716" s="90" t="str">
        <x:v>https://www.ecfr.gov/current/title-42/part-484/section-484.60</x:v>
      </x:c>
      <x:c r="P716" s="90" t="str"/>
    </x:row>
    <x:row r="717" ht="42" customHeight="1">
      <x:c r="A717" s="90" t="str">
        <x:v>DON-02</x:v>
      </x:c>
      <x:c r="B717" s="90" t="str">
        <x:v>DON</x:v>
      </x:c>
      <x:c r="C717" s="90" t="str">
        <x:v>CL-CP-008</x:v>
      </x:c>
      <x:c r="D717" s="90" t="str">
        <x:v>Physician Recertification Timing Compliance</x:v>
      </x:c>
      <x:c r="E717" s="90" t="str">
        <x:v>Core</x:v>
      </x:c>
      <x:c r="F717" s="90" t="str">
        <x:v>Yes</x:v>
      </x:c>
      <x:c r="G717" s="90" t="str">
        <x:v>Yes — bundled</x:v>
      </x:c>
      <x:c r="H717" s="90" t="str">
        <x:v>Clinical Documentation, Orders &amp; Care Coordination Oversight</x:v>
      </x:c>
      <x:c r="I717" s="90" t="str">
        <x:v>80% audit/clinical-documentation case quiz</x:v>
      </x:c>
      <x:c r="J717" s="90" t="str">
        <x:v>By day 14; before independent duty if earlier</x:v>
      </x:c>
      <x:c r="K717" s="90" t="str">
        <x:v>At hire; then on material revision</x:v>
      </x:c>
      <x:c r="L717" s="90" t="str">
        <x:v>Ready</x:v>
      </x:c>
      <x:c r="M717" s="90" t="str">
        <x:v>DON must set and audit clinical documentation, orders, coordination, transfers, discharge, and recertification controls.</x:v>
      </x:c>
      <x:c r="N717" s="90" t="str">
        <x:v>12-allPoliciesContent.generated.ts — CL-CP-008</x:v>
      </x:c>
      <x:c r="O717" s="90" t="str">
        <x:v>https://www.ecfr.gov/current/title-42/part-484/section-484.60</x:v>
      </x:c>
      <x:c r="P717" s="90" t="str"/>
    </x:row>
    <x:row r="718" ht="42" customHeight="1">
      <x:c r="A718" s="90" t="str">
        <x:v>DON-02</x:v>
      </x:c>
      <x:c r="B718" s="90" t="str">
        <x:v>DON</x:v>
      </x:c>
      <x:c r="C718" s="90" t="str">
        <x:v>CL-CP-009</x:v>
      </x:c>
      <x:c r="D718" s="90" t="str">
        <x:v>Physician Order Signature Tracking &amp; Escalation</x:v>
      </x:c>
      <x:c r="E718" s="90" t="str">
        <x:v>Core</x:v>
      </x:c>
      <x:c r="F718" s="90" t="str">
        <x:v>Yes</x:v>
      </x:c>
      <x:c r="G718" s="90" t="str">
        <x:v>Yes — bundled</x:v>
      </x:c>
      <x:c r="H718" s="90" t="str">
        <x:v>Clinical Documentation, Orders &amp; Care Coordination Oversight</x:v>
      </x:c>
      <x:c r="I718" s="90" t="str">
        <x:v>80% audit/clinical-documentation case quiz</x:v>
      </x:c>
      <x:c r="J718" s="90" t="str">
        <x:v>By day 14; before independent duty if earlier</x:v>
      </x:c>
      <x:c r="K718" s="90" t="str">
        <x:v>At hire; then on material revision</x:v>
      </x:c>
      <x:c r="L718" s="90" t="str">
        <x:v>Ready</x:v>
      </x:c>
      <x:c r="M718" s="90" t="str">
        <x:v>DON must set and audit clinical documentation, orders, coordination, transfers, discharge, and recertification controls.</x:v>
      </x:c>
      <x:c r="N718" s="90" t="str">
        <x:v>12-allPoliciesContent.generated.ts — CL-CP-009</x:v>
      </x:c>
      <x:c r="O718" s="90" t="str">
        <x:v>https://www.ecfr.gov/current/title-42/part-484/section-484.60</x:v>
      </x:c>
      <x:c r="P718" s="90" t="str"/>
    </x:row>
    <x:row r="719" ht="42" customHeight="1">
      <x:c r="A719" s="90" t="str">
        <x:v>DON-02</x:v>
      </x:c>
      <x:c r="B719" s="90" t="str">
        <x:v>DON</x:v>
      </x:c>
      <x:c r="C719" s="90" t="str">
        <x:v>CL-CC-101</x:v>
      </x:c>
      <x:c r="D719" s="90" t="str">
        <x:v>Care Coordination &amp; SDOH Management</x:v>
      </x:c>
      <x:c r="E719" s="90" t="str">
        <x:v>Core</x:v>
      </x:c>
      <x:c r="F719" s="90" t="str">
        <x:v>Yes</x:v>
      </x:c>
      <x:c r="G719" s="90" t="str">
        <x:v>Yes — bundled</x:v>
      </x:c>
      <x:c r="H719" s="90" t="str">
        <x:v>Clinical Documentation, Orders &amp; Care Coordination Oversight</x:v>
      </x:c>
      <x:c r="I719" s="90" t="str">
        <x:v>80% audit/clinical-documentation case quiz</x:v>
      </x:c>
      <x:c r="J719" s="90" t="str">
        <x:v>By day 14; before independent duty if earlier</x:v>
      </x:c>
      <x:c r="K719" s="90" t="str">
        <x:v>At hire; then on material revision</x:v>
      </x:c>
      <x:c r="L719" s="90" t="str">
        <x:v>Ready</x:v>
      </x:c>
      <x:c r="M719" s="90" t="str">
        <x:v>DON must set and audit clinical documentation, orders, coordination, transfers, discharge, and recertification controls.</x:v>
      </x:c>
      <x:c r="N719" s="90" t="str">
        <x:v>12-allPoliciesContent.generated.ts — CL-CC-101</x:v>
      </x:c>
      <x:c r="O719" s="90" t="str">
        <x:v>https://www.ecfr.gov/current/title-42/part-484/section-484.60</x:v>
      </x:c>
      <x:c r="P719" s="90" t="str"/>
    </x:row>
    <x:row r="720" ht="42" customHeight="1">
      <x:c r="A720" s="90" t="str">
        <x:v>DON-03</x:v>
      </x:c>
      <x:c r="B720" s="90" t="str">
        <x:v>DON</x:v>
      </x:c>
      <x:c r="C720" s="90" t="str">
        <x:v>CL-CA-001</x:v>
      </x:c>
      <x:c r="D720" s="90" t="str">
        <x:v>Patient Assessment — Comprehensive</x:v>
      </x:c>
      <x:c r="E720" s="90" t="str">
        <x:v>Hold</x:v>
      </x:c>
      <x:c r="F720" s="90" t="str">
        <x:v>Yes</x:v>
      </x:c>
      <x:c r="G720" s="90" t="str">
        <x:v>Yes — bundled</x:v>
      </x:c>
      <x:c r="H720" s="90" t="str">
        <x:v>Assessment &amp; OASIS Governance</x:v>
      </x:c>
      <x:c r="I720" s="90" t="str">
        <x:v>85% OASIS governance assessment plus audit/coding exercise</x:v>
      </x:c>
      <x:c r="J720" s="90" t="str">
        <x:v>By day 14; before independent duty if earlier</x:v>
      </x:c>
      <x:c r="K720" s="90" t="str">
        <x:v>At hire; then on material revision</x:v>
      </x:c>
      <x:c r="L720" s="90" t="str">
        <x:v>Hold</x:v>
      </x:c>
      <x:c r="M720" s="90" t="str">
        <x:v>DON owns authorization, competency, correction, and quality controls; publish only after the source hierarchy and therapist eligibility are corrected.</x:v>
      </x:c>
      <x:c r="N720" s="90" t="str">
        <x:v>12-allPoliciesContent.generated.ts — CL-CA-001</x:v>
      </x:c>
      <x:c r="O720" s="90" t="str">
        <x:v>https://www.ecfr.gov/current/title-42/part-484/section-484.55</x:v>
      </x:c>
      <x:c r="P720" s="90" t="str"/>
    </x:row>
    <x:row r="721" ht="42" customHeight="1">
      <x:c r="A721" s="90" t="str">
        <x:v>DON-03</x:v>
      </x:c>
      <x:c r="B721" s="90" t="str">
        <x:v>DON</x:v>
      </x:c>
      <x:c r="C721" s="90" t="str">
        <x:v>CL-CA-002</x:v>
      </x:c>
      <x:c r="D721" s="90" t="str">
        <x:v>OASIS Data Collection &amp; Accuracy</x:v>
      </x:c>
      <x:c r="E721" s="90" t="str">
        <x:v>Hold</x:v>
      </x:c>
      <x:c r="F721" s="90" t="str">
        <x:v>Yes</x:v>
      </x:c>
      <x:c r="G721" s="90" t="str">
        <x:v>Yes — bundled</x:v>
      </x:c>
      <x:c r="H721" s="90" t="str">
        <x:v>Assessment &amp; OASIS Governance</x:v>
      </x:c>
      <x:c r="I721" s="90" t="str">
        <x:v>85% OASIS governance assessment plus audit/coding exercise</x:v>
      </x:c>
      <x:c r="J721" s="90" t="str">
        <x:v>By day 14; before independent duty if earlier</x:v>
      </x:c>
      <x:c r="K721" s="90" t="str">
        <x:v>At hire; then on material revision</x:v>
      </x:c>
      <x:c r="L721" s="90" t="str">
        <x:v>Hold</x:v>
      </x:c>
      <x:c r="M721" s="90" t="str">
        <x:v>DON owns authorization, competency, correction, and quality controls; publish only after the source hierarchy and therapist eligibility are corrected.</x:v>
      </x:c>
      <x:c r="N721" s="90" t="str">
        <x:v>12-allPoliciesContent.generated.ts — CL-CA-002</x:v>
      </x:c>
      <x:c r="O721" s="90" t="str">
        <x:v>https://www.ecfr.gov/current/title-42/part-484/section-484.55</x:v>
      </x:c>
      <x:c r="P721" s="90" t="str"/>
    </x:row>
    <x:row r="722" ht="42" customHeight="1">
      <x:c r="A722" s="90" t="str">
        <x:v>DON-03</x:v>
      </x:c>
      <x:c r="B722" s="90" t="str">
        <x:v>DON</x:v>
      </x:c>
      <x:c r="C722" s="90" t="str">
        <x:v>CL-CA-003</x:v>
      </x:c>
      <x:c r="D722" s="90" t="str">
        <x:v>OASIS Transmission &amp; Correction</x:v>
      </x:c>
      <x:c r="E722" s="90" t="str">
        <x:v>Hold</x:v>
      </x:c>
      <x:c r="F722" s="90" t="str">
        <x:v>Yes</x:v>
      </x:c>
      <x:c r="G722" s="90" t="str">
        <x:v>Yes — bundled</x:v>
      </x:c>
      <x:c r="H722" s="90" t="str">
        <x:v>Assessment &amp; OASIS Governance</x:v>
      </x:c>
      <x:c r="I722" s="90" t="str">
        <x:v>85% OASIS governance assessment plus audit/coding exercise</x:v>
      </x:c>
      <x:c r="J722" s="90" t="str">
        <x:v>By day 14; before independent duty if earlier</x:v>
      </x:c>
      <x:c r="K722" s="90" t="str">
        <x:v>At hire; then on material revision</x:v>
      </x:c>
      <x:c r="L722" s="90" t="str">
        <x:v>Hold</x:v>
      </x:c>
      <x:c r="M722" s="90" t="str">
        <x:v>DON owns authorization, competency, correction, and quality controls; publish only after the source hierarchy and therapist eligibility are corrected.</x:v>
      </x:c>
      <x:c r="N722" s="90" t="str">
        <x:v>12-allPoliciesContent.generated.ts — CL-CA-003</x:v>
      </x:c>
      <x:c r="O722" s="90" t="str">
        <x:v>https://www.ecfr.gov/current/title-42/part-484/section-484.55</x:v>
      </x:c>
      <x:c r="P722" s="90" t="str"/>
    </x:row>
    <x:row r="723" ht="42" customHeight="1">
      <x:c r="A723" s="90" t="str">
        <x:v>DON-03</x:v>
      </x:c>
      <x:c r="B723" s="90" t="str">
        <x:v>DON</x:v>
      </x:c>
      <x:c r="C723" s="90" t="str">
        <x:v>CL-CA-004</x:v>
      </x:c>
      <x:c r="D723" s="90" t="str">
        <x:v>Recertification Assessment &amp; Process</x:v>
      </x:c>
      <x:c r="E723" s="90" t="str">
        <x:v>Core</x:v>
      </x:c>
      <x:c r="F723" s="90" t="str">
        <x:v>Yes</x:v>
      </x:c>
      <x:c r="G723" s="90" t="str">
        <x:v>Yes — bundled</x:v>
      </x:c>
      <x:c r="H723" s="90" t="str">
        <x:v>Assessment &amp; OASIS Governance</x:v>
      </x:c>
      <x:c r="I723" s="90" t="str">
        <x:v>85% OASIS governance assessment plus audit/coding exercise</x:v>
      </x:c>
      <x:c r="J723" s="90" t="str">
        <x:v>By day 14; before independent duty if earlier</x:v>
      </x:c>
      <x:c r="K723" s="90" t="str">
        <x:v>At hire; then on material revision</x:v>
      </x:c>
      <x:c r="L723" s="90" t="str">
        <x:v>Hold</x:v>
      </x:c>
      <x:c r="M723" s="90" t="str">
        <x:v>DON owns authorization, competency, correction, and quality controls; publish only after the source hierarchy and therapist eligibility are corrected.</x:v>
      </x:c>
      <x:c r="N723" s="90" t="str">
        <x:v>12-allPoliciesContent.generated.ts — CL-CA-004</x:v>
      </x:c>
      <x:c r="O723" s="90" t="str">
        <x:v>https://www.ecfr.gov/current/title-42/part-484/section-484.55</x:v>
      </x:c>
      <x:c r="P723" s="90" t="str"/>
    </x:row>
    <x:row r="724" ht="42" customHeight="1">
      <x:c r="A724" s="90" t="str">
        <x:v>DON-03</x:v>
      </x:c>
      <x:c r="B724" s="90" t="str">
        <x:v>DON</x:v>
      </x:c>
      <x:c r="C724" s="90" t="str">
        <x:v>CL-CA-005</x:v>
      </x:c>
      <x:c r="D724" s="90" t="str">
        <x:v>Homebound Status Determination &amp; Documentation</x:v>
      </x:c>
      <x:c r="E724" s="90" t="str">
        <x:v>Core</x:v>
      </x:c>
      <x:c r="F724" s="90" t="str">
        <x:v>Yes</x:v>
      </x:c>
      <x:c r="G724" s="90" t="str">
        <x:v>Yes — bundled</x:v>
      </x:c>
      <x:c r="H724" s="90" t="str">
        <x:v>Assessment &amp; OASIS Governance</x:v>
      </x:c>
      <x:c r="I724" s="90" t="str">
        <x:v>85% OASIS governance assessment plus audit/coding exercise</x:v>
      </x:c>
      <x:c r="J724" s="90" t="str">
        <x:v>By day 14; before independent duty if earlier</x:v>
      </x:c>
      <x:c r="K724" s="90" t="str">
        <x:v>At hire; then on material revision</x:v>
      </x:c>
      <x:c r="L724" s="90" t="str">
        <x:v>Hold</x:v>
      </x:c>
      <x:c r="M724" s="90" t="str">
        <x:v>DON owns authorization, competency, correction, and quality controls; publish only after the source hierarchy and therapist eligibility are corrected.</x:v>
      </x:c>
      <x:c r="N724" s="90" t="str">
        <x:v>12-allPoliciesContent.generated.ts — CL-CA-005</x:v>
      </x:c>
      <x:c r="O724" s="90" t="str">
        <x:v>https://www.ecfr.gov/current/title-42/part-484/section-484.55</x:v>
      </x:c>
      <x:c r="P724" s="90" t="str"/>
    </x:row>
    <x:row r="725" ht="42" customHeight="1">
      <x:c r="A725" s="90" t="str">
        <x:v>DON-03</x:v>
      </x:c>
      <x:c r="B725" s="90" t="str">
        <x:v>DON</x:v>
      </x:c>
      <x:c r="C725" s="90" t="str">
        <x:v>CL-CA-006</x:v>
      </x:c>
      <x:c r="D725" s="90" t="str">
        <x:v>Face-to-Face Encounter Compliance</x:v>
      </x:c>
      <x:c r="E725" s="90" t="str">
        <x:v>Core</x:v>
      </x:c>
      <x:c r="F725" s="90" t="str">
        <x:v>Yes</x:v>
      </x:c>
      <x:c r="G725" s="90" t="str">
        <x:v>Yes — bundled</x:v>
      </x:c>
      <x:c r="H725" s="90" t="str">
        <x:v>Assessment &amp; OASIS Governance</x:v>
      </x:c>
      <x:c r="I725" s="90" t="str">
        <x:v>85% OASIS governance assessment plus audit/coding exercise</x:v>
      </x:c>
      <x:c r="J725" s="90" t="str">
        <x:v>By day 14; before independent duty if earlier</x:v>
      </x:c>
      <x:c r="K725" s="90" t="str">
        <x:v>At hire; then on material revision</x:v>
      </x:c>
      <x:c r="L725" s="90" t="str">
        <x:v>Hold</x:v>
      </x:c>
      <x:c r="M725" s="90" t="str">
        <x:v>DON owns authorization, competency, correction, and quality controls; publish only after the source hierarchy and therapist eligibility are corrected.</x:v>
      </x:c>
      <x:c r="N725" s="90" t="str">
        <x:v>12-allPoliciesContent.generated.ts — CL-CA-006</x:v>
      </x:c>
      <x:c r="O725" s="90" t="str">
        <x:v>https://www.ecfr.gov/current/title-42/part-484/section-484.55</x:v>
      </x:c>
      <x:c r="P725" s="90" t="str"/>
    </x:row>
    <x:row r="726" ht="42" customHeight="1">
      <x:c r="A726" s="90" t="str">
        <x:v>DON-03</x:v>
      </x:c>
      <x:c r="B726" s="90" t="str">
        <x:v>DON</x:v>
      </x:c>
      <x:c r="C726" s="90" t="str">
        <x:v>CL-CA-007</x:v>
      </x:c>
      <x:c r="D726" s="90" t="str">
        <x:v>Face-to-Face Encounter Tracking &amp; Expiration Monitoring</x:v>
      </x:c>
      <x:c r="E726" s="90" t="str">
        <x:v>Core</x:v>
      </x:c>
      <x:c r="F726" s="90" t="str">
        <x:v>Yes</x:v>
      </x:c>
      <x:c r="G726" s="90" t="str">
        <x:v>Yes — bundled</x:v>
      </x:c>
      <x:c r="H726" s="90" t="str">
        <x:v>Assessment &amp; OASIS Governance</x:v>
      </x:c>
      <x:c r="I726" s="90" t="str">
        <x:v>85% OASIS governance assessment plus audit/coding exercise</x:v>
      </x:c>
      <x:c r="J726" s="90" t="str">
        <x:v>By day 14; before independent duty if earlier</x:v>
      </x:c>
      <x:c r="K726" s="90" t="str">
        <x:v>At hire; then on material revision</x:v>
      </x:c>
      <x:c r="L726" s="90" t="str">
        <x:v>Hold</x:v>
      </x:c>
      <x:c r="M726" s="90" t="str">
        <x:v>DON owns authorization, competency, correction, and quality controls; publish only after the source hierarchy and therapist eligibility are corrected.</x:v>
      </x:c>
      <x:c r="N726" s="90" t="str">
        <x:v>12-allPoliciesContent.generated.ts — CL-CA-007</x:v>
      </x:c>
      <x:c r="O726" s="90" t="str">
        <x:v>https://www.ecfr.gov/current/title-42/part-484/section-484.55</x:v>
      </x:c>
      <x:c r="P726" s="90" t="str"/>
    </x:row>
    <x:row r="727" ht="42" customHeight="1">
      <x:c r="A727" s="90" t="str">
        <x:v>DON-03</x:v>
      </x:c>
      <x:c r="B727" s="90" t="str">
        <x:v>DON</x:v>
      </x:c>
      <x:c r="C727" s="90" t="str">
        <x:v>CL-OA-001</x:v>
      </x:c>
      <x:c r="D727" s="90" t="str">
        <x:v>OASIS Completion Timeliness &amp; Accountability</x:v>
      </x:c>
      <x:c r="E727" s="90" t="str">
        <x:v>Hold</x:v>
      </x:c>
      <x:c r="F727" s="90" t="str">
        <x:v>Yes</x:v>
      </x:c>
      <x:c r="G727" s="90" t="str">
        <x:v>Yes — bundled</x:v>
      </x:c>
      <x:c r="H727" s="90" t="str">
        <x:v>Assessment &amp; OASIS Governance</x:v>
      </x:c>
      <x:c r="I727" s="90" t="str">
        <x:v>85% OASIS governance assessment plus audit/coding exercise</x:v>
      </x:c>
      <x:c r="J727" s="90" t="str">
        <x:v>By day 14; before independent duty if earlier</x:v>
      </x:c>
      <x:c r="K727" s="90" t="str">
        <x:v>At hire; then on material revision</x:v>
      </x:c>
      <x:c r="L727" s="90" t="str">
        <x:v>Hold</x:v>
      </x:c>
      <x:c r="M727" s="90" t="str">
        <x:v>DON owns authorization, competency, correction, and quality controls; publish only after the source hierarchy and therapist eligibility are corrected.</x:v>
      </x:c>
      <x:c r="N727" s="90" t="str">
        <x:v>12-allPoliciesContent.generated.ts — CL-OA-001</x:v>
      </x:c>
      <x:c r="O727" s="90" t="str">
        <x:v>https://www.ecfr.gov/current/title-42/part-484/section-484.55</x:v>
      </x:c>
      <x:c r="P727" s="90" t="str"/>
    </x:row>
    <x:row r="728" ht="42" customHeight="1">
      <x:c r="A728" s="90" t="str">
        <x:v>DON-03</x:v>
      </x:c>
      <x:c r="B728" s="90" t="str">
        <x:v>DON</x:v>
      </x:c>
      <x:c r="C728" s="90" t="str">
        <x:v>CL-OA-002</x:v>
      </x:c>
      <x:c r="D728" s="90" t="str">
        <x:v>OASIS Quality Review &amp; Error Correction</x:v>
      </x:c>
      <x:c r="E728" s="90" t="str">
        <x:v>Hold</x:v>
      </x:c>
      <x:c r="F728" s="90" t="str">
        <x:v>Yes</x:v>
      </x:c>
      <x:c r="G728" s="90" t="str">
        <x:v>Yes — bundled</x:v>
      </x:c>
      <x:c r="H728" s="90" t="str">
        <x:v>Assessment &amp; OASIS Governance</x:v>
      </x:c>
      <x:c r="I728" s="90" t="str">
        <x:v>85% OASIS governance assessment plus audit/coding exercise</x:v>
      </x:c>
      <x:c r="J728" s="90" t="str">
        <x:v>By day 14; before independent duty if earlier</x:v>
      </x:c>
      <x:c r="K728" s="90" t="str">
        <x:v>At hire; then on material revision</x:v>
      </x:c>
      <x:c r="L728" s="90" t="str">
        <x:v>Hold</x:v>
      </x:c>
      <x:c r="M728" s="90" t="str">
        <x:v>DON owns authorization, competency, correction, and quality controls; publish only after the source hierarchy and therapist eligibility are corrected.</x:v>
      </x:c>
      <x:c r="N728" s="90" t="str">
        <x:v>12-allPoliciesContent.generated.ts — CL-OA-002</x:v>
      </x:c>
      <x:c r="O728" s="90" t="str">
        <x:v>https://www.ecfr.gov/current/title-42/part-484/section-484.55</x:v>
      </x:c>
      <x:c r="P728" s="90" t="str"/>
    </x:row>
    <x:row r="729" ht="42" customHeight="1">
      <x:c r="A729" s="90" t="str">
        <x:v>DON-03</x:v>
      </x:c>
      <x:c r="B729" s="90" t="str">
        <x:v>DON</x:v>
      </x:c>
      <x:c r="C729" s="90" t="str">
        <x:v>CL-OA-003</x:v>
      </x:c>
      <x:c r="D729" s="90" t="str">
        <x:v>OASIS Clinician Authorization &amp; Competency</x:v>
      </x:c>
      <x:c r="E729" s="90" t="str">
        <x:v>Hold</x:v>
      </x:c>
      <x:c r="F729" s="90" t="str">
        <x:v>Yes</x:v>
      </x:c>
      <x:c r="G729" s="90" t="str">
        <x:v>Yes — bundled</x:v>
      </x:c>
      <x:c r="H729" s="90" t="str">
        <x:v>Assessment &amp; OASIS Governance</x:v>
      </x:c>
      <x:c r="I729" s="90" t="str">
        <x:v>85% OASIS governance assessment plus audit/coding exercise</x:v>
      </x:c>
      <x:c r="J729" s="90" t="str">
        <x:v>By day 14; before independent duty if earlier</x:v>
      </x:c>
      <x:c r="K729" s="90" t="str">
        <x:v>At hire; then on material revision</x:v>
      </x:c>
      <x:c r="L729" s="90" t="str">
        <x:v>Hold</x:v>
      </x:c>
      <x:c r="M729" s="90" t="str">
        <x:v>DON owns authorization, competency, correction, and quality controls; publish only after the source hierarchy and therapist eligibility are corrected.</x:v>
      </x:c>
      <x:c r="N729" s="90" t="str">
        <x:v>12-allPoliciesContent.generated.ts — CL-OA-003</x:v>
      </x:c>
      <x:c r="O729" s="90" t="str">
        <x:v>https://www.ecfr.gov/current/title-42/part-484/section-484.55</x:v>
      </x:c>
      <x:c r="P729" s="90" t="str"/>
    </x:row>
    <x:row r="730" ht="42" customHeight="1">
      <x:c r="A730" s="90" t="str">
        <x:v>DON-03</x:v>
      </x:c>
      <x:c r="B730" s="90" t="str">
        <x:v>DON</x:v>
      </x:c>
      <x:c r="C730" s="90" t="str">
        <x:v>CL-OA-004</x:v>
      </x:c>
      <x:c r="D730" s="90" t="str">
        <x:v>OASIS Item-Level Guidance Compliance</x:v>
      </x:c>
      <x:c r="E730" s="90" t="str">
        <x:v>Hold</x:v>
      </x:c>
      <x:c r="F730" s="90" t="str">
        <x:v>Yes</x:v>
      </x:c>
      <x:c r="G730" s="90" t="str">
        <x:v>Yes — bundled</x:v>
      </x:c>
      <x:c r="H730" s="90" t="str">
        <x:v>Assessment &amp; OASIS Governance</x:v>
      </x:c>
      <x:c r="I730" s="90" t="str">
        <x:v>85% OASIS governance assessment plus audit/coding exercise</x:v>
      </x:c>
      <x:c r="J730" s="90" t="str">
        <x:v>By day 14; before independent duty if earlier</x:v>
      </x:c>
      <x:c r="K730" s="90" t="str">
        <x:v>At hire; then on material revision</x:v>
      </x:c>
      <x:c r="L730" s="90" t="str">
        <x:v>Hold</x:v>
      </x:c>
      <x:c r="M730" s="90" t="str">
        <x:v>DON owns authorization, competency, correction, and quality controls; publish only after the source hierarchy and therapist eligibility are corrected.</x:v>
      </x:c>
      <x:c r="N730" s="90" t="str">
        <x:v>12-allPoliciesContent.generated.ts — CL-OA-004</x:v>
      </x:c>
      <x:c r="O730" s="90" t="str">
        <x:v>https://www.ecfr.gov/current/title-42/part-484/section-484.55</x:v>
      </x:c>
      <x:c r="P730" s="90" t="str"/>
    </x:row>
    <x:row r="731" ht="42" customHeight="1">
      <x:c r="A731" s="90" t="str">
        <x:v>DON-03</x:v>
      </x:c>
      <x:c r="B731" s="90" t="str">
        <x:v>DON</x:v>
      </x:c>
      <x:c r="C731" s="90" t="str">
        <x:v>CL-OA-005</x:v>
      </x:c>
      <x:c r="D731" s="90" t="str">
        <x:v>OASIS Data Integrity &amp; Security</x:v>
      </x:c>
      <x:c r="E731" s="90" t="str">
        <x:v>Hold</x:v>
      </x:c>
      <x:c r="F731" s="90" t="str">
        <x:v>Yes</x:v>
      </x:c>
      <x:c r="G731" s="90" t="str">
        <x:v>Yes — bundled</x:v>
      </x:c>
      <x:c r="H731" s="90" t="str">
        <x:v>Assessment &amp; OASIS Governance</x:v>
      </x:c>
      <x:c r="I731" s="90" t="str">
        <x:v>85% OASIS governance assessment plus audit/coding exercise</x:v>
      </x:c>
      <x:c r="J731" s="90" t="str">
        <x:v>By day 14; before independent duty if earlier</x:v>
      </x:c>
      <x:c r="K731" s="90" t="str">
        <x:v>At hire; then on material revision</x:v>
      </x:c>
      <x:c r="L731" s="90" t="str">
        <x:v>Hold</x:v>
      </x:c>
      <x:c r="M731" s="90" t="str">
        <x:v>DON owns authorization, competency, correction, and quality controls; publish only after the source hierarchy and therapist eligibility are corrected.</x:v>
      </x:c>
      <x:c r="N731" s="90" t="str">
        <x:v>12-allPoliciesContent.generated.ts — CL-OA-005</x:v>
      </x:c>
      <x:c r="O731" s="90" t="str">
        <x:v>https://www.ecfr.gov/current/title-42/part-484/section-484.55</x:v>
      </x:c>
      <x:c r="P731" s="90" t="str"/>
    </x:row>
    <x:row r="732" ht="42" customHeight="1">
      <x:c r="A732" s="90" t="str">
        <x:v>DON-03</x:v>
      </x:c>
      <x:c r="B732" s="90" t="str">
        <x:v>DON</x:v>
      </x:c>
      <x:c r="C732" s="90" t="str">
        <x:v>CL-OA-006</x:v>
      </x:c>
      <x:c r="D732" s="90" t="str">
        <x:v>Documentation Hierarchy and Evidence Source Prioritization</x:v>
      </x:c>
      <x:c r="E732" s="90" t="str">
        <x:v>Hold</x:v>
      </x:c>
      <x:c r="F732" s="90" t="str">
        <x:v>Yes</x:v>
      </x:c>
      <x:c r="G732" s="90" t="str">
        <x:v>Yes — bundled</x:v>
      </x:c>
      <x:c r="H732" s="90" t="str">
        <x:v>Assessment &amp; OASIS Governance</x:v>
      </x:c>
      <x:c r="I732" s="90" t="str">
        <x:v>85% OASIS governance assessment plus audit/coding exercise</x:v>
      </x:c>
      <x:c r="J732" s="90" t="str">
        <x:v>By day 14; before independent duty if earlier</x:v>
      </x:c>
      <x:c r="K732" s="90" t="str">
        <x:v>At hire; then on material revision</x:v>
      </x:c>
      <x:c r="L732" s="90" t="str">
        <x:v>Hold</x:v>
      </x:c>
      <x:c r="M732" s="90" t="str">
        <x:v>DON owns authorization, competency, correction, and quality controls; publish only after the source hierarchy and therapist eligibility are corrected.</x:v>
      </x:c>
      <x:c r="N732" s="90" t="str">
        <x:v>12-allPoliciesContent.generated.ts — CL-OA-006</x:v>
      </x:c>
      <x:c r="O732" s="90" t="str">
        <x:v>https://www.ecfr.gov/current/title-42/part-484/section-484.55</x:v>
      </x:c>
      <x:c r="P732" s="90" t="str"/>
    </x:row>
    <x:row r="733" ht="42" customHeight="1">
      <x:c r="A733" s="90" t="str">
        <x:v>DON-03</x:v>
      </x:c>
      <x:c r="B733" s="90" t="str">
        <x:v>DON</x:v>
      </x:c>
      <x:c r="C733" s="90" t="str">
        <x:v>CL-OA-007</x:v>
      </x:c>
      <x:c r="D733" s="90" t="str">
        <x:v>Evidence-Based OASIS Coding Substantiation</x:v>
      </x:c>
      <x:c r="E733" s="90" t="str">
        <x:v>Hold</x:v>
      </x:c>
      <x:c r="F733" s="90" t="str">
        <x:v>Yes</x:v>
      </x:c>
      <x:c r="G733" s="90" t="str">
        <x:v>Yes — bundled</x:v>
      </x:c>
      <x:c r="H733" s="90" t="str">
        <x:v>Assessment &amp; OASIS Governance</x:v>
      </x:c>
      <x:c r="I733" s="90" t="str">
        <x:v>85% OASIS governance assessment plus audit/coding exercise</x:v>
      </x:c>
      <x:c r="J733" s="90" t="str">
        <x:v>By day 14; before independent duty if earlier</x:v>
      </x:c>
      <x:c r="K733" s="90" t="str">
        <x:v>At hire; then on material revision</x:v>
      </x:c>
      <x:c r="L733" s="90" t="str">
        <x:v>Hold</x:v>
      </x:c>
      <x:c r="M733" s="90" t="str">
        <x:v>DON owns authorization, competency, correction, and quality controls; publish only after the source hierarchy and therapist eligibility are corrected.</x:v>
      </x:c>
      <x:c r="N733" s="90" t="str">
        <x:v>12-allPoliciesContent.generated.ts — CL-OA-007</x:v>
      </x:c>
      <x:c r="O733" s="90" t="str">
        <x:v>https://www.ecfr.gov/current/title-42/part-484/section-484.55</x:v>
      </x:c>
      <x:c r="P733" s="90" t="str"/>
    </x:row>
    <x:row r="734" ht="42" customHeight="1">
      <x:c r="A734" s="90" t="str">
        <x:v>DON-03</x:v>
      </x:c>
      <x:c r="B734" s="90" t="str">
        <x:v>DON</x:v>
      </x:c>
      <x:c r="C734" s="90" t="str">
        <x:v>CL-OA-008</x:v>
      </x:c>
      <x:c r="D734" s="90" t="str">
        <x:v>Conflicting Documentation Source Resolution</x:v>
      </x:c>
      <x:c r="E734" s="90" t="str">
        <x:v>Hold</x:v>
      </x:c>
      <x:c r="F734" s="90" t="str">
        <x:v>Yes</x:v>
      </x:c>
      <x:c r="G734" s="90" t="str">
        <x:v>Yes — bundled</x:v>
      </x:c>
      <x:c r="H734" s="90" t="str">
        <x:v>Assessment &amp; OASIS Governance</x:v>
      </x:c>
      <x:c r="I734" s="90" t="str">
        <x:v>85% OASIS governance assessment plus audit/coding exercise</x:v>
      </x:c>
      <x:c r="J734" s="90" t="str">
        <x:v>By day 14; before independent duty if earlier</x:v>
      </x:c>
      <x:c r="K734" s="90" t="str">
        <x:v>At hire; then on material revision</x:v>
      </x:c>
      <x:c r="L734" s="90" t="str">
        <x:v>Hold</x:v>
      </x:c>
      <x:c r="M734" s="90" t="str">
        <x:v>DON owns authorization, competency, correction, and quality controls; publish only after the source hierarchy and therapist eligibility are corrected.</x:v>
      </x:c>
      <x:c r="N734" s="90" t="str">
        <x:v>12-allPoliciesContent.generated.ts — CL-OA-008</x:v>
      </x:c>
      <x:c r="O734" s="90" t="str">
        <x:v>https://www.ecfr.gov/current/title-42/part-484/section-484.55</x:v>
      </x:c>
      <x:c r="P734" s="90" t="str"/>
    </x:row>
    <x:row r="735" ht="42" customHeight="1">
      <x:c r="A735" s="90" t="str">
        <x:v>DON-03</x:v>
      </x:c>
      <x:c r="B735" s="90" t="str">
        <x:v>DON</x:v>
      </x:c>
      <x:c r="C735" s="90" t="str">
        <x:v>CL-OA-009</x:v>
      </x:c>
      <x:c r="D735" s="90" t="str">
        <x:v>Point-in-Time Assessment at Start of Care</x:v>
      </x:c>
      <x:c r="E735" s="90" t="str">
        <x:v>Hold</x:v>
      </x:c>
      <x:c r="F735" s="90" t="str">
        <x:v>Yes</x:v>
      </x:c>
      <x:c r="G735" s="90" t="str">
        <x:v>Yes — bundled</x:v>
      </x:c>
      <x:c r="H735" s="90" t="str">
        <x:v>Assessment &amp; OASIS Governance</x:v>
      </x:c>
      <x:c r="I735" s="90" t="str">
        <x:v>85% OASIS governance assessment plus audit/coding exercise</x:v>
      </x:c>
      <x:c r="J735" s="90" t="str">
        <x:v>By day 14; before independent duty if earlier</x:v>
      </x:c>
      <x:c r="K735" s="90" t="str">
        <x:v>At hire; then on material revision</x:v>
      </x:c>
      <x:c r="L735" s="90" t="str">
        <x:v>Hold</x:v>
      </x:c>
      <x:c r="M735" s="90" t="str">
        <x:v>DON owns authorization, competency, correction, and quality controls; publish only after the source hierarchy and therapist eligibility are corrected.</x:v>
      </x:c>
      <x:c r="N735" s="90" t="str">
        <x:v>12-allPoliciesContent.generated.ts — CL-OA-009</x:v>
      </x:c>
      <x:c r="O735" s="90" t="str">
        <x:v>https://www.ecfr.gov/current/title-42/part-484/section-484.55</x:v>
      </x:c>
      <x:c r="P735" s="90" t="str"/>
    </x:row>
    <x:row r="736" ht="42" customHeight="1">
      <x:c r="A736" s="90" t="str">
        <x:v>DON-03</x:v>
      </x:c>
      <x:c r="B736" s="90" t="str">
        <x:v>DON</x:v>
      </x:c>
      <x:c r="C736" s="90" t="str">
        <x:v>CL-OA-010</x:v>
      </x:c>
      <x:c r="D736" s="90" t="str">
        <x:v>CMS Look-Back Period Compliance for Assessment Items</x:v>
      </x:c>
      <x:c r="E736" s="90" t="str">
        <x:v>Hold</x:v>
      </x:c>
      <x:c r="F736" s="90" t="str">
        <x:v>Yes</x:v>
      </x:c>
      <x:c r="G736" s="90" t="str">
        <x:v>Yes — bundled</x:v>
      </x:c>
      <x:c r="H736" s="90" t="str">
        <x:v>Assessment &amp; OASIS Governance</x:v>
      </x:c>
      <x:c r="I736" s="90" t="str">
        <x:v>85% OASIS governance assessment plus audit/coding exercise</x:v>
      </x:c>
      <x:c r="J736" s="90" t="str">
        <x:v>By day 14; before independent duty if earlier</x:v>
      </x:c>
      <x:c r="K736" s="90" t="str">
        <x:v>At hire; then on material revision</x:v>
      </x:c>
      <x:c r="L736" s="90" t="str">
        <x:v>Hold</x:v>
      </x:c>
      <x:c r="M736" s="90" t="str">
        <x:v>DON owns authorization, competency, correction, and quality controls; publish only after the source hierarchy and therapist eligibility are corrected.</x:v>
      </x:c>
      <x:c r="N736" s="90" t="str">
        <x:v>12-allPoliciesContent.generated.ts — CL-OA-010</x:v>
      </x:c>
      <x:c r="O736" s="90" t="str">
        <x:v>https://www.ecfr.gov/current/title-42/part-484/section-484.55</x:v>
      </x:c>
      <x:c r="P736" s="90" t="str"/>
    </x:row>
    <x:row r="737" ht="42" customHeight="1">
      <x:c r="A737" s="90" t="str">
        <x:v>DON-03</x:v>
      </x:c>
      <x:c r="B737" s="90" t="str">
        <x:v>DON</x:v>
      </x:c>
      <x:c r="C737" s="90" t="str">
        <x:v>CL-OA-011</x:v>
      </x:c>
      <x:c r="D737" s="90" t="str">
        <x:v>Standardized Assessment Tool Administration and Validity</x:v>
      </x:c>
      <x:c r="E737" s="90" t="str">
        <x:v>Hold</x:v>
      </x:c>
      <x:c r="F737" s="90" t="str">
        <x:v>Yes</x:v>
      </x:c>
      <x:c r="G737" s="90" t="str">
        <x:v>Yes — bundled</x:v>
      </x:c>
      <x:c r="H737" s="90" t="str">
        <x:v>Assessment &amp; OASIS Governance</x:v>
      </x:c>
      <x:c r="I737" s="90" t="str">
        <x:v>85% OASIS governance assessment plus audit/coding exercise</x:v>
      </x:c>
      <x:c r="J737" s="90" t="str">
        <x:v>By day 14; before independent duty if earlier</x:v>
      </x:c>
      <x:c r="K737" s="90" t="str">
        <x:v>At hire; then on material revision</x:v>
      </x:c>
      <x:c r="L737" s="90" t="str">
        <x:v>Hold</x:v>
      </x:c>
      <x:c r="M737" s="90" t="str">
        <x:v>DON owns authorization, competency, correction, and quality controls; publish only after the source hierarchy and therapist eligibility are corrected.</x:v>
      </x:c>
      <x:c r="N737" s="90" t="str">
        <x:v>12-allPoliciesContent.generated.ts — CL-OA-011</x:v>
      </x:c>
      <x:c r="O737" s="90" t="str">
        <x:v>https://www.ecfr.gov/current/title-42/part-484/section-484.55</x:v>
      </x:c>
      <x:c r="P737" s="90" t="str"/>
    </x:row>
    <x:row r="738" ht="42" customHeight="1">
      <x:c r="A738" s="90" t="str">
        <x:v>DON-03</x:v>
      </x:c>
      <x:c r="B738" s="90" t="str">
        <x:v>DON</x:v>
      </x:c>
      <x:c r="C738" s="90" t="str">
        <x:v>CL-OA-012</x:v>
      </x:c>
      <x:c r="D738" s="90" t="str">
        <x:v>Clinical Reasoning Documentation for Coding Decisions</x:v>
      </x:c>
      <x:c r="E738" s="90" t="str">
        <x:v>Hold</x:v>
      </x:c>
      <x:c r="F738" s="90" t="str">
        <x:v>Yes</x:v>
      </x:c>
      <x:c r="G738" s="90" t="str">
        <x:v>Yes — bundled</x:v>
      </x:c>
      <x:c r="H738" s="90" t="str">
        <x:v>Assessment &amp; OASIS Governance</x:v>
      </x:c>
      <x:c r="I738" s="90" t="str">
        <x:v>85% OASIS governance assessment plus audit/coding exercise</x:v>
      </x:c>
      <x:c r="J738" s="90" t="str">
        <x:v>By day 14; before independent duty if earlier</x:v>
      </x:c>
      <x:c r="K738" s="90" t="str">
        <x:v>At hire; then on material revision</x:v>
      </x:c>
      <x:c r="L738" s="90" t="str">
        <x:v>Hold</x:v>
      </x:c>
      <x:c r="M738" s="90" t="str">
        <x:v>DON owns authorization, competency, correction, and quality controls; publish only after the source hierarchy and therapist eligibility are corrected.</x:v>
      </x:c>
      <x:c r="N738" s="90" t="str">
        <x:v>12-allPoliciesContent.generated.ts — CL-OA-012</x:v>
      </x:c>
      <x:c r="O738" s="90" t="str">
        <x:v>https://www.ecfr.gov/current/title-42/part-484/section-484.55</x:v>
      </x:c>
      <x:c r="P738" s="90" t="str"/>
    </x:row>
    <x:row r="739" ht="42" customHeight="1">
      <x:c r="A739" s="90" t="str">
        <x:v>DON-03</x:v>
      </x:c>
      <x:c r="B739" s="90" t="str">
        <x:v>DON</x:v>
      </x:c>
      <x:c r="C739" s="90" t="str">
        <x:v>CL-OA-013</x:v>
      </x:c>
      <x:c r="D739" s="90" t="str">
        <x:v>Cross-Document Verification Prior to Assessment Finalization</x:v>
      </x:c>
      <x:c r="E739" s="90" t="str">
        <x:v>Hold</x:v>
      </x:c>
      <x:c r="F739" s="90" t="str">
        <x:v>Yes</x:v>
      </x:c>
      <x:c r="G739" s="90" t="str">
        <x:v>Yes — bundled</x:v>
      </x:c>
      <x:c r="H739" s="90" t="str">
        <x:v>Assessment &amp; OASIS Governance</x:v>
      </x:c>
      <x:c r="I739" s="90" t="str">
        <x:v>85% OASIS governance assessment plus audit/coding exercise</x:v>
      </x:c>
      <x:c r="J739" s="90" t="str">
        <x:v>By day 14; before independent duty if earlier</x:v>
      </x:c>
      <x:c r="K739" s="90" t="str">
        <x:v>At hire; then on material revision</x:v>
      </x:c>
      <x:c r="L739" s="90" t="str">
        <x:v>Hold</x:v>
      </x:c>
      <x:c r="M739" s="90" t="str">
        <x:v>DON owns authorization, competency, correction, and quality controls; publish only after the source hierarchy and therapist eligibility are corrected.</x:v>
      </x:c>
      <x:c r="N739" s="90" t="str">
        <x:v>12-allPoliciesContent.generated.ts — CL-OA-013</x:v>
      </x:c>
      <x:c r="O739" s="90" t="str">
        <x:v>https://www.ecfr.gov/current/title-42/part-484/section-484.55</x:v>
      </x:c>
      <x:c r="P739" s="90" t="str"/>
    </x:row>
    <x:row r="740" ht="42" customHeight="1">
      <x:c r="A740" s="90" t="str">
        <x:v>DON-03</x:v>
      </x:c>
      <x:c r="B740" s="90" t="str">
        <x:v>DON</x:v>
      </x:c>
      <x:c r="C740" s="90" t="str">
        <x:v>CL-OA-014</x:v>
      </x:c>
      <x:c r="D740" s="90" t="str">
        <x:v>Medication Reconciliation — Prescribed Regimen vs. Actual Patient Behavior</x:v>
      </x:c>
      <x:c r="E740" s="90" t="str">
        <x:v>Hold</x:v>
      </x:c>
      <x:c r="F740" s="90" t="str">
        <x:v>Yes</x:v>
      </x:c>
      <x:c r="G740" s="90" t="str">
        <x:v>Yes — bundled</x:v>
      </x:c>
      <x:c r="H740" s="90" t="str">
        <x:v>Assessment &amp; OASIS Governance</x:v>
      </x:c>
      <x:c r="I740" s="90" t="str">
        <x:v>85% OASIS governance assessment plus audit/coding exercise</x:v>
      </x:c>
      <x:c r="J740" s="90" t="str">
        <x:v>By day 14; before independent duty if earlier</x:v>
      </x:c>
      <x:c r="K740" s="90" t="str">
        <x:v>At hire; then on material revision</x:v>
      </x:c>
      <x:c r="L740" s="90" t="str">
        <x:v>Hold</x:v>
      </x:c>
      <x:c r="M740" s="90" t="str">
        <x:v>DON owns authorization, competency, correction, and quality controls; publish only after the source hierarchy and therapist eligibility are corrected.</x:v>
      </x:c>
      <x:c r="N740" s="90" t="str">
        <x:v>12-allPoliciesContent.generated.ts — CL-OA-014</x:v>
      </x:c>
      <x:c r="O740" s="90" t="str">
        <x:v>https://www.ecfr.gov/current/title-42/part-484/section-484.55</x:v>
      </x:c>
      <x:c r="P740" s="90" t="str"/>
    </x:row>
    <x:row r="741" ht="42" customHeight="1">
      <x:c r="A741" s="90" t="str">
        <x:v>DON-03</x:v>
      </x:c>
      <x:c r="B741" s="90" t="str">
        <x:v>DON</x:v>
      </x:c>
      <x:c r="C741" s="90" t="str">
        <x:v>CL-OA-015</x:v>
      </x:c>
      <x:c r="D741" s="90" t="str">
        <x:v>Assessment Completion Timeframe Compliance</x:v>
      </x:c>
      <x:c r="E741" s="90" t="str">
        <x:v>Hold</x:v>
      </x:c>
      <x:c r="F741" s="90" t="str">
        <x:v>Yes</x:v>
      </x:c>
      <x:c r="G741" s="90" t="str">
        <x:v>Yes — bundled</x:v>
      </x:c>
      <x:c r="H741" s="90" t="str">
        <x:v>Assessment &amp; OASIS Governance</x:v>
      </x:c>
      <x:c r="I741" s="90" t="str">
        <x:v>85% OASIS governance assessment plus audit/coding exercise</x:v>
      </x:c>
      <x:c r="J741" s="90" t="str">
        <x:v>By day 14; before independent duty if earlier</x:v>
      </x:c>
      <x:c r="K741" s="90" t="str">
        <x:v>At hire; then on material revision</x:v>
      </x:c>
      <x:c r="L741" s="90" t="str">
        <x:v>Hold</x:v>
      </x:c>
      <x:c r="M741" s="90" t="str">
        <x:v>DON owns authorization, competency, correction, and quality controls; publish only after the source hierarchy and therapist eligibility are corrected.</x:v>
      </x:c>
      <x:c r="N741" s="90" t="str">
        <x:v>12-allPoliciesContent.generated.ts — CL-OA-015</x:v>
      </x:c>
      <x:c r="O741" s="90" t="str">
        <x:v>https://www.ecfr.gov/current/title-42/part-484/section-484.55</x:v>
      </x:c>
      <x:c r="P741" s="90" t="str"/>
    </x:row>
    <x:row r="742" ht="42" customHeight="1">
      <x:c r="A742" s="90" t="str">
        <x:v>DON-03</x:v>
      </x:c>
      <x:c r="B742" s="90" t="str">
        <x:v>DON</x:v>
      </x:c>
      <x:c r="C742" s="90" t="str">
        <x:v>CL-OA-016</x:v>
      </x:c>
      <x:c r="D742" s="90" t="str">
        <x:v>Scoring Methodology Integrity for Multi-Item Assessments</x:v>
      </x:c>
      <x:c r="E742" s="90" t="str">
        <x:v>Hold</x:v>
      </x:c>
      <x:c r="F742" s="90" t="str">
        <x:v>Yes</x:v>
      </x:c>
      <x:c r="G742" s="90" t="str">
        <x:v>Yes — bundled</x:v>
      </x:c>
      <x:c r="H742" s="90" t="str">
        <x:v>Assessment &amp; OASIS Governance</x:v>
      </x:c>
      <x:c r="I742" s="90" t="str">
        <x:v>85% OASIS governance assessment plus audit/coding exercise</x:v>
      </x:c>
      <x:c r="J742" s="90" t="str">
        <x:v>By day 14; before independent duty if earlier</x:v>
      </x:c>
      <x:c r="K742" s="90" t="str">
        <x:v>At hire; then on material revision</x:v>
      </x:c>
      <x:c r="L742" s="90" t="str">
        <x:v>Hold</x:v>
      </x:c>
      <x:c r="M742" s="90" t="str">
        <x:v>DON owns authorization, competency, correction, and quality controls; publish only after the source hierarchy and therapist eligibility are corrected.</x:v>
      </x:c>
      <x:c r="N742" s="90" t="str">
        <x:v>12-allPoliciesContent.generated.ts — CL-OA-016</x:v>
      </x:c>
      <x:c r="O742" s="90" t="str">
        <x:v>https://www.ecfr.gov/current/title-42/part-484/section-484.55</x:v>
      </x:c>
      <x:c r="P742" s="90" t="str"/>
    </x:row>
    <x:row r="743" ht="42" customHeight="1">
      <x:c r="A743" s="90" t="str">
        <x:v>DON-03</x:v>
      </x:c>
      <x:c r="B743" s="90" t="str">
        <x:v>DON</x:v>
      </x:c>
      <x:c r="C743" s="90" t="str">
        <x:v>CL-OA-017</x:v>
      </x:c>
      <x:c r="D743" s="90" t="str">
        <x:v>Contemporaneous Documentation Requirement</x:v>
      </x:c>
      <x:c r="E743" s="90" t="str">
        <x:v>Hold</x:v>
      </x:c>
      <x:c r="F743" s="90" t="str">
        <x:v>Yes</x:v>
      </x:c>
      <x:c r="G743" s="90" t="str">
        <x:v>Yes — bundled</x:v>
      </x:c>
      <x:c r="H743" s="90" t="str">
        <x:v>Assessment &amp; OASIS Governance</x:v>
      </x:c>
      <x:c r="I743" s="90" t="str">
        <x:v>85% OASIS governance assessment plus audit/coding exercise</x:v>
      </x:c>
      <x:c r="J743" s="90" t="str">
        <x:v>By day 14; before independent duty if earlier</x:v>
      </x:c>
      <x:c r="K743" s="90" t="str">
        <x:v>At hire; then on material revision</x:v>
      </x:c>
      <x:c r="L743" s="90" t="str">
        <x:v>Hold</x:v>
      </x:c>
      <x:c r="M743" s="90" t="str">
        <x:v>DON owns authorization, competency, correction, and quality controls; publish only after the source hierarchy and therapist eligibility are corrected.</x:v>
      </x:c>
      <x:c r="N743" s="90" t="str">
        <x:v>12-allPoliciesContent.generated.ts — CL-OA-017</x:v>
      </x:c>
      <x:c r="O743" s="90" t="str">
        <x:v>https://www.ecfr.gov/current/title-42/part-484/section-484.55</x:v>
      </x:c>
      <x:c r="P743" s="90" t="str"/>
    </x:row>
    <x:row r="744" ht="42" customHeight="1">
      <x:c r="A744" s="90" t="str">
        <x:v>DON-03</x:v>
      </x:c>
      <x:c r="B744" s="90" t="str">
        <x:v>DON</x:v>
      </x:c>
      <x:c r="C744" s="90" t="str">
        <x:v>CL-OA-018</x:v>
      </x:c>
      <x:c r="D744" s="90" t="str">
        <x:v>Clinician Competency Validation for OASIS Assessment</x:v>
      </x:c>
      <x:c r="E744" s="90" t="str">
        <x:v>Hold</x:v>
      </x:c>
      <x:c r="F744" s="90" t="str">
        <x:v>Yes</x:v>
      </x:c>
      <x:c r="G744" s="90" t="str">
        <x:v>Yes — bundled</x:v>
      </x:c>
      <x:c r="H744" s="90" t="str">
        <x:v>Assessment &amp; OASIS Governance</x:v>
      </x:c>
      <x:c r="I744" s="90" t="str">
        <x:v>85% OASIS governance assessment plus audit/coding exercise</x:v>
      </x:c>
      <x:c r="J744" s="90" t="str">
        <x:v>By day 14; before independent duty if earlier</x:v>
      </x:c>
      <x:c r="K744" s="90" t="str">
        <x:v>At hire; then on material revision</x:v>
      </x:c>
      <x:c r="L744" s="90" t="str">
        <x:v>Hold</x:v>
      </x:c>
      <x:c r="M744" s="90" t="str">
        <x:v>DON owns authorization, competency, correction, and quality controls; publish only after the source hierarchy and therapist eligibility are corrected.</x:v>
      </x:c>
      <x:c r="N744" s="90" t="str">
        <x:v>12-allPoliciesContent.generated.ts — CL-OA-018</x:v>
      </x:c>
      <x:c r="O744" s="90" t="str">
        <x:v>https://www.ecfr.gov/current/title-42/part-484/section-484.55</x:v>
      </x:c>
      <x:c r="P744" s="90" t="str"/>
    </x:row>
    <x:row r="745" ht="42" customHeight="1">
      <x:c r="A745" s="90" t="str">
        <x:v>DON-03</x:v>
      </x:c>
      <x:c r="B745" s="90" t="str">
        <x:v>DON</x:v>
      </x:c>
      <x:c r="C745" s="90" t="str">
        <x:v>CL-OA-019</x:v>
      </x:c>
      <x:c r="D745" s="90" t="str">
        <x:v>Pre-Submission Quality Review for Comprehensive Assessments</x:v>
      </x:c>
      <x:c r="E745" s="90" t="str">
        <x:v>Hold</x:v>
      </x:c>
      <x:c r="F745" s="90" t="str">
        <x:v>Yes</x:v>
      </x:c>
      <x:c r="G745" s="90" t="str">
        <x:v>Yes — bundled</x:v>
      </x:c>
      <x:c r="H745" s="90" t="str">
        <x:v>Assessment &amp; OASIS Governance</x:v>
      </x:c>
      <x:c r="I745" s="90" t="str">
        <x:v>85% OASIS governance assessment plus audit/coding exercise</x:v>
      </x:c>
      <x:c r="J745" s="90" t="str">
        <x:v>By day 14; before independent duty if earlier</x:v>
      </x:c>
      <x:c r="K745" s="90" t="str">
        <x:v>At hire; then on material revision</x:v>
      </x:c>
      <x:c r="L745" s="90" t="str">
        <x:v>Hold</x:v>
      </x:c>
      <x:c r="M745" s="90" t="str">
        <x:v>DON owns authorization, competency, correction, and quality controls; publish only after the source hierarchy and therapist eligibility are corrected.</x:v>
      </x:c>
      <x:c r="N745" s="90" t="str">
        <x:v>12-allPoliciesContent.generated.ts — CL-OA-019</x:v>
      </x:c>
      <x:c r="O745" s="90" t="str">
        <x:v>https://www.ecfr.gov/current/title-42/part-484/section-484.55</x:v>
      </x:c>
      <x:c r="P745" s="90" t="str"/>
    </x:row>
    <x:row r="746" ht="42" customHeight="1">
      <x:c r="A746" s="90" t="str">
        <x:v>DON-03</x:v>
      </x:c>
      <x:c r="B746" s="90" t="str">
        <x:v>DON</x:v>
      </x:c>
      <x:c r="C746" s="90" t="str">
        <x:v>CL-OA-101</x:v>
      </x:c>
      <x:c r="D746" s="90" t="str">
        <x:v>OASIS Data Accuracy, Validation &amp; Submission Integrity</x:v>
      </x:c>
      <x:c r="E746" s="90" t="str">
        <x:v>Hold</x:v>
      </x:c>
      <x:c r="F746" s="90" t="str">
        <x:v>Yes</x:v>
      </x:c>
      <x:c r="G746" s="90" t="str">
        <x:v>Yes — bundled</x:v>
      </x:c>
      <x:c r="H746" s="90" t="str">
        <x:v>Assessment &amp; OASIS Governance</x:v>
      </x:c>
      <x:c r="I746" s="90" t="str">
        <x:v>85% OASIS governance assessment plus audit/coding exercise</x:v>
      </x:c>
      <x:c r="J746" s="90" t="str">
        <x:v>By day 14; before independent duty if earlier</x:v>
      </x:c>
      <x:c r="K746" s="90" t="str">
        <x:v>At hire; then on material revision</x:v>
      </x:c>
      <x:c r="L746" s="90" t="str">
        <x:v>Hold</x:v>
      </x:c>
      <x:c r="M746" s="90" t="str">
        <x:v>DON owns authorization, competency, correction, and quality controls; publish only after the source hierarchy and therapist eligibility are corrected.</x:v>
      </x:c>
      <x:c r="N746" s="90" t="str">
        <x:v>12-allPoliciesContent.generated.ts — CL-OA-101</x:v>
      </x:c>
      <x:c r="O746" s="90" t="str">
        <x:v>https://www.ecfr.gov/current/title-42/part-484/section-484.55</x:v>
      </x:c>
      <x:c r="P746" s="90" t="str"/>
    </x:row>
    <x:row r="747" ht="42" customHeight="1">
      <x:c r="A747" s="90" t="str">
        <x:v>DON-04</x:v>
      </x:c>
      <x:c r="B747" s="90" t="str">
        <x:v>DON</x:v>
      </x:c>
      <x:c r="C747" s="90" t="str">
        <x:v>CL-SD-001</x:v>
      </x:c>
      <x:c r="D747" s="90" t="str">
        <x:v>Skilled Nursing Assessment &amp; Services</x:v>
      </x:c>
      <x:c r="E747" s="90" t="str">
        <x:v>Core</x:v>
      </x:c>
      <x:c r="F747" s="90" t="str">
        <x:v>Yes</x:v>
      </x:c>
      <x:c r="G747" s="90" t="str">
        <x:v>Yes — bundled</x:v>
      </x:c>
      <x:c r="H747" s="90" t="str">
        <x:v>Discipline Services, HHA Supervision &amp; Competency</x:v>
      </x:c>
      <x:c r="I747" s="90" t="str">
        <x:v>80% supervision quiz plus evaluator competency</x:v>
      </x:c>
      <x:c r="J747" s="90" t="str">
        <x:v>By day 14; before independent duty if earlier</x:v>
      </x:c>
      <x:c r="K747" s="90" t="str">
        <x:v>At hire; then on material revision</x:v>
      </x:c>
      <x:c r="L747" s="90" t="str">
        <x:v>Ready</x:v>
      </x:c>
      <x:c r="M747" s="90" t="str">
        <x:v>DON oversees all clinical disciplines, assistant/aide supervision, and competency evidence.</x:v>
      </x:c>
      <x:c r="N747" s="90" t="str">
        <x:v>12-allPoliciesContent.generated.ts — CL-SD-001</x:v>
      </x:c>
      <x:c r="O747" s="90" t="str">
        <x:v>https://www.ecfr.gov/current/title-42/part-484/section-484.75</x:v>
      </x:c>
      <x:c r="P747" s="90" t="str"/>
    </x:row>
    <x:row r="748" ht="42" customHeight="1">
      <x:c r="A748" s="90" t="str">
        <x:v>DON-04</x:v>
      </x:c>
      <x:c r="B748" s="90" t="str">
        <x:v>DON</x:v>
      </x:c>
      <x:c r="C748" s="90" t="str">
        <x:v>CL-SD-002</x:v>
      </x:c>
      <x:c r="D748" s="90" t="str">
        <x:v>Physical Therapy Services</x:v>
      </x:c>
      <x:c r="E748" s="90" t="str">
        <x:v>Core</x:v>
      </x:c>
      <x:c r="F748" s="90" t="str">
        <x:v>Yes</x:v>
      </x:c>
      <x:c r="G748" s="90" t="str">
        <x:v>Yes — bundled</x:v>
      </x:c>
      <x:c r="H748" s="90" t="str">
        <x:v>Discipline Services, HHA Supervision &amp; Competency</x:v>
      </x:c>
      <x:c r="I748" s="90" t="str">
        <x:v>80% supervision quiz plus evaluator competency</x:v>
      </x:c>
      <x:c r="J748" s="90" t="str">
        <x:v>By day 14; before independent duty if earlier</x:v>
      </x:c>
      <x:c r="K748" s="90" t="str">
        <x:v>At hire; then on material revision</x:v>
      </x:c>
      <x:c r="L748" s="90" t="str">
        <x:v>Ready</x:v>
      </x:c>
      <x:c r="M748" s="90" t="str">
        <x:v>DON oversees all clinical disciplines, assistant/aide supervision, and competency evidence.</x:v>
      </x:c>
      <x:c r="N748" s="90" t="str">
        <x:v>12-allPoliciesContent.generated.ts — CL-SD-002</x:v>
      </x:c>
      <x:c r="O748" s="90" t="str">
        <x:v>https://www.ecfr.gov/current/title-42/part-484/section-484.75</x:v>
      </x:c>
      <x:c r="P748" s="90" t="str"/>
    </x:row>
    <x:row r="749" ht="42" customHeight="1">
      <x:c r="A749" s="90" t="str">
        <x:v>DON-04</x:v>
      </x:c>
      <x:c r="B749" s="90" t="str">
        <x:v>DON</x:v>
      </x:c>
      <x:c r="C749" s="90" t="str">
        <x:v>CL-SD-003</x:v>
      </x:c>
      <x:c r="D749" s="90" t="str">
        <x:v>Occupational Therapy Services</x:v>
      </x:c>
      <x:c r="E749" s="90" t="str">
        <x:v>Core</x:v>
      </x:c>
      <x:c r="F749" s="90" t="str">
        <x:v>Yes</x:v>
      </x:c>
      <x:c r="G749" s="90" t="str">
        <x:v>Yes — bundled</x:v>
      </x:c>
      <x:c r="H749" s="90" t="str">
        <x:v>Discipline Services, HHA Supervision &amp; Competency</x:v>
      </x:c>
      <x:c r="I749" s="90" t="str">
        <x:v>80% supervision quiz plus evaluator competency</x:v>
      </x:c>
      <x:c r="J749" s="90" t="str">
        <x:v>By day 14; before independent duty if earlier</x:v>
      </x:c>
      <x:c r="K749" s="90" t="str">
        <x:v>At hire; then on material revision</x:v>
      </x:c>
      <x:c r="L749" s="90" t="str">
        <x:v>Ready</x:v>
      </x:c>
      <x:c r="M749" s="90" t="str">
        <x:v>DON oversees all clinical disciplines, assistant/aide supervision, and competency evidence.</x:v>
      </x:c>
      <x:c r="N749" s="90" t="str">
        <x:v>12-allPoliciesContent.generated.ts — CL-SD-003</x:v>
      </x:c>
      <x:c r="O749" s="90" t="str">
        <x:v>https://www.ecfr.gov/current/title-42/part-484/section-484.75</x:v>
      </x:c>
      <x:c r="P749" s="90" t="str"/>
    </x:row>
    <x:row r="750" ht="42" customHeight="1">
      <x:c r="A750" s="90" t="str">
        <x:v>DON-04</x:v>
      </x:c>
      <x:c r="B750" s="90" t="str">
        <x:v>DON</x:v>
      </x:c>
      <x:c r="C750" s="90" t="str">
        <x:v>CL-SD-004</x:v>
      </x:c>
      <x:c r="D750" s="90" t="str">
        <x:v>Speech-Language Pathology Services</x:v>
      </x:c>
      <x:c r="E750" s="90" t="str">
        <x:v>Core</x:v>
      </x:c>
      <x:c r="F750" s="90" t="str">
        <x:v>Yes</x:v>
      </x:c>
      <x:c r="G750" s="90" t="str">
        <x:v>Yes — bundled</x:v>
      </x:c>
      <x:c r="H750" s="90" t="str">
        <x:v>Discipline Services, HHA Supervision &amp; Competency</x:v>
      </x:c>
      <x:c r="I750" s="90" t="str">
        <x:v>80% supervision quiz plus evaluator competency</x:v>
      </x:c>
      <x:c r="J750" s="90" t="str">
        <x:v>By day 14; before independent duty if earlier</x:v>
      </x:c>
      <x:c r="K750" s="90" t="str">
        <x:v>At hire; then on material revision</x:v>
      </x:c>
      <x:c r="L750" s="90" t="str">
        <x:v>Ready</x:v>
      </x:c>
      <x:c r="M750" s="90" t="str">
        <x:v>DON oversees all clinical disciplines, assistant/aide supervision, and competency evidence.</x:v>
      </x:c>
      <x:c r="N750" s="90" t="str">
        <x:v>12-allPoliciesContent.generated.ts — CL-SD-004</x:v>
      </x:c>
      <x:c r="O750" s="90" t="str">
        <x:v>https://www.ecfr.gov/current/title-42/part-484/section-484.75</x:v>
      </x:c>
      <x:c r="P750" s="90" t="str"/>
    </x:row>
    <x:row r="751" ht="42" customHeight="1">
      <x:c r="A751" s="90" t="str">
        <x:v>DON-04</x:v>
      </x:c>
      <x:c r="B751" s="90" t="str">
        <x:v>DON</x:v>
      </x:c>
      <x:c r="C751" s="90" t="str">
        <x:v>CL-SD-005</x:v>
      </x:c>
      <x:c r="D751" s="90" t="str">
        <x:v>Medical Social Work Services</x:v>
      </x:c>
      <x:c r="E751" s="90" t="str">
        <x:v>Core</x:v>
      </x:c>
      <x:c r="F751" s="90" t="str">
        <x:v>Yes</x:v>
      </x:c>
      <x:c r="G751" s="90" t="str">
        <x:v>Yes — bundled</x:v>
      </x:c>
      <x:c r="H751" s="90" t="str">
        <x:v>Discipline Services, HHA Supervision &amp; Competency</x:v>
      </x:c>
      <x:c r="I751" s="90" t="str">
        <x:v>80% supervision quiz plus evaluator competency</x:v>
      </x:c>
      <x:c r="J751" s="90" t="str">
        <x:v>By day 14; before independent duty if earlier</x:v>
      </x:c>
      <x:c r="K751" s="90" t="str">
        <x:v>At hire; then on material revision</x:v>
      </x:c>
      <x:c r="L751" s="90" t="str">
        <x:v>Ready</x:v>
      </x:c>
      <x:c r="M751" s="90" t="str">
        <x:v>DON oversees all clinical disciplines, assistant/aide supervision, and competency evidence.</x:v>
      </x:c>
      <x:c r="N751" s="90" t="str">
        <x:v>12-allPoliciesContent.generated.ts — CL-SD-005</x:v>
      </x:c>
      <x:c r="O751" s="90" t="str">
        <x:v>https://www.ecfr.gov/current/title-42/part-484/section-484.75</x:v>
      </x:c>
      <x:c r="P751" s="90" t="str"/>
    </x:row>
    <x:row r="752" ht="42" customHeight="1">
      <x:c r="A752" s="90" t="str">
        <x:v>DON-04</x:v>
      </x:c>
      <x:c r="B752" s="90" t="str">
        <x:v>DON</x:v>
      </x:c>
      <x:c r="C752" s="90" t="str">
        <x:v>CL-SD-006</x:v>
      </x:c>
      <x:c r="D752" s="90" t="str">
        <x:v>Home Health Aide Services &amp; Supervision</x:v>
      </x:c>
      <x:c r="E752" s="90" t="str">
        <x:v>Core</x:v>
      </x:c>
      <x:c r="F752" s="90" t="str">
        <x:v>Yes</x:v>
      </x:c>
      <x:c r="G752" s="90" t="str">
        <x:v>Yes — bundled</x:v>
      </x:c>
      <x:c r="H752" s="90" t="str">
        <x:v>Discipline Services, HHA Supervision &amp; Competency</x:v>
      </x:c>
      <x:c r="I752" s="90" t="str">
        <x:v>80% supervision quiz plus evaluator competency</x:v>
      </x:c>
      <x:c r="J752" s="90" t="str">
        <x:v>By day 14; before independent duty if earlier</x:v>
      </x:c>
      <x:c r="K752" s="90" t="str">
        <x:v>At hire; then on material revision</x:v>
      </x:c>
      <x:c r="L752" s="90" t="str">
        <x:v>Ready</x:v>
      </x:c>
      <x:c r="M752" s="90" t="str">
        <x:v>DON oversees all clinical disciplines, assistant/aide supervision, and competency evidence.</x:v>
      </x:c>
      <x:c r="N752" s="90" t="str">
        <x:v>12-allPoliciesContent.generated.ts — CL-SD-006</x:v>
      </x:c>
      <x:c r="O752" s="90" t="str">
        <x:v>https://www.ecfr.gov/current/title-42/part-484/section-484.80</x:v>
      </x:c>
      <x:c r="P752" s="90" t="str"/>
    </x:row>
    <x:row r="753" ht="42" customHeight="1">
      <x:c r="A753" s="90" t="str">
        <x:v>DON-04</x:v>
      </x:c>
      <x:c r="B753" s="90" t="str">
        <x:v>DON</x:v>
      </x:c>
      <x:c r="C753" s="90" t="str">
        <x:v>CL-SD-007</x:v>
      </x:c>
      <x:c r="D753" s="90" t="str">
        <x:v>Home Health Aide Competency Evaluation</x:v>
      </x:c>
      <x:c r="E753" s="90" t="str">
        <x:v>Core</x:v>
      </x:c>
      <x:c r="F753" s="90" t="str">
        <x:v>Yes</x:v>
      </x:c>
      <x:c r="G753" s="90" t="str">
        <x:v>Yes — bundled</x:v>
      </x:c>
      <x:c r="H753" s="90" t="str">
        <x:v>Discipline Services, HHA Supervision &amp; Competency</x:v>
      </x:c>
      <x:c r="I753" s="90" t="str">
        <x:v>80% supervision quiz plus evaluator competency</x:v>
      </x:c>
      <x:c r="J753" s="90" t="str">
        <x:v>By day 14; before independent duty if earlier</x:v>
      </x:c>
      <x:c r="K753" s="90" t="str">
        <x:v>At hire; then on material revision</x:v>
      </x:c>
      <x:c r="L753" s="90" t="str">
        <x:v>Ready</x:v>
      </x:c>
      <x:c r="M753" s="90" t="str">
        <x:v>DON oversees all clinical disciplines, assistant/aide supervision, and competency evidence.</x:v>
      </x:c>
      <x:c r="N753" s="90" t="str">
        <x:v>12-allPoliciesContent.generated.ts — CL-SD-007</x:v>
      </x:c>
      <x:c r="O753" s="90" t="str">
        <x:v>https://www.ecfr.gov/current/title-42/part-484/section-484.80</x:v>
      </x:c>
      <x:c r="P753" s="90" t="str"/>
    </x:row>
    <x:row r="754" ht="42" customHeight="1">
      <x:c r="A754" s="90" t="str">
        <x:v>DON-04</x:v>
      </x:c>
      <x:c r="B754" s="90" t="str">
        <x:v>DON</x:v>
      </x:c>
      <x:c r="C754" s="90" t="str">
        <x:v>CL-SD-008</x:v>
      </x:c>
      <x:c r="D754" s="90" t="str">
        <x:v>Clinical Supervision &amp; Oversight</x:v>
      </x:c>
      <x:c r="E754" s="90" t="str">
        <x:v>Core</x:v>
      </x:c>
      <x:c r="F754" s="90" t="str">
        <x:v>Yes</x:v>
      </x:c>
      <x:c r="G754" s="90" t="str">
        <x:v>Yes — bundled</x:v>
      </x:c>
      <x:c r="H754" s="90" t="str">
        <x:v>Discipline Services, HHA Supervision &amp; Competency</x:v>
      </x:c>
      <x:c r="I754" s="90" t="str">
        <x:v>80% supervision quiz plus evaluator competency</x:v>
      </x:c>
      <x:c r="J754" s="90" t="str">
        <x:v>By day 14; before independent duty if earlier</x:v>
      </x:c>
      <x:c r="K754" s="90" t="str">
        <x:v>At hire; then on material revision</x:v>
      </x:c>
      <x:c r="L754" s="90" t="str">
        <x:v>Ready</x:v>
      </x:c>
      <x:c r="M754" s="90" t="str">
        <x:v>DON oversees all clinical disciplines, assistant/aide supervision, and competency evidence.</x:v>
      </x:c>
      <x:c r="N754" s="90" t="str">
        <x:v>12-allPoliciesContent.generated.ts — CL-SD-008</x:v>
      </x:c>
      <x:c r="O754" s="90" t="str">
        <x:v>https://www.ecfr.gov/current/title-42/part-484/section-484.75</x:v>
      </x:c>
      <x:c r="P754" s="90" t="str"/>
    </x:row>
    <x:row r="755" ht="42" customHeight="1">
      <x:c r="A755" s="90" t="str">
        <x:v>DON-04</x:v>
      </x:c>
      <x:c r="B755" s="90" t="str">
        <x:v>DON</x:v>
      </x:c>
      <x:c r="C755" s="90" t="str">
        <x:v>HR-TD-003</x:v>
      </x:c>
      <x:c r="D755" s="90" t="str">
        <x:v>Clinical Staff Competency Evaluation</x:v>
      </x:c>
      <x:c r="E755" s="90" t="str">
        <x:v>Core</x:v>
      </x:c>
      <x:c r="F755" s="90" t="str">
        <x:v>Yes</x:v>
      </x:c>
      <x:c r="G755" s="90" t="str">
        <x:v>Yes — bundled</x:v>
      </x:c>
      <x:c r="H755" s="90" t="str">
        <x:v>Discipline Services, HHA Supervision &amp; Competency</x:v>
      </x:c>
      <x:c r="I755" s="90" t="str">
        <x:v>80% supervision quiz plus evaluator competency</x:v>
      </x:c>
      <x:c r="J755" s="90" t="str">
        <x:v>By day 14; before independent duty if earlier</x:v>
      </x:c>
      <x:c r="K755" s="90" t="str">
        <x:v>At hire; then on material revision</x:v>
      </x:c>
      <x:c r="L755" s="90" t="str">
        <x:v>Ready</x:v>
      </x:c>
      <x:c r="M755" s="90" t="str">
        <x:v>DON oversees all clinical disciplines, assistant/aide supervision, and competency evidence.</x:v>
      </x:c>
      <x:c r="N755" s="90" t="str">
        <x:v>12-allPoliciesContent.generated.ts — HR-TD-003</x:v>
      </x:c>
      <x:c r="O755" s="90" t="str"/>
      <x:c r="P755" s="90" t="str"/>
    </x:row>
    <x:row r="756" ht="42" customHeight="1">
      <x:c r="A756" s="90" t="str">
        <x:v>DON-05</x:v>
      </x:c>
      <x:c r="B756" s="90" t="str">
        <x:v>DON</x:v>
      </x:c>
      <x:c r="C756" s="90" t="str">
        <x:v>CL-SD-009</x:v>
      </x:c>
      <x:c r="D756" s="90" t="str">
        <x:v>Telehealth &amp; Remote Monitoring Services</x:v>
      </x:c>
      <x:c r="E756" s="90" t="str">
        <x:v>Conditional</x:v>
      </x:c>
      <x:c r="F756" s="90" t="str">
        <x:v>Yes</x:v>
      </x:c>
      <x:c r="G756" s="90" t="str">
        <x:v>Yes — bundled</x:v>
      </x:c>
      <x:c r="H756" s="90" t="str">
        <x:v>Medication, Specialty &amp; High-Risk Clinical Governance</x:v>
      </x:c>
      <x:c r="I756" s="90" t="str">
        <x:v>80% governance quiz plus specialty competency review</x:v>
      </x:c>
      <x:c r="J756" s="90" t="str">
        <x:v>By day 14; before independent duty if earlier</x:v>
      </x:c>
      <x:c r="K756" s="90" t="str">
        <x:v>At hire; then on material revision</x:v>
      </x:c>
      <x:c r="L756" s="90" t="str">
        <x:v>Ready</x:v>
      </x:c>
      <x:c r="M756" s="90" t="str">
        <x:v>DON governs high-risk care and activates specialty modules only when the agency provides the service.</x:v>
      </x:c>
      <x:c r="N756" s="90" t="str">
        <x:v>12-allPoliciesContent.generated.ts — CL-SD-009</x:v>
      </x:c>
      <x:c r="O756" s="90" t="str">
        <x:v>https://www.ecfr.gov/current/title-42/part-484/section-484.75</x:v>
      </x:c>
      <x:c r="P756" s="90" t="str"/>
    </x:row>
    <x:row r="757" ht="42" customHeight="1">
      <x:c r="A757" s="90" t="str">
        <x:v>DON-05</x:v>
      </x:c>
      <x:c r="B757" s="90" t="str">
        <x:v>DON</x:v>
      </x:c>
      <x:c r="C757" s="90" t="str">
        <x:v>CL-SD-010</x:v>
      </x:c>
      <x:c r="D757" s="90" t="str">
        <x:v>IV Therapy &amp; Infusion Services</x:v>
      </x:c>
      <x:c r="E757" s="90" t="str">
        <x:v>Conditional</x:v>
      </x:c>
      <x:c r="F757" s="90" t="str">
        <x:v>Yes</x:v>
      </x:c>
      <x:c r="G757" s="90" t="str">
        <x:v>Yes — bundled</x:v>
      </x:c>
      <x:c r="H757" s="90" t="str">
        <x:v>Medication, Specialty &amp; High-Risk Clinical Governance</x:v>
      </x:c>
      <x:c r="I757" s="90" t="str">
        <x:v>80% governance quiz plus specialty competency review</x:v>
      </x:c>
      <x:c r="J757" s="90" t="str">
        <x:v>By day 14; before independent duty if earlier</x:v>
      </x:c>
      <x:c r="K757" s="90" t="str">
        <x:v>At hire; then on material revision</x:v>
      </x:c>
      <x:c r="L757" s="90" t="str">
        <x:v>Ready</x:v>
      </x:c>
      <x:c r="M757" s="90" t="str">
        <x:v>DON governs high-risk care and activates specialty modules only when the agency provides the service.</x:v>
      </x:c>
      <x:c r="N757" s="90" t="str">
        <x:v>12-allPoliciesContent.generated.ts — CL-SD-010</x:v>
      </x:c>
      <x:c r="O757" s="90" t="str">
        <x:v>https://www.ecfr.gov/current/title-42/part-484/section-484.75</x:v>
      </x:c>
      <x:c r="P757" s="90" t="str"/>
    </x:row>
    <x:row r="758" ht="42" customHeight="1">
      <x:c r="A758" s="90" t="str">
        <x:v>DON-05</x:v>
      </x:c>
      <x:c r="B758" s="90" t="str">
        <x:v>DON</x:v>
      </x:c>
      <x:c r="C758" s="90" t="str">
        <x:v>CL-SD-011</x:v>
      </x:c>
      <x:c r="D758" s="90" t="str">
        <x:v>Wound Care Assessment &amp; Management</x:v>
      </x:c>
      <x:c r="E758" s="90" t="str">
        <x:v>Conditional</x:v>
      </x:c>
      <x:c r="F758" s="90" t="str">
        <x:v>Yes</x:v>
      </x:c>
      <x:c r="G758" s="90" t="str">
        <x:v>Yes — bundled</x:v>
      </x:c>
      <x:c r="H758" s="90" t="str">
        <x:v>Medication, Specialty &amp; High-Risk Clinical Governance</x:v>
      </x:c>
      <x:c r="I758" s="90" t="str">
        <x:v>80% governance quiz plus specialty competency review</x:v>
      </x:c>
      <x:c r="J758" s="90" t="str">
        <x:v>By day 14; before independent duty if earlier</x:v>
      </x:c>
      <x:c r="K758" s="90" t="str">
        <x:v>At hire; then on material revision</x:v>
      </x:c>
      <x:c r="L758" s="90" t="str">
        <x:v>Ready</x:v>
      </x:c>
      <x:c r="M758" s="90" t="str">
        <x:v>DON governs high-risk care and activates specialty modules only when the agency provides the service.</x:v>
      </x:c>
      <x:c r="N758" s="90" t="str">
        <x:v>12-allPoliciesContent.generated.ts — CL-SD-011</x:v>
      </x:c>
      <x:c r="O758" s="90" t="str">
        <x:v>https://www.ecfr.gov/current/title-42/part-484/section-484.75</x:v>
      </x:c>
      <x:c r="P758" s="90" t="str"/>
    </x:row>
    <x:row r="759" ht="42" customHeight="1">
      <x:c r="A759" s="90" t="str">
        <x:v>DON-05</x:v>
      </x:c>
      <x:c r="B759" s="90" t="str">
        <x:v>DON</x:v>
      </x:c>
      <x:c r="C759" s="90" t="str">
        <x:v>CL-SD-012</x:v>
      </x:c>
      <x:c r="D759" s="90" t="str">
        <x:v>Medication Management &amp; Administration</x:v>
      </x:c>
      <x:c r="E759" s="90" t="str">
        <x:v>Core</x:v>
      </x:c>
      <x:c r="F759" s="90" t="str">
        <x:v>Yes</x:v>
      </x:c>
      <x:c r="G759" s="90" t="str">
        <x:v>Yes — bundled</x:v>
      </x:c>
      <x:c r="H759" s="90" t="str">
        <x:v>Medication, Specialty &amp; High-Risk Clinical Governance</x:v>
      </x:c>
      <x:c r="I759" s="90" t="str">
        <x:v>80% governance quiz plus specialty competency review</x:v>
      </x:c>
      <x:c r="J759" s="90" t="str">
        <x:v>By day 14; before independent duty if earlier</x:v>
      </x:c>
      <x:c r="K759" s="90" t="str">
        <x:v>At hire; then on material revision</x:v>
      </x:c>
      <x:c r="L759" s="90" t="str">
        <x:v>Ready</x:v>
      </x:c>
      <x:c r="M759" s="90" t="str">
        <x:v>DON governs high-risk care and activates specialty modules only when the agency provides the service.</x:v>
      </x:c>
      <x:c r="N759" s="90" t="str">
        <x:v>12-allPoliciesContent.generated.ts — CL-SD-012</x:v>
      </x:c>
      <x:c r="O759" s="90" t="str">
        <x:v>https://www.ecfr.gov/current/title-42/part-484/section-484.75</x:v>
      </x:c>
      <x:c r="P759" s="90" t="str"/>
    </x:row>
    <x:row r="760" ht="42" customHeight="1">
      <x:c r="A760" s="90" t="str">
        <x:v>DON-05</x:v>
      </x:c>
      <x:c r="B760" s="90" t="str">
        <x:v>DON</x:v>
      </x:c>
      <x:c r="C760" s="90" t="str">
        <x:v>CL-SD-013</x:v>
      </x:c>
      <x:c r="D760" s="90" t="str">
        <x:v>Medication Reconciliation at Transitions</x:v>
      </x:c>
      <x:c r="E760" s="90" t="str">
        <x:v>Core</x:v>
      </x:c>
      <x:c r="F760" s="90" t="str">
        <x:v>Yes</x:v>
      </x:c>
      <x:c r="G760" s="90" t="str">
        <x:v>Yes — bundled</x:v>
      </x:c>
      <x:c r="H760" s="90" t="str">
        <x:v>Medication, Specialty &amp; High-Risk Clinical Governance</x:v>
      </x:c>
      <x:c r="I760" s="90" t="str">
        <x:v>80% governance quiz plus specialty competency review</x:v>
      </x:c>
      <x:c r="J760" s="90" t="str">
        <x:v>By day 14; before independent duty if earlier</x:v>
      </x:c>
      <x:c r="K760" s="90" t="str">
        <x:v>At hire; then on material revision</x:v>
      </x:c>
      <x:c r="L760" s="90" t="str">
        <x:v>Ready</x:v>
      </x:c>
      <x:c r="M760" s="90" t="str">
        <x:v>DON governs high-risk care and activates specialty modules only when the agency provides the service.</x:v>
      </x:c>
      <x:c r="N760" s="90" t="str">
        <x:v>12-allPoliciesContent.generated.ts — CL-SD-013</x:v>
      </x:c>
      <x:c r="O760" s="90" t="str">
        <x:v>https://www.ecfr.gov/current/title-42/part-484/section-484.75</x:v>
      </x:c>
      <x:c r="P760" s="90" t="str"/>
    </x:row>
    <x:row r="761" ht="42" customHeight="1">
      <x:c r="A761" s="90" t="str">
        <x:v>DON-05</x:v>
      </x:c>
      <x:c r="B761" s="90" t="str">
        <x:v>DON</x:v>
      </x:c>
      <x:c r="C761" s="90" t="str">
        <x:v>CL-SD-014</x:v>
      </x:c>
      <x:c r="D761" s="90" t="str">
        <x:v>Pain Assessment &amp; Management</x:v>
      </x:c>
      <x:c r="E761" s="90" t="str">
        <x:v>Core</x:v>
      </x:c>
      <x:c r="F761" s="90" t="str">
        <x:v>Yes</x:v>
      </x:c>
      <x:c r="G761" s="90" t="str">
        <x:v>Yes — bundled</x:v>
      </x:c>
      <x:c r="H761" s="90" t="str">
        <x:v>Medication, Specialty &amp; High-Risk Clinical Governance</x:v>
      </x:c>
      <x:c r="I761" s="90" t="str">
        <x:v>80% governance quiz plus specialty competency review</x:v>
      </x:c>
      <x:c r="J761" s="90" t="str">
        <x:v>By day 14; before independent duty if earlier</x:v>
      </x:c>
      <x:c r="K761" s="90" t="str">
        <x:v>At hire; then on material revision</x:v>
      </x:c>
      <x:c r="L761" s="90" t="str">
        <x:v>Ready</x:v>
      </x:c>
      <x:c r="M761" s="90" t="str">
        <x:v>DON governs high-risk care and activates specialty modules only when the agency provides the service.</x:v>
      </x:c>
      <x:c r="N761" s="90" t="str">
        <x:v>12-allPoliciesContent.generated.ts — CL-SD-014</x:v>
      </x:c>
      <x:c r="O761" s="90" t="str">
        <x:v>https://www.ecfr.gov/current/title-42/part-484/section-484.75</x:v>
      </x:c>
      <x:c r="P761" s="90" t="str"/>
    </x:row>
    <x:row r="762" ht="42" customHeight="1">
      <x:c r="A762" s="90" t="str">
        <x:v>DON-05</x:v>
      </x:c>
      <x:c r="B762" s="90" t="str">
        <x:v>DON</x:v>
      </x:c>
      <x:c r="C762" s="90" t="str">
        <x:v>CL-SD-015</x:v>
      </x:c>
      <x:c r="D762" s="90" t="str">
        <x:v>Fall Risk Assessment &amp; Prevention</x:v>
      </x:c>
      <x:c r="E762" s="90" t="str">
        <x:v>Core</x:v>
      </x:c>
      <x:c r="F762" s="90" t="str">
        <x:v>Yes</x:v>
      </x:c>
      <x:c r="G762" s="90" t="str">
        <x:v>Yes — bundled</x:v>
      </x:c>
      <x:c r="H762" s="90" t="str">
        <x:v>Medication, Specialty &amp; High-Risk Clinical Governance</x:v>
      </x:c>
      <x:c r="I762" s="90" t="str">
        <x:v>80% governance quiz plus specialty competency review</x:v>
      </x:c>
      <x:c r="J762" s="90" t="str">
        <x:v>By day 14; before independent duty if earlier</x:v>
      </x:c>
      <x:c r="K762" s="90" t="str">
        <x:v>At hire; then on material revision</x:v>
      </x:c>
      <x:c r="L762" s="90" t="str">
        <x:v>Ready</x:v>
      </x:c>
      <x:c r="M762" s="90" t="str">
        <x:v>DON governs high-risk care and activates specialty modules only when the agency provides the service.</x:v>
      </x:c>
      <x:c r="N762" s="90" t="str">
        <x:v>12-allPoliciesContent.generated.ts — CL-SD-015</x:v>
      </x:c>
      <x:c r="O762" s="90" t="str">
        <x:v>https://www.ecfr.gov/current/title-42/part-484/section-484.75</x:v>
      </x:c>
      <x:c r="P762" s="90" t="str"/>
    </x:row>
    <x:row r="763" ht="42" customHeight="1">
      <x:c r="A763" s="90" t="str">
        <x:v>DON-05</x:v>
      </x:c>
      <x:c r="B763" s="90" t="str">
        <x:v>DON</x:v>
      </x:c>
      <x:c r="C763" s="90" t="str">
        <x:v>CL-SD-016</x:v>
      </x:c>
      <x:c r="D763" s="90" t="str">
        <x:v>Infection Prevention &amp; Control</x:v>
      </x:c>
      <x:c r="E763" s="90" t="str">
        <x:v>Core</x:v>
      </x:c>
      <x:c r="F763" s="90" t="str">
        <x:v>Yes</x:v>
      </x:c>
      <x:c r="G763" s="90" t="str">
        <x:v>Yes — bundled</x:v>
      </x:c>
      <x:c r="H763" s="90" t="str">
        <x:v>Medication, Specialty &amp; High-Risk Clinical Governance</x:v>
      </x:c>
      <x:c r="I763" s="90" t="str">
        <x:v>80% governance quiz plus specialty competency review</x:v>
      </x:c>
      <x:c r="J763" s="90" t="str">
        <x:v>By day 14; before independent duty if earlier</x:v>
      </x:c>
      <x:c r="K763" s="90" t="str">
        <x:v>At hire; then on material revision</x:v>
      </x:c>
      <x:c r="L763" s="90" t="str">
        <x:v>Ready</x:v>
      </x:c>
      <x:c r="M763" s="90" t="str">
        <x:v>DON governs high-risk care and activates specialty modules only when the agency provides the service.</x:v>
      </x:c>
      <x:c r="N763" s="90" t="str">
        <x:v>12-allPoliciesContent.generated.ts — CL-SD-016</x:v>
      </x:c>
      <x:c r="O763" s="90" t="str">
        <x:v>https://www.ecfr.gov/current/title-42/part-484/section-484.75</x:v>
      </x:c>
      <x:c r="P763" s="90" t="str"/>
    </x:row>
    <x:row r="764" ht="42" customHeight="1">
      <x:c r="A764" s="90" t="str">
        <x:v>DON-05</x:v>
      </x:c>
      <x:c r="B764" s="90" t="str">
        <x:v>DON</x:v>
      </x:c>
      <x:c r="C764" s="90" t="str">
        <x:v>CL-SD-017</x:v>
      </x:c>
      <x:c r="D764" s="90" t="str">
        <x:v>Patient Education &amp; Self-Management</x:v>
      </x:c>
      <x:c r="E764" s="90" t="str">
        <x:v>Core</x:v>
      </x:c>
      <x:c r="F764" s="90" t="str">
        <x:v>Yes</x:v>
      </x:c>
      <x:c r="G764" s="90" t="str">
        <x:v>Yes — bundled</x:v>
      </x:c>
      <x:c r="H764" s="90" t="str">
        <x:v>Medication, Specialty &amp; High-Risk Clinical Governance</x:v>
      </x:c>
      <x:c r="I764" s="90" t="str">
        <x:v>80% governance quiz plus specialty competency review</x:v>
      </x:c>
      <x:c r="J764" s="90" t="str">
        <x:v>By day 14; before independent duty if earlier</x:v>
      </x:c>
      <x:c r="K764" s="90" t="str">
        <x:v>At hire; then on material revision</x:v>
      </x:c>
      <x:c r="L764" s="90" t="str">
        <x:v>Ready</x:v>
      </x:c>
      <x:c r="M764" s="90" t="str">
        <x:v>DON governs high-risk care and activates specialty modules only when the agency provides the service.</x:v>
      </x:c>
      <x:c r="N764" s="90" t="str">
        <x:v>12-allPoliciesContent.generated.ts — CL-SD-017</x:v>
      </x:c>
      <x:c r="O764" s="90" t="str">
        <x:v>https://www.ecfr.gov/current/title-42/part-484/section-484.75</x:v>
      </x:c>
      <x:c r="P764" s="90" t="str"/>
    </x:row>
    <x:row r="765" ht="42" customHeight="1">
      <x:c r="A765" s="90" t="str">
        <x:v>DON-05</x:v>
      </x:c>
      <x:c r="B765" s="90" t="str">
        <x:v>DON</x:v>
      </x:c>
      <x:c r="C765" s="90" t="str">
        <x:v>CL-SD-018</x:v>
      </x:c>
      <x:c r="D765" s="90" t="str">
        <x:v>Diabetic Management &amp; Monitoring</x:v>
      </x:c>
      <x:c r="E765" s="90" t="str">
        <x:v>Conditional</x:v>
      </x:c>
      <x:c r="F765" s="90" t="str">
        <x:v>Yes</x:v>
      </x:c>
      <x:c r="G765" s="90" t="str">
        <x:v>Yes — bundled</x:v>
      </x:c>
      <x:c r="H765" s="90" t="str">
        <x:v>Medication, Specialty &amp; High-Risk Clinical Governance</x:v>
      </x:c>
      <x:c r="I765" s="90" t="str">
        <x:v>80% governance quiz plus specialty competency review</x:v>
      </x:c>
      <x:c r="J765" s="90" t="str">
        <x:v>By day 14; before independent duty if earlier</x:v>
      </x:c>
      <x:c r="K765" s="90" t="str">
        <x:v>At hire; then on material revision</x:v>
      </x:c>
      <x:c r="L765" s="90" t="str">
        <x:v>Ready</x:v>
      </x:c>
      <x:c r="M765" s="90" t="str">
        <x:v>DON governs high-risk care and activates specialty modules only when the agency provides the service.</x:v>
      </x:c>
      <x:c r="N765" s="90" t="str">
        <x:v>12-allPoliciesContent.generated.ts — CL-SD-018</x:v>
      </x:c>
      <x:c r="O765" s="90" t="str">
        <x:v>https://www.ecfr.gov/current/title-42/part-484/section-484.75</x:v>
      </x:c>
      <x:c r="P765" s="90" t="str"/>
    </x:row>
    <x:row r="766" ht="42" customHeight="1">
      <x:c r="A766" s="90" t="str">
        <x:v>DON-05</x:v>
      </x:c>
      <x:c r="B766" s="90" t="str">
        <x:v>DON</x:v>
      </x:c>
      <x:c r="C766" s="90" t="str">
        <x:v>CL-SD-019</x:v>
      </x:c>
      <x:c r="D766" s="90" t="str">
        <x:v>Cardiac Care &amp; Monitoring</x:v>
      </x:c>
      <x:c r="E766" s="90" t="str">
        <x:v>Conditional</x:v>
      </x:c>
      <x:c r="F766" s="90" t="str">
        <x:v>Yes</x:v>
      </x:c>
      <x:c r="G766" s="90" t="str">
        <x:v>Yes — bundled</x:v>
      </x:c>
      <x:c r="H766" s="90" t="str">
        <x:v>Medication, Specialty &amp; High-Risk Clinical Governance</x:v>
      </x:c>
      <x:c r="I766" s="90" t="str">
        <x:v>80% governance quiz plus specialty competency review</x:v>
      </x:c>
      <x:c r="J766" s="90" t="str">
        <x:v>By day 14; before independent duty if earlier</x:v>
      </x:c>
      <x:c r="K766" s="90" t="str">
        <x:v>At hire; then on material revision</x:v>
      </x:c>
      <x:c r="L766" s="90" t="str">
        <x:v>Ready</x:v>
      </x:c>
      <x:c r="M766" s="90" t="str">
        <x:v>DON governs high-risk care and activates specialty modules only when the agency provides the service.</x:v>
      </x:c>
      <x:c r="N766" s="90" t="str">
        <x:v>12-allPoliciesContent.generated.ts — CL-SD-019</x:v>
      </x:c>
      <x:c r="O766" s="90" t="str">
        <x:v>https://www.ecfr.gov/current/title-42/part-484/section-484.75</x:v>
      </x:c>
      <x:c r="P766" s="90" t="str"/>
    </x:row>
    <x:row r="767" ht="42" customHeight="1">
      <x:c r="A767" s="90" t="str">
        <x:v>DON-05</x:v>
      </x:c>
      <x:c r="B767" s="90" t="str">
        <x:v>DON</x:v>
      </x:c>
      <x:c r="C767" s="90" t="str">
        <x:v>CL-SD-020</x:v>
      </x:c>
      <x:c r="D767" s="90" t="str">
        <x:v>Respiratory Care &amp; Management</x:v>
      </x:c>
      <x:c r="E767" s="90" t="str">
        <x:v>Conditional</x:v>
      </x:c>
      <x:c r="F767" s="90" t="str">
        <x:v>Yes</x:v>
      </x:c>
      <x:c r="G767" s="90" t="str">
        <x:v>Yes — bundled</x:v>
      </x:c>
      <x:c r="H767" s="90" t="str">
        <x:v>Medication, Specialty &amp; High-Risk Clinical Governance</x:v>
      </x:c>
      <x:c r="I767" s="90" t="str">
        <x:v>80% governance quiz plus specialty competency review</x:v>
      </x:c>
      <x:c r="J767" s="90" t="str">
        <x:v>By day 14; before independent duty if earlier</x:v>
      </x:c>
      <x:c r="K767" s="90" t="str">
        <x:v>At hire; then on material revision</x:v>
      </x:c>
      <x:c r="L767" s="90" t="str">
        <x:v>Ready</x:v>
      </x:c>
      <x:c r="M767" s="90" t="str">
        <x:v>DON governs high-risk care and activates specialty modules only when the agency provides the service.</x:v>
      </x:c>
      <x:c r="N767" s="90" t="str">
        <x:v>12-allPoliciesContent.generated.ts — CL-SD-020</x:v>
      </x:c>
      <x:c r="O767" s="90" t="str">
        <x:v>https://www.ecfr.gov/current/title-42/part-484/section-484.75</x:v>
      </x:c>
      <x:c r="P767" s="90" t="str"/>
    </x:row>
    <x:row r="768" ht="42" customHeight="1">
      <x:c r="A768" s="90" t="str">
        <x:v>DON-05</x:v>
      </x:c>
      <x:c r="B768" s="90" t="str">
        <x:v>DON</x:v>
      </x:c>
      <x:c r="C768" s="90" t="str">
        <x:v>CL-SD-021</x:v>
      </x:c>
      <x:c r="D768" s="90" t="str">
        <x:v>Pediatric Home Health Services</x:v>
      </x:c>
      <x:c r="E768" s="90" t="str">
        <x:v>Conditional</x:v>
      </x:c>
      <x:c r="F768" s="90" t="str">
        <x:v>Yes</x:v>
      </x:c>
      <x:c r="G768" s="90" t="str">
        <x:v>Yes — bundled</x:v>
      </x:c>
      <x:c r="H768" s="90" t="str">
        <x:v>Medication, Specialty &amp; High-Risk Clinical Governance</x:v>
      </x:c>
      <x:c r="I768" s="90" t="str">
        <x:v>80% governance quiz plus specialty competency review</x:v>
      </x:c>
      <x:c r="J768" s="90" t="str">
        <x:v>By day 14; before independent duty if earlier</x:v>
      </x:c>
      <x:c r="K768" s="90" t="str">
        <x:v>At hire; then on material revision</x:v>
      </x:c>
      <x:c r="L768" s="90" t="str">
        <x:v>Ready</x:v>
      </x:c>
      <x:c r="M768" s="90" t="str">
        <x:v>DON governs high-risk care and activates specialty modules only when the agency provides the service.</x:v>
      </x:c>
      <x:c r="N768" s="90" t="str">
        <x:v>12-allPoliciesContent.generated.ts — CL-SD-021</x:v>
      </x:c>
      <x:c r="O768" s="90" t="str">
        <x:v>https://www.ecfr.gov/current/title-42/part-484/section-484.75</x:v>
      </x:c>
      <x:c r="P768" s="90" t="str"/>
    </x:row>
    <x:row r="769" ht="42" customHeight="1">
      <x:c r="A769" s="90" t="str">
        <x:v>DON-05</x:v>
      </x:c>
      <x:c r="B769" s="90" t="str">
        <x:v>DON</x:v>
      </x:c>
      <x:c r="C769" s="90" t="str">
        <x:v>CL-SD-022</x:v>
      </x:c>
      <x:c r="D769" s="90" t="str">
        <x:v>Behavioral Health Screening &amp; Referral</x:v>
      </x:c>
      <x:c r="E769" s="90" t="str">
        <x:v>Conditional</x:v>
      </x:c>
      <x:c r="F769" s="90" t="str">
        <x:v>Yes</x:v>
      </x:c>
      <x:c r="G769" s="90" t="str">
        <x:v>Yes — bundled</x:v>
      </x:c>
      <x:c r="H769" s="90" t="str">
        <x:v>Medication, Specialty &amp; High-Risk Clinical Governance</x:v>
      </x:c>
      <x:c r="I769" s="90" t="str">
        <x:v>80% governance quiz plus specialty competency review</x:v>
      </x:c>
      <x:c r="J769" s="90" t="str">
        <x:v>By day 14; before independent duty if earlier</x:v>
      </x:c>
      <x:c r="K769" s="90" t="str">
        <x:v>At hire; then on material revision</x:v>
      </x:c>
      <x:c r="L769" s="90" t="str">
        <x:v>Ready</x:v>
      </x:c>
      <x:c r="M769" s="90" t="str">
        <x:v>DON governs high-risk care and activates specialty modules only when the agency provides the service.</x:v>
      </x:c>
      <x:c r="N769" s="90" t="str">
        <x:v>12-allPoliciesContent.generated.ts — CL-SD-022</x:v>
      </x:c>
      <x:c r="O769" s="90" t="str">
        <x:v>https://www.ecfr.gov/current/title-42/part-484/section-484.75</x:v>
      </x:c>
      <x:c r="P769" s="90" t="str"/>
    </x:row>
    <x:row r="770" ht="42" customHeight="1">
      <x:c r="A770" s="90" t="str">
        <x:v>DON-05</x:v>
      </x:c>
      <x:c r="B770" s="90" t="str">
        <x:v>DON</x:v>
      </x:c>
      <x:c r="C770" s="90" t="str">
        <x:v>CL-SD-023</x:v>
      </x:c>
      <x:c r="D770" s="90" t="str">
        <x:v>Palliative &amp; End-of-Life Care</x:v>
      </x:c>
      <x:c r="E770" s="90" t="str">
        <x:v>Conditional</x:v>
      </x:c>
      <x:c r="F770" s="90" t="str">
        <x:v>Yes</x:v>
      </x:c>
      <x:c r="G770" s="90" t="str">
        <x:v>Yes — bundled</x:v>
      </x:c>
      <x:c r="H770" s="90" t="str">
        <x:v>Medication, Specialty &amp; High-Risk Clinical Governance</x:v>
      </x:c>
      <x:c r="I770" s="90" t="str">
        <x:v>80% governance quiz plus specialty competency review</x:v>
      </x:c>
      <x:c r="J770" s="90" t="str">
        <x:v>By day 14; before independent duty if earlier</x:v>
      </x:c>
      <x:c r="K770" s="90" t="str">
        <x:v>At hire; then on material revision</x:v>
      </x:c>
      <x:c r="L770" s="90" t="str">
        <x:v>Ready</x:v>
      </x:c>
      <x:c r="M770" s="90" t="str">
        <x:v>DON governs high-risk care and activates specialty modules only when the agency provides the service.</x:v>
      </x:c>
      <x:c r="N770" s="90" t="str">
        <x:v>12-allPoliciesContent.generated.ts — CL-SD-023</x:v>
      </x:c>
      <x:c r="O770" s="90" t="str">
        <x:v>https://www.ecfr.gov/current/title-42/part-484/section-484.75</x:v>
      </x:c>
      <x:c r="P770" s="90" t="str"/>
    </x:row>
    <x:row r="771" ht="42" customHeight="1">
      <x:c r="A771" s="90" t="str">
        <x:v>DON-05</x:v>
      </x:c>
      <x:c r="B771" s="90" t="str">
        <x:v>DON</x:v>
      </x:c>
      <x:c r="C771" s="90" t="str">
        <x:v>CL-SD-024</x:v>
      </x:c>
      <x:c r="D771" s="90" t="str">
        <x:v>Missed Visit &amp; Rescheduling</x:v>
      </x:c>
      <x:c r="E771" s="90" t="str">
        <x:v>Core</x:v>
      </x:c>
      <x:c r="F771" s="90" t="str">
        <x:v>Yes</x:v>
      </x:c>
      <x:c r="G771" s="90" t="str">
        <x:v>Yes — bundled</x:v>
      </x:c>
      <x:c r="H771" s="90" t="str">
        <x:v>Medication, Specialty &amp; High-Risk Clinical Governance</x:v>
      </x:c>
      <x:c r="I771" s="90" t="str">
        <x:v>80% governance quiz plus specialty competency review</x:v>
      </x:c>
      <x:c r="J771" s="90" t="str">
        <x:v>By day 14; before independent duty if earlier</x:v>
      </x:c>
      <x:c r="K771" s="90" t="str">
        <x:v>At hire; then on material revision</x:v>
      </x:c>
      <x:c r="L771" s="90" t="str">
        <x:v>Ready</x:v>
      </x:c>
      <x:c r="M771" s="90" t="str">
        <x:v>DON governs high-risk care and activates specialty modules only when the agency provides the service.</x:v>
      </x:c>
      <x:c r="N771" s="90" t="str">
        <x:v>12-allPoliciesContent.generated.ts — CL-SD-024</x:v>
      </x:c>
      <x:c r="O771" s="90" t="str">
        <x:v>https://www.ecfr.gov/current/title-42/part-484/section-484.75</x:v>
      </x:c>
      <x:c r="P771" s="90" t="str"/>
    </x:row>
    <x:row r="772" ht="42" customHeight="1">
      <x:c r="A772" s="90" t="str">
        <x:v>DON-05</x:v>
      </x:c>
      <x:c r="B772" s="90" t="str">
        <x:v>DON</x:v>
      </x:c>
      <x:c r="C772" s="90" t="str">
        <x:v>CL-SD-025</x:v>
      </x:c>
      <x:c r="D772" s="90" t="str">
        <x:v>Ordered Visit Frequency Compliance &amp; Monitoring</x:v>
      </x:c>
      <x:c r="E772" s="90" t="str">
        <x:v>Core</x:v>
      </x:c>
      <x:c r="F772" s="90" t="str">
        <x:v>Yes</x:v>
      </x:c>
      <x:c r="G772" s="90" t="str">
        <x:v>Yes — bundled</x:v>
      </x:c>
      <x:c r="H772" s="90" t="str">
        <x:v>Medication, Specialty &amp; High-Risk Clinical Governance</x:v>
      </x:c>
      <x:c r="I772" s="90" t="str">
        <x:v>80% governance quiz plus specialty competency review</x:v>
      </x:c>
      <x:c r="J772" s="90" t="str">
        <x:v>By day 14; before independent duty if earlier</x:v>
      </x:c>
      <x:c r="K772" s="90" t="str">
        <x:v>At hire; then on material revision</x:v>
      </x:c>
      <x:c r="L772" s="90" t="str">
        <x:v>Ready</x:v>
      </x:c>
      <x:c r="M772" s="90" t="str">
        <x:v>DON governs high-risk care and activates specialty modules only when the agency provides the service.</x:v>
      </x:c>
      <x:c r="N772" s="90" t="str">
        <x:v>12-allPoliciesContent.generated.ts — CL-SD-025</x:v>
      </x:c>
      <x:c r="O772" s="90" t="str">
        <x:v>https://www.ecfr.gov/current/title-42/part-484/section-484.75</x:v>
      </x:c>
      <x:c r="P772" s="90" t="str"/>
    </x:row>
    <x:row r="773" ht="42" customHeight="1">
      <x:c r="A773" s="90" t="str">
        <x:v>DON-05</x:v>
      </x:c>
      <x:c r="B773" s="90" t="str">
        <x:v>DON</x:v>
      </x:c>
      <x:c r="C773" s="90" t="str">
        <x:v>RM-PS-005</x:v>
      </x:c>
      <x:c r="D773" s="90" t="str">
        <x:v>High-Risk Medication Safety</x:v>
      </x:c>
      <x:c r="E773" s="90" t="str">
        <x:v>Core</x:v>
      </x:c>
      <x:c r="F773" s="90" t="str">
        <x:v>Yes</x:v>
      </x:c>
      <x:c r="G773" s="90" t="str">
        <x:v>Yes — bundled</x:v>
      </x:c>
      <x:c r="H773" s="90" t="str">
        <x:v>Medication, Specialty &amp; High-Risk Clinical Governance</x:v>
      </x:c>
      <x:c r="I773" s="90" t="str">
        <x:v>80% governance quiz plus specialty competency review</x:v>
      </x:c>
      <x:c r="J773" s="90" t="str">
        <x:v>By day 14; before independent duty if earlier</x:v>
      </x:c>
      <x:c r="K773" s="90" t="str">
        <x:v>At hire; then on material revision</x:v>
      </x:c>
      <x:c r="L773" s="90" t="str">
        <x:v>Ready</x:v>
      </x:c>
      <x:c r="M773" s="90" t="str">
        <x:v>DON governs high-risk care and activates specialty modules only when the agency provides the service.</x:v>
      </x:c>
      <x:c r="N773" s="90" t="str">
        <x:v>12-allPoliciesContent.generated.ts — RM-PS-005</x:v>
      </x:c>
      <x:c r="O773" s="90" t="str"/>
      <x:c r="P773" s="90" t="str"/>
    </x:row>
    <x:row r="774" ht="42" customHeight="1">
      <x:c r="A774" s="90" t="str">
        <x:v>DON-06</x:v>
      </x:c>
      <x:c r="B774" s="90" t="str">
        <x:v>DON</x:v>
      </x:c>
      <x:c r="C774" s="90" t="str">
        <x:v>QA-PG-001</x:v>
      </x:c>
      <x:c r="D774" s="90" t="str">
        <x:v>QAPI Program Establishment &amp; Governance</x:v>
      </x:c>
      <x:c r="E774" s="90" t="str">
        <x:v>Core</x:v>
      </x:c>
      <x:c r="F774" s="90" t="str">
        <x:v>Yes</x:v>
      </x:c>
      <x:c r="G774" s="90" t="str">
        <x:v>Yes — bundled</x:v>
      </x:c>
      <x:c r="H774" s="90" t="str">
        <x:v>Clinical QAPI, Outcomes &amp; Patient Safety</x:v>
      </x:c>
      <x:c r="I774" s="90" t="str">
        <x:v>80% QAPI case quiz plus project/data review</x:v>
      </x:c>
      <x:c r="J774" s="90" t="str">
        <x:v>By day 14; before independent duty if earlier</x:v>
      </x:c>
      <x:c r="K774" s="90" t="str">
        <x:v>At hire; then on material revision</x:v>
      </x:c>
      <x:c r="L774" s="90" t="str">
        <x:v>Ready</x:v>
      </x:c>
      <x:c r="M774" s="90" t="str">
        <x:v>DON translates clinical data, events, competency, utilization, and outcomes into QAPI action.</x:v>
      </x:c>
      <x:c r="N774" s="90" t="str">
        <x:v>12-allPoliciesContent.generated.ts — QA-PG-001</x:v>
      </x:c>
      <x:c r="O774" s="90" t="str">
        <x:v>https://www.ecfr.gov/current/title-42/part-484/section-484.65</x:v>
      </x:c>
      <x:c r="P774" s="90" t="str"/>
    </x:row>
    <x:row r="775" ht="42" customHeight="1">
      <x:c r="A775" s="90" t="str">
        <x:v>DON-06</x:v>
      </x:c>
      <x:c r="B775" s="90" t="str">
        <x:v>DON</x:v>
      </x:c>
      <x:c r="C775" s="90" t="str">
        <x:v>QA-PG-002</x:v>
      </x:c>
      <x:c r="D775" s="90" t="str">
        <x:v>QAPI Plan Development &amp; Annual Review</x:v>
      </x:c>
      <x:c r="E775" s="90" t="str">
        <x:v>Core</x:v>
      </x:c>
      <x:c r="F775" s="90" t="str">
        <x:v>Yes</x:v>
      </x:c>
      <x:c r="G775" s="90" t="str">
        <x:v>Yes — bundled</x:v>
      </x:c>
      <x:c r="H775" s="90" t="str">
        <x:v>Clinical QAPI, Outcomes &amp; Patient Safety</x:v>
      </x:c>
      <x:c r="I775" s="90" t="str">
        <x:v>80% QAPI case quiz plus project/data review</x:v>
      </x:c>
      <x:c r="J775" s="90" t="str">
        <x:v>By day 14; before independent duty if earlier</x:v>
      </x:c>
      <x:c r="K775" s="90" t="str">
        <x:v>At hire; then on material revision</x:v>
      </x:c>
      <x:c r="L775" s="90" t="str">
        <x:v>Ready</x:v>
      </x:c>
      <x:c r="M775" s="90" t="str">
        <x:v>DON translates clinical data, events, competency, utilization, and outcomes into QAPI action.</x:v>
      </x:c>
      <x:c r="N775" s="90" t="str">
        <x:v>12-allPoliciesContent.generated.ts — QA-PG-002</x:v>
      </x:c>
      <x:c r="O775" s="90" t="str">
        <x:v>https://www.ecfr.gov/current/title-42/part-484/section-484.65</x:v>
      </x:c>
      <x:c r="P775" s="90" t="str"/>
    </x:row>
    <x:row r="776" ht="42" customHeight="1">
      <x:c r="A776" s="90" t="str">
        <x:v>DON-06</x:v>
      </x:c>
      <x:c r="B776" s="90" t="str">
        <x:v>DON</x:v>
      </x:c>
      <x:c r="C776" s="90" t="str">
        <x:v>QA-PG-003</x:v>
      </x:c>
      <x:c r="D776" s="90" t="str">
        <x:v>QAPI Committee Structure &amp; Meeting Requirements</x:v>
      </x:c>
      <x:c r="E776" s="90" t="str">
        <x:v>Core</x:v>
      </x:c>
      <x:c r="F776" s="90" t="str">
        <x:v>Yes</x:v>
      </x:c>
      <x:c r="G776" s="90" t="str">
        <x:v>Yes — bundled</x:v>
      </x:c>
      <x:c r="H776" s="90" t="str">
        <x:v>Clinical QAPI, Outcomes &amp; Patient Safety</x:v>
      </x:c>
      <x:c r="I776" s="90" t="str">
        <x:v>80% QAPI case quiz plus project/data review</x:v>
      </x:c>
      <x:c r="J776" s="90" t="str">
        <x:v>By day 14; before independent duty if earlier</x:v>
      </x:c>
      <x:c r="K776" s="90" t="str">
        <x:v>At hire; then on material revision</x:v>
      </x:c>
      <x:c r="L776" s="90" t="str">
        <x:v>Ready</x:v>
      </x:c>
      <x:c r="M776" s="90" t="str">
        <x:v>DON translates clinical data, events, competency, utilization, and outcomes into QAPI action.</x:v>
      </x:c>
      <x:c r="N776" s="90" t="str">
        <x:v>12-allPoliciesContent.generated.ts — QA-PG-003</x:v>
      </x:c>
      <x:c r="O776" s="90" t="str">
        <x:v>https://www.ecfr.gov/current/title-42/part-484/section-484.65</x:v>
      </x:c>
      <x:c r="P776" s="90" t="str"/>
    </x:row>
    <x:row r="777" ht="42" customHeight="1">
      <x:c r="A777" s="90" t="str">
        <x:v>DON-06</x:v>
      </x:c>
      <x:c r="B777" s="90" t="str">
        <x:v>DON</x:v>
      </x:c>
      <x:c r="C777" s="90" t="str">
        <x:v>QA-PI-001</x:v>
      </x:c>
      <x:c r="D777" s="90" t="str">
        <x:v>Performance Improvement Project Management</x:v>
      </x:c>
      <x:c r="E777" s="90" t="str">
        <x:v>Core</x:v>
      </x:c>
      <x:c r="F777" s="90" t="str">
        <x:v>Yes</x:v>
      </x:c>
      <x:c r="G777" s="90" t="str">
        <x:v>Yes — bundled</x:v>
      </x:c>
      <x:c r="H777" s="90" t="str">
        <x:v>Clinical QAPI, Outcomes &amp; Patient Safety</x:v>
      </x:c>
      <x:c r="I777" s="90" t="str">
        <x:v>80% QAPI case quiz plus project/data review</x:v>
      </x:c>
      <x:c r="J777" s="90" t="str">
        <x:v>By day 14; before independent duty if earlier</x:v>
      </x:c>
      <x:c r="K777" s="90" t="str">
        <x:v>At hire; then on material revision</x:v>
      </x:c>
      <x:c r="L777" s="90" t="str">
        <x:v>Ready</x:v>
      </x:c>
      <x:c r="M777" s="90" t="str">
        <x:v>DON translates clinical data, events, competency, utilization, and outcomes into QAPI action.</x:v>
      </x:c>
      <x:c r="N777" s="90" t="str">
        <x:v>12-allPoliciesContent.generated.ts — QA-PI-001</x:v>
      </x:c>
      <x:c r="O777" s="90" t="str">
        <x:v>https://www.ecfr.gov/current/title-42/part-484/section-484.65</x:v>
      </x:c>
      <x:c r="P777" s="90" t="str"/>
    </x:row>
    <x:row r="778" ht="42" customHeight="1">
      <x:c r="A778" s="90" t="str">
        <x:v>DON-06</x:v>
      </x:c>
      <x:c r="B778" s="90" t="str">
        <x:v>DON</x:v>
      </x:c>
      <x:c r="C778" s="90" t="str">
        <x:v>QA-PI-002</x:v>
      </x:c>
      <x:c r="D778" s="90" t="str">
        <x:v>Quality Indicator Monitoring &amp; Reporting</x:v>
      </x:c>
      <x:c r="E778" s="90" t="str">
        <x:v>Core</x:v>
      </x:c>
      <x:c r="F778" s="90" t="str">
        <x:v>Yes</x:v>
      </x:c>
      <x:c r="G778" s="90" t="str">
        <x:v>Yes — bundled</x:v>
      </x:c>
      <x:c r="H778" s="90" t="str">
        <x:v>Clinical QAPI, Outcomes &amp; Patient Safety</x:v>
      </x:c>
      <x:c r="I778" s="90" t="str">
        <x:v>80% QAPI case quiz plus project/data review</x:v>
      </x:c>
      <x:c r="J778" s="90" t="str">
        <x:v>By day 14; before independent duty if earlier</x:v>
      </x:c>
      <x:c r="K778" s="90" t="str">
        <x:v>At hire; then on material revision</x:v>
      </x:c>
      <x:c r="L778" s="90" t="str">
        <x:v>Ready</x:v>
      </x:c>
      <x:c r="M778" s="90" t="str">
        <x:v>DON translates clinical data, events, competency, utilization, and outcomes into QAPI action.</x:v>
      </x:c>
      <x:c r="N778" s="90" t="str">
        <x:v>12-allPoliciesContent.generated.ts — QA-PI-002</x:v>
      </x:c>
      <x:c r="O778" s="90" t="str">
        <x:v>https://www.ecfr.gov/current/title-42/part-484/section-484.65</x:v>
      </x:c>
      <x:c r="P778" s="90" t="str"/>
    </x:row>
    <x:row r="779" ht="42" customHeight="1">
      <x:c r="A779" s="90" t="str">
        <x:v>DON-06</x:v>
      </x:c>
      <x:c r="B779" s="90" t="str">
        <x:v>DON</x:v>
      </x:c>
      <x:c r="C779" s="90" t="str">
        <x:v>QA-PI-003</x:v>
      </x:c>
      <x:c r="D779" s="90" t="str">
        <x:v>Clinical Outcome Benchmarking</x:v>
      </x:c>
      <x:c r="E779" s="90" t="str">
        <x:v>Core</x:v>
      </x:c>
      <x:c r="F779" s="90" t="str">
        <x:v>Yes</x:v>
      </x:c>
      <x:c r="G779" s="90" t="str">
        <x:v>Yes — bundled</x:v>
      </x:c>
      <x:c r="H779" s="90" t="str">
        <x:v>Clinical QAPI, Outcomes &amp; Patient Safety</x:v>
      </x:c>
      <x:c r="I779" s="90" t="str">
        <x:v>80% QAPI case quiz plus project/data review</x:v>
      </x:c>
      <x:c r="J779" s="90" t="str">
        <x:v>By day 14; before independent duty if earlier</x:v>
      </x:c>
      <x:c r="K779" s="90" t="str">
        <x:v>At hire; then on material revision</x:v>
      </x:c>
      <x:c r="L779" s="90" t="str">
        <x:v>Ready</x:v>
      </x:c>
      <x:c r="M779" s="90" t="str">
        <x:v>DON translates clinical data, events, competency, utilization, and outcomes into QAPI action.</x:v>
      </x:c>
      <x:c r="N779" s="90" t="str">
        <x:v>12-allPoliciesContent.generated.ts — QA-PI-003</x:v>
      </x:c>
      <x:c r="O779" s="90" t="str">
        <x:v>https://www.ecfr.gov/current/title-42/part-484/section-484.65</x:v>
      </x:c>
      <x:c r="P779" s="90" t="str"/>
    </x:row>
    <x:row r="780" ht="42" customHeight="1">
      <x:c r="A780" s="90" t="str">
        <x:v>DON-06</x:v>
      </x:c>
      <x:c r="B780" s="90" t="str">
        <x:v>DON</x:v>
      </x:c>
      <x:c r="C780" s="90" t="str">
        <x:v>QA-PI-004</x:v>
      </x:c>
      <x:c r="D780" s="90" t="str">
        <x:v>Data-Driven Decision Making</x:v>
      </x:c>
      <x:c r="E780" s="90" t="str">
        <x:v>Core</x:v>
      </x:c>
      <x:c r="F780" s="90" t="str">
        <x:v>Yes</x:v>
      </x:c>
      <x:c r="G780" s="90" t="str">
        <x:v>Yes — bundled</x:v>
      </x:c>
      <x:c r="H780" s="90" t="str">
        <x:v>Clinical QAPI, Outcomes &amp; Patient Safety</x:v>
      </x:c>
      <x:c r="I780" s="90" t="str">
        <x:v>80% QAPI case quiz plus project/data review</x:v>
      </x:c>
      <x:c r="J780" s="90" t="str">
        <x:v>By day 14; before independent duty if earlier</x:v>
      </x:c>
      <x:c r="K780" s="90" t="str">
        <x:v>At hire; then on material revision</x:v>
      </x:c>
      <x:c r="L780" s="90" t="str">
        <x:v>Ready</x:v>
      </x:c>
      <x:c r="M780" s="90" t="str">
        <x:v>DON translates clinical data, events, competency, utilization, and outcomes into QAPI action.</x:v>
      </x:c>
      <x:c r="N780" s="90" t="str">
        <x:v>12-allPoliciesContent.generated.ts — QA-PI-004</x:v>
      </x:c>
      <x:c r="O780" s="90" t="str">
        <x:v>https://www.ecfr.gov/current/title-42/part-484/section-484.65</x:v>
      </x:c>
      <x:c r="P780" s="90" t="str"/>
    </x:row>
    <x:row r="781" ht="42" customHeight="1">
      <x:c r="A781" s="90" t="str">
        <x:v>DON-06</x:v>
      </x:c>
      <x:c r="B781" s="90" t="str">
        <x:v>DON</x:v>
      </x:c>
      <x:c r="C781" s="90" t="str">
        <x:v>QA-PI-005</x:v>
      </x:c>
      <x:c r="D781" s="90" t="str">
        <x:v>Staff Competency Integration with QAPI</x:v>
      </x:c>
      <x:c r="E781" s="90" t="str">
        <x:v>Core</x:v>
      </x:c>
      <x:c r="F781" s="90" t="str">
        <x:v>Yes</x:v>
      </x:c>
      <x:c r="G781" s="90" t="str">
        <x:v>Yes — bundled</x:v>
      </x:c>
      <x:c r="H781" s="90" t="str">
        <x:v>Clinical QAPI, Outcomes &amp; Patient Safety</x:v>
      </x:c>
      <x:c r="I781" s="90" t="str">
        <x:v>80% QAPI case quiz plus project/data review</x:v>
      </x:c>
      <x:c r="J781" s="90" t="str">
        <x:v>By day 14; before independent duty if earlier</x:v>
      </x:c>
      <x:c r="K781" s="90" t="str">
        <x:v>At hire; then on material revision</x:v>
      </x:c>
      <x:c r="L781" s="90" t="str">
        <x:v>Ready</x:v>
      </x:c>
      <x:c r="M781" s="90" t="str">
        <x:v>DON translates clinical data, events, competency, utilization, and outcomes into QAPI action.</x:v>
      </x:c>
      <x:c r="N781" s="90" t="str">
        <x:v>12-allPoliciesContent.generated.ts — QA-PI-005</x:v>
      </x:c>
      <x:c r="O781" s="90" t="str">
        <x:v>https://www.ecfr.gov/current/title-42/part-484/section-484.65</x:v>
      </x:c>
      <x:c r="P781" s="90" t="str"/>
    </x:row>
    <x:row r="782" ht="42" customHeight="1">
      <x:c r="A782" s="90" t="str">
        <x:v>DON-06</x:v>
      </x:c>
      <x:c r="B782" s="90" t="str">
        <x:v>DON</x:v>
      </x:c>
      <x:c r="C782" s="90" t="str">
        <x:v>QA-PI-006</x:v>
      </x:c>
      <x:c r="D782" s="90" t="str">
        <x:v>Visit Utilization &amp; LUPA Risk Management Program</x:v>
      </x:c>
      <x:c r="E782" s="90" t="str">
        <x:v>Core</x:v>
      </x:c>
      <x:c r="F782" s="90" t="str">
        <x:v>Yes</x:v>
      </x:c>
      <x:c r="G782" s="90" t="str">
        <x:v>Yes — bundled</x:v>
      </x:c>
      <x:c r="H782" s="90" t="str">
        <x:v>Clinical QAPI, Outcomes &amp; Patient Safety</x:v>
      </x:c>
      <x:c r="I782" s="90" t="str">
        <x:v>80% QAPI case quiz plus project/data review</x:v>
      </x:c>
      <x:c r="J782" s="90" t="str">
        <x:v>By day 14; before independent duty if earlier</x:v>
      </x:c>
      <x:c r="K782" s="90" t="str">
        <x:v>At hire; then on material revision</x:v>
      </x:c>
      <x:c r="L782" s="90" t="str">
        <x:v>Ready</x:v>
      </x:c>
      <x:c r="M782" s="90" t="str">
        <x:v>DON translates clinical data, events, competency, utilization, and outcomes into QAPI action.</x:v>
      </x:c>
      <x:c r="N782" s="90" t="str">
        <x:v>12-allPoliciesContent.generated.ts — QA-PI-006</x:v>
      </x:c>
      <x:c r="O782" s="90" t="str">
        <x:v>https://www.ecfr.gov/current/title-42/part-484/section-484.65</x:v>
      </x:c>
      <x:c r="P782" s="90" t="str"/>
    </x:row>
    <x:row r="783" ht="42" customHeight="1">
      <x:c r="A783" s="90" t="str">
        <x:v>DON-06</x:v>
      </x:c>
      <x:c r="B783" s="90" t="str">
        <x:v>DON</x:v>
      </x:c>
      <x:c r="C783" s="90" t="str">
        <x:v>QA-PI-007</x:v>
      </x:c>
      <x:c r="D783" s="90" t="str">
        <x:v>Staff Competency Impact on Patient Outcomes</x:v>
      </x:c>
      <x:c r="E783" s="90" t="str">
        <x:v>Core</x:v>
      </x:c>
      <x:c r="F783" s="90" t="str">
        <x:v>Yes</x:v>
      </x:c>
      <x:c r="G783" s="90" t="str">
        <x:v>Yes — bundled</x:v>
      </x:c>
      <x:c r="H783" s="90" t="str">
        <x:v>Clinical QAPI, Outcomes &amp; Patient Safety</x:v>
      </x:c>
      <x:c r="I783" s="90" t="str">
        <x:v>80% QAPI case quiz plus project/data review</x:v>
      </x:c>
      <x:c r="J783" s="90" t="str">
        <x:v>By day 14; before independent duty if earlier</x:v>
      </x:c>
      <x:c r="K783" s="90" t="str">
        <x:v>At hire; then on material revision</x:v>
      </x:c>
      <x:c r="L783" s="90" t="str">
        <x:v>Ready</x:v>
      </x:c>
      <x:c r="M783" s="90" t="str">
        <x:v>DON translates clinical data, events, competency, utilization, and outcomes into QAPI action.</x:v>
      </x:c>
      <x:c r="N783" s="90" t="str">
        <x:v>12-allPoliciesContent.generated.ts — QA-PI-007</x:v>
      </x:c>
      <x:c r="O783" s="90" t="str">
        <x:v>https://www.ecfr.gov/current/title-42/part-484/section-484.65</x:v>
      </x:c>
      <x:c r="P783" s="90" t="str"/>
    </x:row>
    <x:row r="784" ht="42" customHeight="1">
      <x:c r="A784" s="90" t="str">
        <x:v>DON-06</x:v>
      </x:c>
      <x:c r="B784" s="90" t="str">
        <x:v>DON</x:v>
      </x:c>
      <x:c r="C784" s="90" t="str">
        <x:v>QA-SM-001</x:v>
      </x:c>
      <x:c r="D784" s="90" t="str">
        <x:v>Utilization Review &amp; Management</x:v>
      </x:c>
      <x:c r="E784" s="90" t="str">
        <x:v>Core</x:v>
      </x:c>
      <x:c r="F784" s="90" t="str">
        <x:v>Yes</x:v>
      </x:c>
      <x:c r="G784" s="90" t="str">
        <x:v>Yes — bundled</x:v>
      </x:c>
      <x:c r="H784" s="90" t="str">
        <x:v>Clinical QAPI, Outcomes &amp; Patient Safety</x:v>
      </x:c>
      <x:c r="I784" s="90" t="str">
        <x:v>80% QAPI case quiz plus project/data review</x:v>
      </x:c>
      <x:c r="J784" s="90" t="str">
        <x:v>By day 14; before independent duty if earlier</x:v>
      </x:c>
      <x:c r="K784" s="90" t="str">
        <x:v>At hire; then on material revision</x:v>
      </x:c>
      <x:c r="L784" s="90" t="str">
        <x:v>Ready</x:v>
      </x:c>
      <x:c r="M784" s="90" t="str">
        <x:v>DON translates clinical data, events, competency, utilization, and outcomes into QAPI action.</x:v>
      </x:c>
      <x:c r="N784" s="90" t="str">
        <x:v>12-allPoliciesContent.generated.ts — QA-SM-001</x:v>
      </x:c>
      <x:c r="O784" s="90" t="str">
        <x:v>https://www.ecfr.gov/current/title-42/part-484/section-484.65</x:v>
      </x:c>
      <x:c r="P784" s="90" t="str"/>
    </x:row>
    <x:row r="785" ht="42" customHeight="1">
      <x:c r="A785" s="90" t="str">
        <x:v>DON-06</x:v>
      </x:c>
      <x:c r="B785" s="90" t="str">
        <x:v>DON</x:v>
      </x:c>
      <x:c r="C785" s="90" t="str">
        <x:v>QA-SM-002</x:v>
      </x:c>
      <x:c r="D785" s="90" t="str">
        <x:v>Infection Surveillance &amp; Trending</x:v>
      </x:c>
      <x:c r="E785" s="90" t="str">
        <x:v>Core</x:v>
      </x:c>
      <x:c r="F785" s="90" t="str">
        <x:v>Yes</x:v>
      </x:c>
      <x:c r="G785" s="90" t="str">
        <x:v>Yes — bundled</x:v>
      </x:c>
      <x:c r="H785" s="90" t="str">
        <x:v>Clinical QAPI, Outcomes &amp; Patient Safety</x:v>
      </x:c>
      <x:c r="I785" s="90" t="str">
        <x:v>80% QAPI case quiz plus project/data review</x:v>
      </x:c>
      <x:c r="J785" s="90" t="str">
        <x:v>By day 14; before independent duty if earlier</x:v>
      </x:c>
      <x:c r="K785" s="90" t="str">
        <x:v>At hire; then on material revision</x:v>
      </x:c>
      <x:c r="L785" s="90" t="str">
        <x:v>Ready</x:v>
      </x:c>
      <x:c r="M785" s="90" t="str">
        <x:v>DON translates clinical data, events, competency, utilization, and outcomes into QAPI action.</x:v>
      </x:c>
      <x:c r="N785" s="90" t="str">
        <x:v>12-allPoliciesContent.generated.ts — QA-SM-002</x:v>
      </x:c>
      <x:c r="O785" s="90" t="str">
        <x:v>https://www.ecfr.gov/current/title-42/part-484/section-484.65</x:v>
      </x:c>
      <x:c r="P785" s="90" t="str"/>
    </x:row>
    <x:row r="786" ht="42" customHeight="1">
      <x:c r="A786" s="90" t="str">
        <x:v>DON-06</x:v>
      </x:c>
      <x:c r="B786" s="90" t="str">
        <x:v>DON</x:v>
      </x:c>
      <x:c r="C786" s="90" t="str">
        <x:v>QA-SM-003</x:v>
      </x:c>
      <x:c r="D786" s="90" t="str">
        <x:v>Patient Satisfaction Survey &amp; Analysis</x:v>
      </x:c>
      <x:c r="E786" s="90" t="str">
        <x:v>Core</x:v>
      </x:c>
      <x:c r="F786" s="90" t="str">
        <x:v>Yes</x:v>
      </x:c>
      <x:c r="G786" s="90" t="str">
        <x:v>Yes — bundled</x:v>
      </x:c>
      <x:c r="H786" s="90" t="str">
        <x:v>Clinical QAPI, Outcomes &amp; Patient Safety</x:v>
      </x:c>
      <x:c r="I786" s="90" t="str">
        <x:v>80% QAPI case quiz plus project/data review</x:v>
      </x:c>
      <x:c r="J786" s="90" t="str">
        <x:v>By day 14; before independent duty if earlier</x:v>
      </x:c>
      <x:c r="K786" s="90" t="str">
        <x:v>At hire; then on material revision</x:v>
      </x:c>
      <x:c r="L786" s="90" t="str">
        <x:v>Ready</x:v>
      </x:c>
      <x:c r="M786" s="90" t="str">
        <x:v>DON translates clinical data, events, competency, utilization, and outcomes into QAPI action.</x:v>
      </x:c>
      <x:c r="N786" s="90" t="str">
        <x:v>12-allPoliciesContent.generated.ts — QA-SM-003</x:v>
      </x:c>
      <x:c r="O786" s="90" t="str">
        <x:v>https://www.ecfr.gov/current/title-42/part-484/section-484.65</x:v>
      </x:c>
      <x:c r="P786" s="90" t="str"/>
    </x:row>
    <x:row r="787" ht="42" customHeight="1">
      <x:c r="A787" s="90" t="str">
        <x:v>DON-06</x:v>
      </x:c>
      <x:c r="B787" s="90" t="str">
        <x:v>DON</x:v>
      </x:c>
      <x:c r="C787" s="90" t="str">
        <x:v>QA-SM-004</x:v>
      </x:c>
      <x:c r="D787" s="90" t="str">
        <x:v>Home Health Compare &amp; Star Rating Monitoring</x:v>
      </x:c>
      <x:c r="E787" s="90" t="str">
        <x:v>Core</x:v>
      </x:c>
      <x:c r="F787" s="90" t="str">
        <x:v>Yes</x:v>
      </x:c>
      <x:c r="G787" s="90" t="str">
        <x:v>Yes — bundled</x:v>
      </x:c>
      <x:c r="H787" s="90" t="str">
        <x:v>Clinical QAPI, Outcomes &amp; Patient Safety</x:v>
      </x:c>
      <x:c r="I787" s="90" t="str">
        <x:v>80% QAPI case quiz plus project/data review</x:v>
      </x:c>
      <x:c r="J787" s="90" t="str">
        <x:v>By day 14; before independent duty if earlier</x:v>
      </x:c>
      <x:c r="K787" s="90" t="str">
        <x:v>At hire; then on material revision</x:v>
      </x:c>
      <x:c r="L787" s="90" t="str">
        <x:v>Ready</x:v>
      </x:c>
      <x:c r="M787" s="90" t="str">
        <x:v>DON translates clinical data, events, competency, utilization, and outcomes into QAPI action.</x:v>
      </x:c>
      <x:c r="N787" s="90" t="str">
        <x:v>12-allPoliciesContent.generated.ts — QA-SM-004</x:v>
      </x:c>
      <x:c r="O787" s="90" t="str">
        <x:v>https://www.ecfr.gov/current/title-42/part-484/section-484.65</x:v>
      </x:c>
      <x:c r="P787" s="90" t="str"/>
    </x:row>
    <x:row r="788" ht="42" customHeight="1">
      <x:c r="A788" s="90" t="str">
        <x:v>DON-06</x:v>
      </x:c>
      <x:c r="B788" s="90" t="str">
        <x:v>DON</x:v>
      </x:c>
      <x:c r="C788" s="90" t="str">
        <x:v>QA-SM-005</x:v>
      </x:c>
      <x:c r="D788" s="90" t="str">
        <x:v>Policy Effectiveness Monitoring and Outcome Validation</x:v>
      </x:c>
      <x:c r="E788" s="90" t="str">
        <x:v>Core</x:v>
      </x:c>
      <x:c r="F788" s="90" t="str">
        <x:v>Yes</x:v>
      </x:c>
      <x:c r="G788" s="90" t="str">
        <x:v>Yes — bundled</x:v>
      </x:c>
      <x:c r="H788" s="90" t="str">
        <x:v>Clinical QAPI, Outcomes &amp; Patient Safety</x:v>
      </x:c>
      <x:c r="I788" s="90" t="str">
        <x:v>80% QAPI case quiz plus project/data review</x:v>
      </x:c>
      <x:c r="J788" s="90" t="str">
        <x:v>By day 14; before independent duty if earlier</x:v>
      </x:c>
      <x:c r="K788" s="90" t="str">
        <x:v>At hire; then on material revision</x:v>
      </x:c>
      <x:c r="L788" s="90" t="str">
        <x:v>Ready</x:v>
      </x:c>
      <x:c r="M788" s="90" t="str">
        <x:v>DON translates clinical data, events, competency, utilization, and outcomes into QAPI action.</x:v>
      </x:c>
      <x:c r="N788" s="90" t="str">
        <x:v>12-allPoliciesContent.generated.ts — QA-SM-005</x:v>
      </x:c>
      <x:c r="O788" s="90" t="str">
        <x:v>https://www.ecfr.gov/current/title-42/part-484/section-484.65</x:v>
      </x:c>
      <x:c r="P788" s="90" t="str"/>
    </x:row>
    <x:row r="789" ht="42" customHeight="1">
      <x:c r="A789" s="90" t="str">
        <x:v>DON-06</x:v>
      </x:c>
      <x:c r="B789" s="90" t="str">
        <x:v>DON</x:v>
      </x:c>
      <x:c r="C789" s="90" t="str">
        <x:v>QA-AE-002</x:v>
      </x:c>
      <x:c r="D789" s="90" t="str">
        <x:v>Root Cause Analysis Process</x:v>
      </x:c>
      <x:c r="E789" s="90" t="str">
        <x:v>Core</x:v>
      </x:c>
      <x:c r="F789" s="90" t="str">
        <x:v>Yes</x:v>
      </x:c>
      <x:c r="G789" s="90" t="str">
        <x:v>Yes — bundled</x:v>
      </x:c>
      <x:c r="H789" s="90" t="str">
        <x:v>Clinical QAPI, Outcomes &amp; Patient Safety</x:v>
      </x:c>
      <x:c r="I789" s="90" t="str">
        <x:v>80% QAPI case quiz plus project/data review</x:v>
      </x:c>
      <x:c r="J789" s="90" t="str">
        <x:v>By day 14; before independent duty if earlier</x:v>
      </x:c>
      <x:c r="K789" s="90" t="str">
        <x:v>At hire; then on material revision</x:v>
      </x:c>
      <x:c r="L789" s="90" t="str">
        <x:v>Ready</x:v>
      </x:c>
      <x:c r="M789" s="90" t="str">
        <x:v>DON translates clinical data, events, competency, utilization, and outcomes into QAPI action.</x:v>
      </x:c>
      <x:c r="N789" s="90" t="str">
        <x:v>12-allPoliciesContent.generated.ts — QA-AE-002</x:v>
      </x:c>
      <x:c r="O789" s="90" t="str">
        <x:v>https://www.ecfr.gov/current/title-42/part-484/section-484.65</x:v>
      </x:c>
      <x:c r="P789" s="90" t="str"/>
    </x:row>
    <x:row r="790" ht="42" customHeight="1">
      <x:c r="A790" s="90" t="str">
        <x:v>DON-06</x:v>
      </x:c>
      <x:c r="B790" s="90" t="str">
        <x:v>DON</x:v>
      </x:c>
      <x:c r="C790" s="90" t="str">
        <x:v>QA-AE-003</x:v>
      </x:c>
      <x:c r="D790" s="90" t="str">
        <x:v>Corrective Action Plan Development &amp; Tracking</x:v>
      </x:c>
      <x:c r="E790" s="90" t="str">
        <x:v>Core</x:v>
      </x:c>
      <x:c r="F790" s="90" t="str">
        <x:v>Yes</x:v>
      </x:c>
      <x:c r="G790" s="90" t="str">
        <x:v>Yes — bundled</x:v>
      </x:c>
      <x:c r="H790" s="90" t="str">
        <x:v>Clinical QAPI, Outcomes &amp; Patient Safety</x:v>
      </x:c>
      <x:c r="I790" s="90" t="str">
        <x:v>80% QAPI case quiz plus project/data review</x:v>
      </x:c>
      <x:c r="J790" s="90" t="str">
        <x:v>By day 14; before independent duty if earlier</x:v>
      </x:c>
      <x:c r="K790" s="90" t="str">
        <x:v>At hire; then on material revision</x:v>
      </x:c>
      <x:c r="L790" s="90" t="str">
        <x:v>Ready</x:v>
      </x:c>
      <x:c r="M790" s="90" t="str">
        <x:v>DON translates clinical data, events, competency, utilization, and outcomes into QAPI action.</x:v>
      </x:c>
      <x:c r="N790" s="90" t="str">
        <x:v>12-allPoliciesContent.generated.ts — QA-AE-003</x:v>
      </x:c>
      <x:c r="O790" s="90" t="str">
        <x:v>https://www.ecfr.gov/current/title-42/part-484/section-484.65</x:v>
      </x:c>
      <x:c r="P790" s="90" t="str"/>
    </x:row>
    <x:row r="791" ht="42" customHeight="1">
      <x:c r="A791" s="90" t="str">
        <x:v>DON-06</x:v>
      </x:c>
      <x:c r="B791" s="90" t="str">
        <x:v>DON</x:v>
      </x:c>
      <x:c r="C791" s="90" t="str">
        <x:v>QA-AE-004</x:v>
      </x:c>
      <x:c r="D791" s="90" t="str">
        <x:v>Patient Safety Program</x:v>
      </x:c>
      <x:c r="E791" s="90" t="str">
        <x:v>Core</x:v>
      </x:c>
      <x:c r="F791" s="90" t="str">
        <x:v>Yes</x:v>
      </x:c>
      <x:c r="G791" s="90" t="str">
        <x:v>Yes — bundled</x:v>
      </x:c>
      <x:c r="H791" s="90" t="str">
        <x:v>Clinical QAPI, Outcomes &amp; Patient Safety</x:v>
      </x:c>
      <x:c r="I791" s="90" t="str">
        <x:v>80% QAPI case quiz plus project/data review</x:v>
      </x:c>
      <x:c r="J791" s="90" t="str">
        <x:v>By day 14; before independent duty if earlier</x:v>
      </x:c>
      <x:c r="K791" s="90" t="str">
        <x:v>At hire; then on material revision</x:v>
      </x:c>
      <x:c r="L791" s="90" t="str">
        <x:v>Ready</x:v>
      </x:c>
      <x:c r="M791" s="90" t="str">
        <x:v>DON translates clinical data, events, competency, utilization, and outcomes into QAPI action.</x:v>
      </x:c>
      <x:c r="N791" s="90" t="str">
        <x:v>12-allPoliciesContent.generated.ts — QA-AE-004</x:v>
      </x:c>
      <x:c r="O791" s="90" t="str">
        <x:v>https://www.ecfr.gov/current/title-42/part-484/section-484.65</x:v>
      </x:c>
      <x:c r="P791" s="90" t="str"/>
    </x:row>
    <x:row r="792" ht="42" customHeight="1">
      <x:c r="A792" s="90" t="str">
        <x:v>DON-06</x:v>
      </x:c>
      <x:c r="B792" s="90" t="str">
        <x:v>DON</x:v>
      </x:c>
      <x:c r="C792" s="90" t="str">
        <x:v>QA-VBP-101</x:v>
      </x:c>
      <x:c r="D792" s="90" t="str">
        <x:v>HHVBP Performance &amp; Outcomes Management</x:v>
      </x:c>
      <x:c r="E792" s="90" t="str">
        <x:v>Core</x:v>
      </x:c>
      <x:c r="F792" s="90" t="str">
        <x:v>Yes</x:v>
      </x:c>
      <x:c r="G792" s="90" t="str">
        <x:v>Yes — bundled</x:v>
      </x:c>
      <x:c r="H792" s="90" t="str">
        <x:v>Clinical QAPI, Outcomes &amp; Patient Safety</x:v>
      </x:c>
      <x:c r="I792" s="90" t="str">
        <x:v>80% QAPI case quiz plus project/data review</x:v>
      </x:c>
      <x:c r="J792" s="90" t="str">
        <x:v>By day 14; before independent duty if earlier</x:v>
      </x:c>
      <x:c r="K792" s="90" t="str">
        <x:v>At hire; then on material revision</x:v>
      </x:c>
      <x:c r="L792" s="90" t="str">
        <x:v>Ready</x:v>
      </x:c>
      <x:c r="M792" s="90" t="str">
        <x:v>DON translates clinical data, events, competency, utilization, and outcomes into QAPI action.</x:v>
      </x:c>
      <x:c r="N792" s="90" t="str">
        <x:v>12-allPoliciesContent.generated.ts — QA-VBP-101</x:v>
      </x:c>
      <x:c r="O792" s="90" t="str">
        <x:v>https://www.ecfr.gov/current/title-42/part-484/section-484.65</x:v>
      </x:c>
      <x:c r="P792" s="90" t="str"/>
    </x:row>
    <x:row r="793" ht="42" customHeight="1">
      <x:c r="A793" s="90" t="str">
        <x:v>DON-07</x:v>
      </x:c>
      <x:c r="B793" s="90" t="str">
        <x:v>DON</x:v>
      </x:c>
      <x:c r="C793" s="90" t="str">
        <x:v>CO-RA-003</x:v>
      </x:c>
      <x:c r="D793" s="90" t="str">
        <x:v>External Audit &amp; Survey Readiness</x:v>
      </x:c>
      <x:c r="E793" s="90" t="str">
        <x:v>Core</x:v>
      </x:c>
      <x:c r="F793" s="90" t="str">
        <x:v>Yes</x:v>
      </x:c>
      <x:c r="G793" s="90" t="str">
        <x:v>Yes — bundled</x:v>
      </x:c>
      <x:c r="H793" s="90" t="str">
        <x:v>Clinical Compliance, Survey &amp; Documentation Audit</x:v>
      </x:c>
      <x:c r="I793" s="90" t="str">
        <x:v>80% survey/audit scenario quiz</x:v>
      </x:c>
      <x:c r="J793" s="90" t="str">
        <x:v>By day 14; before independent duty if earlier</x:v>
      </x:c>
      <x:c r="K793" s="90" t="str">
        <x:v>At hire; then on material revision</x:v>
      </x:c>
      <x:c r="L793" s="90" t="str">
        <x:v>Ready</x:v>
      </x:c>
      <x:c r="M793" s="90" t="str">
        <x:v>DON needs decision-level survey readiness, documentation/billing alignment, medical necessity, coding, LUPA, and FWA knowledge.</x:v>
      </x:c>
      <x:c r="N793" s="90" t="str">
        <x:v>12-allPoliciesContent.generated.ts — CO-RA-003</x:v>
      </x:c>
      <x:c r="O793" s="90" t="str"/>
      <x:c r="P793" s="90" t="str"/>
    </x:row>
    <x:row r="794" ht="42" customHeight="1">
      <x:c r="A794" s="90" t="str">
        <x:v>DON-07</x:v>
      </x:c>
      <x:c r="B794" s="90" t="str">
        <x:v>DON</x:v>
      </x:c>
      <x:c r="C794" s="90" t="str">
        <x:v>CO-RA-004</x:v>
      </x:c>
      <x:c r="D794" s="90" t="str">
        <x:v>Medicare Conditions of Participation Compliance</x:v>
      </x:c>
      <x:c r="E794" s="90" t="str">
        <x:v>Core</x:v>
      </x:c>
      <x:c r="F794" s="90" t="str">
        <x:v>Yes</x:v>
      </x:c>
      <x:c r="G794" s="90" t="str">
        <x:v>Yes — bundled</x:v>
      </x:c>
      <x:c r="H794" s="90" t="str">
        <x:v>Clinical Compliance, Survey &amp; Documentation Audit</x:v>
      </x:c>
      <x:c r="I794" s="90" t="str">
        <x:v>80% survey/audit scenario quiz</x:v>
      </x:c>
      <x:c r="J794" s="90" t="str">
        <x:v>By day 14; before independent duty if earlier</x:v>
      </x:c>
      <x:c r="K794" s="90" t="str">
        <x:v>At hire; then on material revision</x:v>
      </x:c>
      <x:c r="L794" s="90" t="str">
        <x:v>Ready</x:v>
      </x:c>
      <x:c r="M794" s="90" t="str">
        <x:v>DON needs decision-level survey readiness, documentation/billing alignment, medical necessity, coding, LUPA, and FWA knowledge.</x:v>
      </x:c>
      <x:c r="N794" s="90" t="str">
        <x:v>12-allPoliciesContent.generated.ts — CO-RA-004</x:v>
      </x:c>
      <x:c r="O794" s="90" t="str"/>
      <x:c r="P794" s="90" t="str"/>
    </x:row>
    <x:row r="795" ht="42" customHeight="1">
      <x:c r="A795" s="90" t="str">
        <x:v>DON-07</x:v>
      </x:c>
      <x:c r="B795" s="90" t="str">
        <x:v>DON</x:v>
      </x:c>
      <x:c r="C795" s="90" t="str">
        <x:v>CO-RA-005</x:v>
      </x:c>
      <x:c r="D795" s="90" t="str">
        <x:v>State Licensure &amp; Regulatory Compliance</x:v>
      </x:c>
      <x:c r="E795" s="90" t="str">
        <x:v>Core</x:v>
      </x:c>
      <x:c r="F795" s="90" t="str">
        <x:v>Yes</x:v>
      </x:c>
      <x:c r="G795" s="90" t="str">
        <x:v>Yes — bundled</x:v>
      </x:c>
      <x:c r="H795" s="90" t="str">
        <x:v>Clinical Compliance, Survey &amp; Documentation Audit</x:v>
      </x:c>
      <x:c r="I795" s="90" t="str">
        <x:v>80% survey/audit scenario quiz</x:v>
      </x:c>
      <x:c r="J795" s="90" t="str">
        <x:v>By day 14; before independent duty if earlier</x:v>
      </x:c>
      <x:c r="K795" s="90" t="str">
        <x:v>At hire; then on material revision</x:v>
      </x:c>
      <x:c r="L795" s="90" t="str">
        <x:v>Ready</x:v>
      </x:c>
      <x:c r="M795" s="90" t="str">
        <x:v>DON needs decision-level survey readiness, documentation/billing alignment, medical necessity, coding, LUPA, and FWA knowledge.</x:v>
      </x:c>
      <x:c r="N795" s="90" t="str">
        <x:v>12-allPoliciesContent.generated.ts — CO-RA-005</x:v>
      </x:c>
      <x:c r="O795" s="90" t="str"/>
      <x:c r="P795" s="90" t="str"/>
    </x:row>
    <x:row r="796" ht="42" customHeight="1">
      <x:c r="A796" s="90" t="str">
        <x:v>DON-07</x:v>
      </x:c>
      <x:c r="B796" s="90" t="str">
        <x:v>DON</x:v>
      </x:c>
      <x:c r="C796" s="90" t="str">
        <x:v>CO-RA-006</x:v>
      </x:c>
      <x:c r="D796" s="90" t="str">
        <x:v>Accreditation Standards Compliance</x:v>
      </x:c>
      <x:c r="E796" s="90" t="str">
        <x:v>Core</x:v>
      </x:c>
      <x:c r="F796" s="90" t="str">
        <x:v>Yes</x:v>
      </x:c>
      <x:c r="G796" s="90" t="str">
        <x:v>Yes — bundled</x:v>
      </x:c>
      <x:c r="H796" s="90" t="str">
        <x:v>Clinical Compliance, Survey &amp; Documentation Audit</x:v>
      </x:c>
      <x:c r="I796" s="90" t="str">
        <x:v>80% survey/audit scenario quiz</x:v>
      </x:c>
      <x:c r="J796" s="90" t="str">
        <x:v>By day 14; before independent duty if earlier</x:v>
      </x:c>
      <x:c r="K796" s="90" t="str">
        <x:v>At hire; then on material revision</x:v>
      </x:c>
      <x:c r="L796" s="90" t="str">
        <x:v>Ready</x:v>
      </x:c>
      <x:c r="M796" s="90" t="str">
        <x:v>DON needs decision-level survey readiness, documentation/billing alignment, medical necessity, coding, LUPA, and FWA knowledge.</x:v>
      </x:c>
      <x:c r="N796" s="90" t="str">
        <x:v>12-allPoliciesContent.generated.ts — CO-RA-006</x:v>
      </x:c>
      <x:c r="O796" s="90" t="str"/>
      <x:c r="P796" s="90" t="str"/>
    </x:row>
    <x:row r="797" ht="42" customHeight="1">
      <x:c r="A797" s="90" t="str">
        <x:v>DON-07</x:v>
      </x:c>
      <x:c r="B797" s="90" t="str">
        <x:v>DON</x:v>
      </x:c>
      <x:c r="C797" s="90" t="str">
        <x:v>CO-DC-001</x:v>
      </x:c>
      <x:c r="D797" s="90" t="str">
        <x:v>Assessment Audit Trail and Data Integrity</x:v>
      </x:c>
      <x:c r="E797" s="90" t="str">
        <x:v>Core</x:v>
      </x:c>
      <x:c r="F797" s="90" t="str">
        <x:v>Yes</x:v>
      </x:c>
      <x:c r="G797" s="90" t="str">
        <x:v>Yes — bundled</x:v>
      </x:c>
      <x:c r="H797" s="90" t="str">
        <x:v>Clinical Compliance, Survey &amp; Documentation Audit</x:v>
      </x:c>
      <x:c r="I797" s="90" t="str">
        <x:v>80% survey/audit scenario quiz</x:v>
      </x:c>
      <x:c r="J797" s="90" t="str">
        <x:v>By day 14; before independent duty if earlier</x:v>
      </x:c>
      <x:c r="K797" s="90" t="str">
        <x:v>At hire; then on material revision</x:v>
      </x:c>
      <x:c r="L797" s="90" t="str">
        <x:v>Ready</x:v>
      </x:c>
      <x:c r="M797" s="90" t="str">
        <x:v>DON needs decision-level survey readiness, documentation/billing alignment, medical necessity, coding, LUPA, and FWA knowledge.</x:v>
      </x:c>
      <x:c r="N797" s="90" t="str">
        <x:v>12-allPoliciesContent.generated.ts — CO-DC-001</x:v>
      </x:c>
      <x:c r="O797" s="90" t="str">
        <x:v>https://www.ecfr.gov/current/title-42/part-484/section-484.110</x:v>
      </x:c>
      <x:c r="P797" s="90" t="str"/>
    </x:row>
    <x:row r="798" ht="42" customHeight="1">
      <x:c r="A798" s="90" t="str">
        <x:v>DON-07</x:v>
      </x:c>
      <x:c r="B798" s="90" t="str">
        <x:v>DON</x:v>
      </x:c>
      <x:c r="C798" s="90" t="str">
        <x:v>CO-DC-002</x:v>
      </x:c>
      <x:c r="D798" s="90" t="str">
        <x:v>Documentation Audit &amp; Monitoring Program</x:v>
      </x:c>
      <x:c r="E798" s="90" t="str">
        <x:v>Core</x:v>
      </x:c>
      <x:c r="F798" s="90" t="str">
        <x:v>Yes</x:v>
      </x:c>
      <x:c r="G798" s="90" t="str">
        <x:v>Yes — bundled</x:v>
      </x:c>
      <x:c r="H798" s="90" t="str">
        <x:v>Clinical Compliance, Survey &amp; Documentation Audit</x:v>
      </x:c>
      <x:c r="I798" s="90" t="str">
        <x:v>80% survey/audit scenario quiz</x:v>
      </x:c>
      <x:c r="J798" s="90" t="str">
        <x:v>By day 14; before independent duty if earlier</x:v>
      </x:c>
      <x:c r="K798" s="90" t="str">
        <x:v>At hire; then on material revision</x:v>
      </x:c>
      <x:c r="L798" s="90" t="str">
        <x:v>Ready</x:v>
      </x:c>
      <x:c r="M798" s="90" t="str">
        <x:v>DON needs decision-level survey readiness, documentation/billing alignment, medical necessity, coding, LUPA, and FWA knowledge.</x:v>
      </x:c>
      <x:c r="N798" s="90" t="str">
        <x:v>12-allPoliciesContent.generated.ts — CO-DC-002</x:v>
      </x:c>
      <x:c r="O798" s="90" t="str">
        <x:v>https://www.ecfr.gov/current/title-42/part-484/section-484.110</x:v>
      </x:c>
      <x:c r="P798" s="90" t="str"/>
    </x:row>
    <x:row r="799" ht="42" customHeight="1">
      <x:c r="A799" s="90" t="str">
        <x:v>DON-07</x:v>
      </x:c>
      <x:c r="B799" s="90" t="str">
        <x:v>DON</x:v>
      </x:c>
      <x:c r="C799" s="90" t="str">
        <x:v>CO-DC-003</x:v>
      </x:c>
      <x:c r="D799" s="90" t="str">
        <x:v>Late Entry, Correction &amp; Amendment Standards</x:v>
      </x:c>
      <x:c r="E799" s="90" t="str">
        <x:v>Core</x:v>
      </x:c>
      <x:c r="F799" s="90" t="str">
        <x:v>Yes</x:v>
      </x:c>
      <x:c r="G799" s="90" t="str">
        <x:v>Yes — bundled</x:v>
      </x:c>
      <x:c r="H799" s="90" t="str">
        <x:v>Clinical Compliance, Survey &amp; Documentation Audit</x:v>
      </x:c>
      <x:c r="I799" s="90" t="str">
        <x:v>80% survey/audit scenario quiz</x:v>
      </x:c>
      <x:c r="J799" s="90" t="str">
        <x:v>By day 14; before independent duty if earlier</x:v>
      </x:c>
      <x:c r="K799" s="90" t="str">
        <x:v>At hire; then on material revision</x:v>
      </x:c>
      <x:c r="L799" s="90" t="str">
        <x:v>Ready</x:v>
      </x:c>
      <x:c r="M799" s="90" t="str">
        <x:v>DON needs decision-level survey readiness, documentation/billing alignment, medical necessity, coding, LUPA, and FWA knowledge.</x:v>
      </x:c>
      <x:c r="N799" s="90" t="str">
        <x:v>12-allPoliciesContent.generated.ts — CO-DC-003</x:v>
      </x:c>
      <x:c r="O799" s="90" t="str">
        <x:v>https://www.ecfr.gov/current/title-42/part-484/section-484.110</x:v>
      </x:c>
      <x:c r="P799" s="90" t="str"/>
    </x:row>
    <x:row r="800" ht="42" customHeight="1">
      <x:c r="A800" s="90" t="str">
        <x:v>DON-07</x:v>
      </x:c>
      <x:c r="B800" s="90" t="str">
        <x:v>DON</x:v>
      </x:c>
      <x:c r="C800" s="90" t="str">
        <x:v>CO-DC-004</x:v>
      </x:c>
      <x:c r="D800" s="90" t="str">
        <x:v>Clinical, Documentation, and Billing Alignment Audit</x:v>
      </x:c>
      <x:c r="E800" s="90" t="str">
        <x:v>Core</x:v>
      </x:c>
      <x:c r="F800" s="90" t="str">
        <x:v>Yes</x:v>
      </x:c>
      <x:c r="G800" s="90" t="str">
        <x:v>Yes — bundled</x:v>
      </x:c>
      <x:c r="H800" s="90" t="str">
        <x:v>Clinical Compliance, Survey &amp; Documentation Audit</x:v>
      </x:c>
      <x:c r="I800" s="90" t="str">
        <x:v>80% survey/audit scenario quiz</x:v>
      </x:c>
      <x:c r="J800" s="90" t="str">
        <x:v>By day 14; before independent duty if earlier</x:v>
      </x:c>
      <x:c r="K800" s="90" t="str">
        <x:v>At hire; then on material revision</x:v>
      </x:c>
      <x:c r="L800" s="90" t="str">
        <x:v>Ready</x:v>
      </x:c>
      <x:c r="M800" s="90" t="str">
        <x:v>DON needs decision-level survey readiness, documentation/billing alignment, medical necessity, coding, LUPA, and FWA knowledge.</x:v>
      </x:c>
      <x:c r="N800" s="90" t="str">
        <x:v>12-allPoliciesContent.generated.ts — CO-DC-004</x:v>
      </x:c>
      <x:c r="O800" s="90" t="str">
        <x:v>https://www.ecfr.gov/current/title-42/part-484/section-484.110</x:v>
      </x:c>
      <x:c r="P800" s="90" t="str"/>
    </x:row>
    <x:row r="801" ht="42" customHeight="1">
      <x:c r="A801" s="90" t="str">
        <x:v>DON-07</x:v>
      </x:c>
      <x:c r="B801" s="90" t="str">
        <x:v>DON</x:v>
      </x:c>
      <x:c r="C801" s="90" t="str">
        <x:v>FN-CM-001</x:v>
      </x:c>
      <x:c r="D801" s="90" t="str">
        <x:v>PDGM Classification &amp; Coding Accuracy</x:v>
      </x:c>
      <x:c r="E801" s="90" t="str">
        <x:v>Core</x:v>
      </x:c>
      <x:c r="F801" s="90" t="str">
        <x:v>Yes</x:v>
      </x:c>
      <x:c r="G801" s="90" t="str">
        <x:v>Yes — bundled</x:v>
      </x:c>
      <x:c r="H801" s="90" t="str">
        <x:v>Clinical Compliance, Survey &amp; Documentation Audit</x:v>
      </x:c>
      <x:c r="I801" s="90" t="str">
        <x:v>80% survey/audit scenario quiz</x:v>
      </x:c>
      <x:c r="J801" s="90" t="str">
        <x:v>By day 14; before independent duty if earlier</x:v>
      </x:c>
      <x:c r="K801" s="90" t="str">
        <x:v>At hire; then on material revision</x:v>
      </x:c>
      <x:c r="L801" s="90" t="str">
        <x:v>Ready</x:v>
      </x:c>
      <x:c r="M801" s="90" t="str">
        <x:v>DON needs decision-level survey readiness, documentation/billing alignment, medical necessity, coding, LUPA, and FWA knowledge.</x:v>
      </x:c>
      <x:c r="N801" s="90" t="str">
        <x:v>12-allPoliciesContent.generated.ts — FN-CM-001</x:v>
      </x:c>
      <x:c r="O801" s="90" t="str"/>
      <x:c r="P801" s="90" t="str"/>
    </x:row>
    <x:row r="802" ht="42" customHeight="1">
      <x:c r="A802" s="90" t="str">
        <x:v>DON-07</x:v>
      </x:c>
      <x:c r="B802" s="90" t="str">
        <x:v>DON</x:v>
      </x:c>
      <x:c r="C802" s="90" t="str">
        <x:v>FN-CM-002</x:v>
      </x:c>
      <x:c r="D802" s="90" t="str">
        <x:v>ICD-10 Coding Standards &amp; Accuracy</x:v>
      </x:c>
      <x:c r="E802" s="90" t="str">
        <x:v>Core</x:v>
      </x:c>
      <x:c r="F802" s="90" t="str">
        <x:v>Yes</x:v>
      </x:c>
      <x:c r="G802" s="90" t="str">
        <x:v>Yes — bundled</x:v>
      </x:c>
      <x:c r="H802" s="90" t="str">
        <x:v>Clinical Compliance, Survey &amp; Documentation Audit</x:v>
      </x:c>
      <x:c r="I802" s="90" t="str">
        <x:v>80% survey/audit scenario quiz</x:v>
      </x:c>
      <x:c r="J802" s="90" t="str">
        <x:v>By day 14; before independent duty if earlier</x:v>
      </x:c>
      <x:c r="K802" s="90" t="str">
        <x:v>At hire; then on material revision</x:v>
      </x:c>
      <x:c r="L802" s="90" t="str">
        <x:v>Ready</x:v>
      </x:c>
      <x:c r="M802" s="90" t="str">
        <x:v>DON needs decision-level survey readiness, documentation/billing alignment, medical necessity, coding, LUPA, and FWA knowledge.</x:v>
      </x:c>
      <x:c r="N802" s="90" t="str">
        <x:v>12-allPoliciesContent.generated.ts — FN-CM-002</x:v>
      </x:c>
      <x:c r="O802" s="90" t="str"/>
      <x:c r="P802" s="90" t="str"/>
    </x:row>
    <x:row r="803" ht="42" customHeight="1">
      <x:c r="A803" s="90" t="str">
        <x:v>DON-07</x:v>
      </x:c>
      <x:c r="B803" s="90" t="str">
        <x:v>DON</x:v>
      </x:c>
      <x:c r="C803" s="90" t="str">
        <x:v>FN-CM-003</x:v>
      </x:c>
      <x:c r="D803" s="90" t="str">
        <x:v>Medical Necessity Documentation</x:v>
      </x:c>
      <x:c r="E803" s="90" t="str">
        <x:v>Core</x:v>
      </x:c>
      <x:c r="F803" s="90" t="str">
        <x:v>Yes</x:v>
      </x:c>
      <x:c r="G803" s="90" t="str">
        <x:v>Yes — bundled</x:v>
      </x:c>
      <x:c r="H803" s="90" t="str">
        <x:v>Clinical Compliance, Survey &amp; Documentation Audit</x:v>
      </x:c>
      <x:c r="I803" s="90" t="str">
        <x:v>80% survey/audit scenario quiz</x:v>
      </x:c>
      <x:c r="J803" s="90" t="str">
        <x:v>By day 14; before independent duty if earlier</x:v>
      </x:c>
      <x:c r="K803" s="90" t="str">
        <x:v>At hire; then on material revision</x:v>
      </x:c>
      <x:c r="L803" s="90" t="str">
        <x:v>Ready</x:v>
      </x:c>
      <x:c r="M803" s="90" t="str">
        <x:v>DON needs decision-level survey readiness, documentation/billing alignment, medical necessity, coding, LUPA, and FWA knowledge.</x:v>
      </x:c>
      <x:c r="N803" s="90" t="str">
        <x:v>12-allPoliciesContent.generated.ts — FN-CM-003</x:v>
      </x:c>
      <x:c r="O803" s="90" t="str"/>
      <x:c r="P803" s="90" t="str"/>
    </x:row>
    <x:row r="804" ht="42" customHeight="1">
      <x:c r="A804" s="90" t="str">
        <x:v>DON-07</x:v>
      </x:c>
      <x:c r="B804" s="90" t="str">
        <x:v>DON</x:v>
      </x:c>
      <x:c r="C804" s="90" t="str">
        <x:v>FN-CM-004</x:v>
      </x:c>
      <x:c r="D804" s="90" t="str">
        <x:v>Episode Management &amp; Authorization</x:v>
      </x:c>
      <x:c r="E804" s="90" t="str">
        <x:v>Core</x:v>
      </x:c>
      <x:c r="F804" s="90" t="str">
        <x:v>Yes</x:v>
      </x:c>
      <x:c r="G804" s="90" t="str">
        <x:v>Yes — bundled</x:v>
      </x:c>
      <x:c r="H804" s="90" t="str">
        <x:v>Clinical Compliance, Survey &amp; Documentation Audit</x:v>
      </x:c>
      <x:c r="I804" s="90" t="str">
        <x:v>80% survey/audit scenario quiz</x:v>
      </x:c>
      <x:c r="J804" s="90" t="str">
        <x:v>By day 14; before independent duty if earlier</x:v>
      </x:c>
      <x:c r="K804" s="90" t="str">
        <x:v>At hire; then on material revision</x:v>
      </x:c>
      <x:c r="L804" s="90" t="str">
        <x:v>Ready</x:v>
      </x:c>
      <x:c r="M804" s="90" t="str">
        <x:v>DON needs decision-level survey readiness, documentation/billing alignment, medical necessity, coding, LUPA, and FWA knowledge.</x:v>
      </x:c>
      <x:c r="N804" s="90" t="str">
        <x:v>12-allPoliciesContent.generated.ts — FN-CM-004</x:v>
      </x:c>
      <x:c r="O804" s="90" t="str"/>
      <x:c r="P804" s="90" t="str"/>
    </x:row>
    <x:row r="805" ht="42" customHeight="1">
      <x:c r="A805" s="90" t="str">
        <x:v>DON-07</x:v>
      </x:c>
      <x:c r="B805" s="90" t="str">
        <x:v>DON</x:v>
      </x:c>
      <x:c r="C805" s="90" t="str">
        <x:v>FN-CM-005</x:v>
      </x:c>
      <x:c r="D805" s="90" t="str">
        <x:v>LUPA Prevention &amp; Monitoring</x:v>
      </x:c>
      <x:c r="E805" s="90" t="str">
        <x:v>Core</x:v>
      </x:c>
      <x:c r="F805" s="90" t="str">
        <x:v>Yes</x:v>
      </x:c>
      <x:c r="G805" s="90" t="str">
        <x:v>Yes — bundled</x:v>
      </x:c>
      <x:c r="H805" s="90" t="str">
        <x:v>Clinical Compliance, Survey &amp; Documentation Audit</x:v>
      </x:c>
      <x:c r="I805" s="90" t="str">
        <x:v>80% survey/audit scenario quiz</x:v>
      </x:c>
      <x:c r="J805" s="90" t="str">
        <x:v>By day 14; before independent duty if earlier</x:v>
      </x:c>
      <x:c r="K805" s="90" t="str">
        <x:v>At hire; then on material revision</x:v>
      </x:c>
      <x:c r="L805" s="90" t="str">
        <x:v>Ready</x:v>
      </x:c>
      <x:c r="M805" s="90" t="str">
        <x:v>DON needs decision-level survey readiness, documentation/billing alignment, medical necessity, coding, LUPA, and FWA knowledge.</x:v>
      </x:c>
      <x:c r="N805" s="90" t="str">
        <x:v>12-allPoliciesContent.generated.ts — FN-CM-005</x:v>
      </x:c>
      <x:c r="O805" s="90" t="str"/>
      <x:c r="P805" s="90" t="str"/>
    </x:row>
    <x:row r="806" ht="42" customHeight="1">
      <x:c r="A806" s="90" t="str">
        <x:v>DON-07</x:v>
      </x:c>
      <x:c r="B806" s="90" t="str">
        <x:v>DON</x:v>
      </x:c>
      <x:c r="C806" s="90" t="str">
        <x:v>CO-FA-002</x:v>
      </x:c>
      <x:c r="D806" s="90" t="str">
        <x:v>False Claims Act Awareness &amp; Prevention</x:v>
      </x:c>
      <x:c r="E806" s="90" t="str">
        <x:v>Core</x:v>
      </x:c>
      <x:c r="F806" s="90" t="str">
        <x:v>Yes</x:v>
      </x:c>
      <x:c r="G806" s="90" t="str">
        <x:v>Yes — bundled</x:v>
      </x:c>
      <x:c r="H806" s="90" t="str">
        <x:v>Clinical Compliance, Survey &amp; Documentation Audit</x:v>
      </x:c>
      <x:c r="I806" s="90" t="str">
        <x:v>80% survey/audit scenario quiz</x:v>
      </x:c>
      <x:c r="J806" s="90" t="str">
        <x:v>By day 14; before independent duty if earlier</x:v>
      </x:c>
      <x:c r="K806" s="90" t="str">
        <x:v>At hire; then on material revision</x:v>
      </x:c>
      <x:c r="L806" s="90" t="str">
        <x:v>Ready</x:v>
      </x:c>
      <x:c r="M806" s="90" t="str">
        <x:v>DON needs decision-level survey readiness, documentation/billing alignment, medical necessity, coding, LUPA, and FWA knowledge.</x:v>
      </x:c>
      <x:c r="N806" s="90" t="str">
        <x:v>12-allPoliciesContent.generated.ts — CO-FA-002</x:v>
      </x:c>
      <x:c r="O806" s="90" t="str"/>
      <x:c r="P806" s="90" t="str"/>
    </x:row>
    <x:row r="807" ht="42" customHeight="1">
      <x:c r="A807" s="90" t="str">
        <x:v>DON-07</x:v>
      </x:c>
      <x:c r="B807" s="90" t="str">
        <x:v>DON</x:v>
      </x:c>
      <x:c r="C807" s="90" t="str">
        <x:v>CO-FW-101</x:v>
      </x:c>
      <x:c r="D807" s="90" t="str">
        <x:v>Fraud, Waste &amp; Abuse Prevention</x:v>
      </x:c>
      <x:c r="E807" s="90" t="str">
        <x:v>Core</x:v>
      </x:c>
      <x:c r="F807" s="90" t="str">
        <x:v>Yes</x:v>
      </x:c>
      <x:c r="G807" s="90" t="str">
        <x:v>Yes — bundled</x:v>
      </x:c>
      <x:c r="H807" s="90" t="str">
        <x:v>Clinical Compliance, Survey &amp; Documentation Audit</x:v>
      </x:c>
      <x:c r="I807" s="90" t="str">
        <x:v>80% survey/audit scenario quiz</x:v>
      </x:c>
      <x:c r="J807" s="90" t="str">
        <x:v>By day 14; before independent duty if earlier</x:v>
      </x:c>
      <x:c r="K807" s="90" t="str">
        <x:v>At hire; then on material revision</x:v>
      </x:c>
      <x:c r="L807" s="90" t="str">
        <x:v>Ready</x:v>
      </x:c>
      <x:c r="M807" s="90" t="str">
        <x:v>DON needs decision-level survey readiness, documentation/billing alignment, medical necessity, coding, LUPA, and FWA knowledge.</x:v>
      </x:c>
      <x:c r="N807" s="90" t="str">
        <x:v>12-allPoliciesContent.generated.ts — CO-FW-101</x:v>
      </x:c>
      <x:c r="O807" s="90" t="str"/>
      <x:c r="P807" s="90" t="str"/>
    </x:row>
    <x:row r="808" ht="42" customHeight="1">
      <x:c r="A808" s="90" t="str">
        <x:v>DON-08</x:v>
      </x:c>
      <x:c r="B808" s="90" t="str">
        <x:v>DON</x:v>
      </x:c>
      <x:c r="C808" s="90" t="str">
        <x:v>HR-TA-005</x:v>
      </x:c>
      <x:c r="D808" s="90" t="str">
        <x:v>Employee Orientation &amp; Onboarding</x:v>
      </x:c>
      <x:c r="E808" s="90" t="str">
        <x:v>Core</x:v>
      </x:c>
      <x:c r="F808" s="90" t="str">
        <x:v>Yes</x:v>
      </x:c>
      <x:c r="G808" s="90" t="str">
        <x:v>Yes — bundled</x:v>
      </x:c>
      <x:c r="H808" s="90" t="str">
        <x:v>Clinical Workforce, Emergency &amp; Risk Leadership</x:v>
      </x:c>
      <x:c r="I808" s="90" t="str">
        <x:v>80% supervisor quiz; drills; 2-hour interactive harassment course every 2 years</x:v>
      </x:c>
      <x:c r="J808" s="90" t="str">
        <x:v>By day 14; before independent duty if earlier</x:v>
      </x:c>
      <x:c r="K808" s="90" t="str">
        <x:v>At hire; then on material revision</x:v>
      </x:c>
      <x:c r="L808" s="90" t="str">
        <x:v>Partial hold</x:v>
      </x:c>
      <x:c r="M808" s="90" t="str">
        <x:v>DON manages staffing, training, occupational clearance, emergencies, risk, performance, and supervisory employment obligations.</x:v>
      </x:c>
      <x:c r="N808" s="90" t="str">
        <x:v>12-allPoliciesContent.generated.ts — HR-TA-005</x:v>
      </x:c>
      <x:c r="O808" s="90" t="str"/>
      <x:c r="P808" s="90" t="str"/>
    </x:row>
    <x:row r="809" ht="42" customHeight="1">
      <x:c r="A809" s="90" t="str">
        <x:v>DON-08</x:v>
      </x:c>
      <x:c r="B809" s="90" t="str">
        <x:v>DON</x:v>
      </x:c>
      <x:c r="C809" s="90" t="str">
        <x:v>HR-TA-006</x:v>
      </x:c>
      <x:c r="D809" s="90" t="str">
        <x:v>Job Description &amp; Role Definition</x:v>
      </x:c>
      <x:c r="E809" s="90" t="str">
        <x:v>Core</x:v>
      </x:c>
      <x:c r="F809" s="90" t="str">
        <x:v>Yes</x:v>
      </x:c>
      <x:c r="G809" s="90" t="str">
        <x:v>Yes — bundled</x:v>
      </x:c>
      <x:c r="H809" s="90" t="str">
        <x:v>Clinical Workforce, Emergency &amp; Risk Leadership</x:v>
      </x:c>
      <x:c r="I809" s="90" t="str">
        <x:v>80% supervisor quiz; drills; 2-hour interactive harassment course every 2 years</x:v>
      </x:c>
      <x:c r="J809" s="90" t="str">
        <x:v>By day 14; before independent duty if earlier</x:v>
      </x:c>
      <x:c r="K809" s="90" t="str">
        <x:v>At hire; then on material revision</x:v>
      </x:c>
      <x:c r="L809" s="90" t="str">
        <x:v>Partial hold</x:v>
      </x:c>
      <x:c r="M809" s="90" t="str">
        <x:v>DON manages staffing, training, occupational clearance, emergencies, risk, performance, and supervisory employment obligations.</x:v>
      </x:c>
      <x:c r="N809" s="90" t="str">
        <x:v>12-allPoliciesContent.generated.ts — HR-TA-006</x:v>
      </x:c>
      <x:c r="O809" s="90" t="str"/>
      <x:c r="P809" s="90" t="str"/>
    </x:row>
    <x:row r="810" ht="42" customHeight="1">
      <x:c r="A810" s="90" t="str">
        <x:v>DON-08</x:v>
      </x:c>
      <x:c r="B810" s="90" t="str">
        <x:v>DON</x:v>
      </x:c>
      <x:c r="C810" s="90" t="str">
        <x:v>HR-TD-001</x:v>
      </x:c>
      <x:c r="D810" s="90" t="str">
        <x:v>Annual Mandatory Training Requirements</x:v>
      </x:c>
      <x:c r="E810" s="90" t="str">
        <x:v>Core</x:v>
      </x:c>
      <x:c r="F810" s="90" t="str">
        <x:v>Yes</x:v>
      </x:c>
      <x:c r="G810" s="90" t="str">
        <x:v>Yes — bundled</x:v>
      </x:c>
      <x:c r="H810" s="90" t="str">
        <x:v>Clinical Workforce, Emergency &amp; Risk Leadership</x:v>
      </x:c>
      <x:c r="I810" s="90" t="str">
        <x:v>80% supervisor quiz; drills; 2-hour interactive harassment course every 2 years</x:v>
      </x:c>
      <x:c r="J810" s="90" t="str">
        <x:v>By day 14; before independent duty if earlier</x:v>
      </x:c>
      <x:c r="K810" s="90" t="str">
        <x:v>At hire; then on material revision</x:v>
      </x:c>
      <x:c r="L810" s="90" t="str">
        <x:v>Partial hold</x:v>
      </x:c>
      <x:c r="M810" s="90" t="str">
        <x:v>DON manages staffing, training, occupational clearance, emergencies, risk, performance, and supervisory employment obligations.</x:v>
      </x:c>
      <x:c r="N810" s="90" t="str">
        <x:v>12-allPoliciesContent.generated.ts — HR-TD-001</x:v>
      </x:c>
      <x:c r="O810" s="90" t="str"/>
      <x:c r="P810" s="90" t="str"/>
    </x:row>
    <x:row r="811" ht="42" customHeight="1">
      <x:c r="A811" s="90" t="str">
        <x:v>DON-08</x:v>
      </x:c>
      <x:c r="B811" s="90" t="str">
        <x:v>DON</x:v>
      </x:c>
      <x:c r="C811" s="90" t="str">
        <x:v>HR-TD-003</x:v>
      </x:c>
      <x:c r="D811" s="90" t="str">
        <x:v>Clinical Staff Competency Evaluation</x:v>
      </x:c>
      <x:c r="E811" s="90" t="str">
        <x:v>Core</x:v>
      </x:c>
      <x:c r="F811" s="90" t="str">
        <x:v>Yes</x:v>
      </x:c>
      <x:c r="G811" s="90" t="str">
        <x:v>Yes — bundled</x:v>
      </x:c>
      <x:c r="H811" s="90" t="str">
        <x:v>Clinical Workforce, Emergency &amp; Risk Leadership</x:v>
      </x:c>
      <x:c r="I811" s="90" t="str">
        <x:v>80% supervisor quiz; drills; 2-hour interactive harassment course every 2 years</x:v>
      </x:c>
      <x:c r="J811" s="90" t="str">
        <x:v>By day 14; before independent duty if earlier</x:v>
      </x:c>
      <x:c r="K811" s="90" t="str">
        <x:v>At hire; then on material revision</x:v>
      </x:c>
      <x:c r="L811" s="90" t="str">
        <x:v>Partial hold</x:v>
      </x:c>
      <x:c r="M811" s="90" t="str">
        <x:v>DON manages staffing, training, occupational clearance, emergencies, risk, performance, and supervisory employment obligations.</x:v>
      </x:c>
      <x:c r="N811" s="90" t="str">
        <x:v>12-allPoliciesContent.generated.ts — HR-TD-003</x:v>
      </x:c>
      <x:c r="O811" s="90" t="str"/>
      <x:c r="P811" s="90" t="str"/>
    </x:row>
    <x:row r="812" ht="42" customHeight="1">
      <x:c r="A812" s="90" t="str">
        <x:v>DON-08</x:v>
      </x:c>
      <x:c r="B812" s="90" t="str">
        <x:v>DON</x:v>
      </x:c>
      <x:c r="C812" s="90" t="str">
        <x:v>HR-TD-005</x:v>
      </x:c>
      <x:c r="D812" s="90" t="str">
        <x:v>Emergency Preparedness Training &amp; Drills</x:v>
      </x:c>
      <x:c r="E812" s="90" t="str">
        <x:v>Core</x:v>
      </x:c>
      <x:c r="F812" s="90" t="str">
        <x:v>Yes</x:v>
      </x:c>
      <x:c r="G812" s="90" t="str">
        <x:v>Yes — bundled</x:v>
      </x:c>
      <x:c r="H812" s="90" t="str">
        <x:v>Clinical Workforce, Emergency &amp; Risk Leadership</x:v>
      </x:c>
      <x:c r="I812" s="90" t="str">
        <x:v>80% supervisor quiz; drills; 2-hour interactive harassment course every 2 years</x:v>
      </x:c>
      <x:c r="J812" s="90" t="str">
        <x:v>By day 14; before independent duty if earlier</x:v>
      </x:c>
      <x:c r="K812" s="90" t="str">
        <x:v>At hire; then on material revision</x:v>
      </x:c>
      <x:c r="L812" s="90" t="str">
        <x:v>Partial hold</x:v>
      </x:c>
      <x:c r="M812" s="90" t="str">
        <x:v>DON manages staffing, training, occupational clearance, emergencies, risk, performance, and supervisory employment obligations.</x:v>
      </x:c>
      <x:c r="N812" s="90" t="str">
        <x:v>12-allPoliciesContent.generated.ts — HR-TD-005</x:v>
      </x:c>
      <x:c r="O812" s="90" t="str"/>
      <x:c r="P812" s="90" t="str"/>
    </x:row>
    <x:row r="813" ht="42" customHeight="1">
      <x:c r="A813" s="90" t="str">
        <x:v>DON-08</x:v>
      </x:c>
      <x:c r="B813" s="90" t="str">
        <x:v>DON</x:v>
      </x:c>
      <x:c r="C813" s="90" t="str">
        <x:v>HR-TR-101</x:v>
      </x:c>
      <x:c r="D813" s="90" t="str">
        <x:v>Workforce Training, Competency &amp; Policy Acknowledgment</x:v>
      </x:c>
      <x:c r="E813" s="90" t="str">
        <x:v>Core</x:v>
      </x:c>
      <x:c r="F813" s="90" t="str">
        <x:v>Yes</x:v>
      </x:c>
      <x:c r="G813" s="90" t="str">
        <x:v>Yes — bundled</x:v>
      </x:c>
      <x:c r="H813" s="90" t="str">
        <x:v>Clinical Workforce, Emergency &amp; Risk Leadership</x:v>
      </x:c>
      <x:c r="I813" s="90" t="str">
        <x:v>80% supervisor quiz; drills; 2-hour interactive harassment course every 2 years</x:v>
      </x:c>
      <x:c r="J813" s="90" t="str">
        <x:v>By day 14; before independent duty if earlier</x:v>
      </x:c>
      <x:c r="K813" s="90" t="str">
        <x:v>At hire; then on material revision</x:v>
      </x:c>
      <x:c r="L813" s="90" t="str">
        <x:v>Partial hold</x:v>
      </x:c>
      <x:c r="M813" s="90" t="str">
        <x:v>DON manages staffing, training, occupational clearance, emergencies, risk, performance, and supervisory employment obligations.</x:v>
      </x:c>
      <x:c r="N813" s="90" t="str">
        <x:v>12-allPoliciesContent.generated.ts — HR-TR-101</x:v>
      </x:c>
      <x:c r="O813" s="90" t="str"/>
      <x:c r="P813" s="90" t="str"/>
    </x:row>
    <x:row r="814" ht="42" customHeight="1">
      <x:c r="A814" s="90" t="str">
        <x:v>DON-08</x:v>
      </x:c>
      <x:c r="B814" s="90" t="str">
        <x:v>DON</x:v>
      </x:c>
      <x:c r="C814" s="90" t="str">
        <x:v>HR-WM-001</x:v>
      </x:c>
      <x:c r="D814" s="90" t="str">
        <x:v>Staffing Levels &amp; Workload Management</x:v>
      </x:c>
      <x:c r="E814" s="90" t="str">
        <x:v>Core</x:v>
      </x:c>
      <x:c r="F814" s="90" t="str">
        <x:v>Yes</x:v>
      </x:c>
      <x:c r="G814" s="90" t="str">
        <x:v>Yes — bundled</x:v>
      </x:c>
      <x:c r="H814" s="90" t="str">
        <x:v>Clinical Workforce, Emergency &amp; Risk Leadership</x:v>
      </x:c>
      <x:c r="I814" s="90" t="str">
        <x:v>80% supervisor quiz; drills; 2-hour interactive harassment course every 2 years</x:v>
      </x:c>
      <x:c r="J814" s="90" t="str">
        <x:v>By day 14; before independent duty if earlier</x:v>
      </x:c>
      <x:c r="K814" s="90" t="str">
        <x:v>At hire; then on material revision</x:v>
      </x:c>
      <x:c r="L814" s="90" t="str">
        <x:v>Partial hold</x:v>
      </x:c>
      <x:c r="M814" s="90" t="str">
        <x:v>DON manages staffing, training, occupational clearance, emergencies, risk, performance, and supervisory employment obligations.</x:v>
      </x:c>
      <x:c r="N814" s="90" t="str">
        <x:v>12-allPoliciesContent.generated.ts — HR-WM-001</x:v>
      </x:c>
      <x:c r="O814" s="90" t="str"/>
      <x:c r="P814" s="90" t="str"/>
    </x:row>
    <x:row r="815" ht="42" customHeight="1">
      <x:c r="A815" s="90" t="str">
        <x:v>DON-08</x:v>
      </x:c>
      <x:c r="B815" s="90" t="str">
        <x:v>DON</x:v>
      </x:c>
      <x:c r="C815" s="90" t="str">
        <x:v>HR-WM-003</x:v>
      </x:c>
      <x:c r="D815" s="90" t="str">
        <x:v>Employee Health &amp; Immunization Requirements</x:v>
      </x:c>
      <x:c r="E815" s="90" t="str">
        <x:v>Core</x:v>
      </x:c>
      <x:c r="F815" s="90" t="str">
        <x:v>Yes</x:v>
      </x:c>
      <x:c r="G815" s="90" t="str">
        <x:v>Yes — bundled</x:v>
      </x:c>
      <x:c r="H815" s="90" t="str">
        <x:v>Clinical Workforce, Emergency &amp; Risk Leadership</x:v>
      </x:c>
      <x:c r="I815" s="90" t="str">
        <x:v>80% supervisor quiz; drills; 2-hour interactive harassment course every 2 years</x:v>
      </x:c>
      <x:c r="J815" s="90" t="str">
        <x:v>By day 14; before independent duty if earlier</x:v>
      </x:c>
      <x:c r="K815" s="90" t="str">
        <x:v>At hire; then on material revision</x:v>
      </x:c>
      <x:c r="L815" s="90" t="str">
        <x:v>Partial hold</x:v>
      </x:c>
      <x:c r="M815" s="90" t="str">
        <x:v>DON manages staffing, training, occupational clearance, emergencies, risk, performance, and supervisory employment obligations.</x:v>
      </x:c>
      <x:c r="N815" s="90" t="str">
        <x:v>12-allPoliciesContent.generated.ts — HR-WM-003</x:v>
      </x:c>
      <x:c r="O815" s="90" t="str"/>
      <x:c r="P815" s="90" t="str"/>
    </x:row>
    <x:row r="816" ht="42" customHeight="1">
      <x:c r="A816" s="90" t="str">
        <x:v>DON-08</x:v>
      </x:c>
      <x:c r="B816" s="90" t="str">
        <x:v>DON</x:v>
      </x:c>
      <x:c r="C816" s="90" t="str">
        <x:v>HR-WM-004</x:v>
      </x:c>
      <x:c r="D816" s="90" t="str">
        <x:v>Workplace Safety &amp; Injury Prevention</x:v>
      </x:c>
      <x:c r="E816" s="90" t="str">
        <x:v>Core</x:v>
      </x:c>
      <x:c r="F816" s="90" t="str">
        <x:v>Yes</x:v>
      </x:c>
      <x:c r="G816" s="90" t="str">
        <x:v>Yes — bundled</x:v>
      </x:c>
      <x:c r="H816" s="90" t="str">
        <x:v>Clinical Workforce, Emergency &amp; Risk Leadership</x:v>
      </x:c>
      <x:c r="I816" s="90" t="str">
        <x:v>80% supervisor quiz; drills; 2-hour interactive harassment course every 2 years</x:v>
      </x:c>
      <x:c r="J816" s="90" t="str">
        <x:v>By day 14; before independent duty if earlier</x:v>
      </x:c>
      <x:c r="K816" s="90" t="str">
        <x:v>At hire; then on material revision</x:v>
      </x:c>
      <x:c r="L816" s="90" t="str">
        <x:v>Partial hold</x:v>
      </x:c>
      <x:c r="M816" s="90" t="str">
        <x:v>DON manages staffing, training, occupational clearance, emergencies, risk, performance, and supervisory employment obligations.</x:v>
      </x:c>
      <x:c r="N816" s="90" t="str">
        <x:v>12-allPoliciesContent.generated.ts — HR-WM-004</x:v>
      </x:c>
      <x:c r="O816" s="90" t="str"/>
      <x:c r="P816" s="90" t="str"/>
    </x:row>
    <x:row r="817" ht="42" customHeight="1">
      <x:c r="A817" s="90" t="str">
        <x:v>DON-08</x:v>
      </x:c>
      <x:c r="B817" s="90" t="str">
        <x:v>DON</x:v>
      </x:c>
      <x:c r="C817" s="90" t="str">
        <x:v>HR-WM-007</x:v>
      </x:c>
      <x:c r="D817" s="90" t="str">
        <x:v>Personnel File Content &amp; Compliance</x:v>
      </x:c>
      <x:c r="E817" s="90" t="str">
        <x:v>Core</x:v>
      </x:c>
      <x:c r="F817" s="90" t="str">
        <x:v>Yes</x:v>
      </x:c>
      <x:c r="G817" s="90" t="str">
        <x:v>Yes — bundled</x:v>
      </x:c>
      <x:c r="H817" s="90" t="str">
        <x:v>Clinical Workforce, Emergency &amp; Risk Leadership</x:v>
      </x:c>
      <x:c r="I817" s="90" t="str">
        <x:v>80% supervisor quiz; drills; 2-hour interactive harassment course every 2 years</x:v>
      </x:c>
      <x:c r="J817" s="90" t="str">
        <x:v>By day 14; before independent duty if earlier</x:v>
      </x:c>
      <x:c r="K817" s="90" t="str">
        <x:v>At hire; then on material revision</x:v>
      </x:c>
      <x:c r="L817" s="90" t="str">
        <x:v>Partial hold</x:v>
      </x:c>
      <x:c r="M817" s="90" t="str">
        <x:v>DON manages staffing, training, occupational clearance, emergencies, risk, performance, and supervisory employment obligations.</x:v>
      </x:c>
      <x:c r="N817" s="90" t="str">
        <x:v>12-allPoliciesContent.generated.ts — HR-WM-007</x:v>
      </x:c>
      <x:c r="O817" s="90" t="str"/>
      <x:c r="P817" s="90" t="str"/>
    </x:row>
    <x:row r="818" ht="42" customHeight="1">
      <x:c r="A818" s="90" t="str">
        <x:v>DON-08</x:v>
      </x:c>
      <x:c r="B818" s="90" t="str">
        <x:v>DON</x:v>
      </x:c>
      <x:c r="C818" s="90" t="str">
        <x:v>HR-ER-001</x:v>
      </x:c>
      <x:c r="D818" s="90" t="str">
        <x:v>Performance Evaluation &amp; Review</x:v>
      </x:c>
      <x:c r="E818" s="90" t="str">
        <x:v>Core</x:v>
      </x:c>
      <x:c r="F818" s="90" t="str">
        <x:v>Yes</x:v>
      </x:c>
      <x:c r="G818" s="90" t="str">
        <x:v>Yes — bundled</x:v>
      </x:c>
      <x:c r="H818" s="90" t="str">
        <x:v>Clinical Workforce, Emergency &amp; Risk Leadership</x:v>
      </x:c>
      <x:c r="I818" s="90" t="str">
        <x:v>80% supervisor quiz; drills; 2-hour interactive harassment course every 2 years</x:v>
      </x:c>
      <x:c r="J818" s="90" t="str">
        <x:v>By day 14; before independent duty if earlier</x:v>
      </x:c>
      <x:c r="K818" s="90" t="str">
        <x:v>At hire; then on material revision</x:v>
      </x:c>
      <x:c r="L818" s="90" t="str">
        <x:v>Partial hold</x:v>
      </x:c>
      <x:c r="M818" s="90" t="str">
        <x:v>DON manages staffing, training, occupational clearance, emergencies, risk, performance, and supervisory employment obligations.</x:v>
      </x:c>
      <x:c r="N818" s="90" t="str">
        <x:v>12-allPoliciesContent.generated.ts — HR-ER-001</x:v>
      </x:c>
      <x:c r="O818" s="90" t="str"/>
      <x:c r="P818" s="90" t="str"/>
    </x:row>
    <x:row r="819" ht="42" customHeight="1">
      <x:c r="A819" s="90" t="str">
        <x:v>DON-08</x:v>
      </x:c>
      <x:c r="B819" s="90" t="str">
        <x:v>DON</x:v>
      </x:c>
      <x:c r="C819" s="90" t="str">
        <x:v>HR-ER-002</x:v>
      </x:c>
      <x:c r="D819" s="90" t="str">
        <x:v>Disciplinary Action &amp; Progressive Discipline</x:v>
      </x:c>
      <x:c r="E819" s="90" t="str">
        <x:v>Core</x:v>
      </x:c>
      <x:c r="F819" s="90" t="str">
        <x:v>Yes</x:v>
      </x:c>
      <x:c r="G819" s="90" t="str">
        <x:v>Yes — bundled</x:v>
      </x:c>
      <x:c r="H819" s="90" t="str">
        <x:v>Clinical Workforce, Emergency &amp; Risk Leadership</x:v>
      </x:c>
      <x:c r="I819" s="90" t="str">
        <x:v>80% supervisor quiz; drills; 2-hour interactive harassment course every 2 years</x:v>
      </x:c>
      <x:c r="J819" s="90" t="str">
        <x:v>By day 14; before independent duty if earlier</x:v>
      </x:c>
      <x:c r="K819" s="90" t="str">
        <x:v>At hire; then on material revision</x:v>
      </x:c>
      <x:c r="L819" s="90" t="str">
        <x:v>Partial hold</x:v>
      </x:c>
      <x:c r="M819" s="90" t="str">
        <x:v>DON manages staffing, training, occupational clearance, emergencies, risk, performance, and supervisory employment obligations.</x:v>
      </x:c>
      <x:c r="N819" s="90" t="str">
        <x:v>12-allPoliciesContent.generated.ts — HR-ER-002</x:v>
      </x:c>
      <x:c r="O819" s="90" t="str"/>
      <x:c r="P819" s="90" t="str"/>
    </x:row>
    <x:row r="820" ht="42" customHeight="1">
      <x:c r="A820" s="90" t="str">
        <x:v>DON-08</x:v>
      </x:c>
      <x:c r="B820" s="90" t="str">
        <x:v>DON</x:v>
      </x:c>
      <x:c r="C820" s="90" t="str">
        <x:v>HR-ER-004</x:v>
      </x:c>
      <x:c r="D820" s="90" t="str">
        <x:v>Anti-Harassment &amp; Non-Discrimination</x:v>
      </x:c>
      <x:c r="E820" s="90" t="str">
        <x:v>Hold</x:v>
      </x:c>
      <x:c r="F820" s="90" t="str">
        <x:v>Yes</x:v>
      </x:c>
      <x:c r="G820" s="90" t="str">
        <x:v>Yes — bundled</x:v>
      </x:c>
      <x:c r="H820" s="90" t="str">
        <x:v>Clinical Workforce, Emergency &amp; Risk Leadership</x:v>
      </x:c>
      <x:c r="I820" s="90" t="str">
        <x:v>80% supervisor quiz; drills; 2-hour interactive harassment course every 2 years</x:v>
      </x:c>
      <x:c r="J820" s="90" t="str">
        <x:v>By day 14; before independent duty if earlier</x:v>
      </x:c>
      <x:c r="K820" s="90" t="str">
        <x:v>At hire; then on material revision</x:v>
      </x:c>
      <x:c r="L820" s="90" t="str">
        <x:v>Hold</x:v>
      </x:c>
      <x:c r="M820" s="90" t="str">
        <x:v>DON manages staffing, training, occupational clearance, emergencies, risk, performance, and supervisory employment obligations.</x:v>
      </x:c>
      <x:c r="N820" s="90" t="str">
        <x:v>12-allPoliciesContent.generated.ts — HR-ER-004</x:v>
      </x:c>
      <x:c r="O820" s="90" t="str">
        <x:v>https://calcivilrights.ca.gov/Employment/</x:v>
      </x:c>
      <x:c r="P820" s="90" t="str"/>
    </x:row>
    <x:row r="821" ht="42" customHeight="1">
      <x:c r="A821" s="90" t="str">
        <x:v>DON-08</x:v>
      </x:c>
      <x:c r="B821" s="90" t="str">
        <x:v>DON</x:v>
      </x:c>
      <x:c r="C821" s="90" t="str">
        <x:v>RM-EP-001</x:v>
      </x:c>
      <x:c r="D821" s="90" t="str">
        <x:v>Emergency Preparedness Program</x:v>
      </x:c>
      <x:c r="E821" s="90" t="str">
        <x:v>Core</x:v>
      </x:c>
      <x:c r="F821" s="90" t="str">
        <x:v>Yes</x:v>
      </x:c>
      <x:c r="G821" s="90" t="str">
        <x:v>Yes — bundled</x:v>
      </x:c>
      <x:c r="H821" s="90" t="str">
        <x:v>Clinical Workforce, Emergency &amp; Risk Leadership</x:v>
      </x:c>
      <x:c r="I821" s="90" t="str">
        <x:v>80% supervisor quiz; drills; 2-hour interactive harassment course every 2 years</x:v>
      </x:c>
      <x:c r="J821" s="90" t="str">
        <x:v>By day 14; before independent duty if earlier</x:v>
      </x:c>
      <x:c r="K821" s="90" t="str">
        <x:v>At hire; then on material revision</x:v>
      </x:c>
      <x:c r="L821" s="90" t="str">
        <x:v>Partial hold</x:v>
      </x:c>
      <x:c r="M821" s="90" t="str">
        <x:v>DON manages staffing, training, occupational clearance, emergencies, risk, performance, and supervisory employment obligations.</x:v>
      </x:c>
      <x:c r="N821" s="90" t="str">
        <x:v>12-allPoliciesContent.generated.ts — RM-EP-001</x:v>
      </x:c>
      <x:c r="O821" s="90" t="str">
        <x:v>https://www.ecfr.gov/current/title-42/part-484/section-484.102</x:v>
      </x:c>
      <x:c r="P821" s="90" t="str"/>
    </x:row>
    <x:row r="822" ht="42" customHeight="1">
      <x:c r="A822" s="90" t="str">
        <x:v>DON-08</x:v>
      </x:c>
      <x:c r="B822" s="90" t="str">
        <x:v>DON</x:v>
      </x:c>
      <x:c r="C822" s="90" t="str">
        <x:v>RM-EP-002</x:v>
      </x:c>
      <x:c r="D822" s="90" t="str">
        <x:v>Emergency Preparedness Training &amp; Testing Program</x:v>
      </x:c>
      <x:c r="E822" s="90" t="str">
        <x:v>Core</x:v>
      </x:c>
      <x:c r="F822" s="90" t="str">
        <x:v>Yes</x:v>
      </x:c>
      <x:c r="G822" s="90" t="str">
        <x:v>Yes — bundled</x:v>
      </x:c>
      <x:c r="H822" s="90" t="str">
        <x:v>Clinical Workforce, Emergency &amp; Risk Leadership</x:v>
      </x:c>
      <x:c r="I822" s="90" t="str">
        <x:v>80% supervisor quiz; drills; 2-hour interactive harassment course every 2 years</x:v>
      </x:c>
      <x:c r="J822" s="90" t="str">
        <x:v>By day 14; before independent duty if earlier</x:v>
      </x:c>
      <x:c r="K822" s="90" t="str">
        <x:v>At hire; then on material revision</x:v>
      </x:c>
      <x:c r="L822" s="90" t="str">
        <x:v>Partial hold</x:v>
      </x:c>
      <x:c r="M822" s="90" t="str">
        <x:v>DON manages staffing, training, occupational clearance, emergencies, risk, performance, and supervisory employment obligations.</x:v>
      </x:c>
      <x:c r="N822" s="90" t="str">
        <x:v>12-allPoliciesContent.generated.ts — RM-EP-002</x:v>
      </x:c>
      <x:c r="O822" s="90" t="str">
        <x:v>https://www.ecfr.gov/current/title-42/part-484/section-484.102</x:v>
      </x:c>
      <x:c r="P822" s="90" t="str"/>
    </x:row>
    <x:row r="823" ht="42" customHeight="1">
      <x:c r="A823" s="90" t="str">
        <x:v>DON-08</x:v>
      </x:c>
      <x:c r="B823" s="90" t="str">
        <x:v>DON</x:v>
      </x:c>
      <x:c r="C823" s="90" t="str">
        <x:v>RM-EP-003</x:v>
      </x:c>
      <x:c r="D823" s="90" t="str">
        <x:v>Patient Emergency Communication Plan</x:v>
      </x:c>
      <x:c r="E823" s="90" t="str">
        <x:v>Core</x:v>
      </x:c>
      <x:c r="F823" s="90" t="str">
        <x:v>Yes</x:v>
      </x:c>
      <x:c r="G823" s="90" t="str">
        <x:v>Yes — bundled</x:v>
      </x:c>
      <x:c r="H823" s="90" t="str">
        <x:v>Clinical Workforce, Emergency &amp; Risk Leadership</x:v>
      </x:c>
      <x:c r="I823" s="90" t="str">
        <x:v>80% supervisor quiz; drills; 2-hour interactive harassment course every 2 years</x:v>
      </x:c>
      <x:c r="J823" s="90" t="str">
        <x:v>By day 14; before independent duty if earlier</x:v>
      </x:c>
      <x:c r="K823" s="90" t="str">
        <x:v>At hire; then on material revision</x:v>
      </x:c>
      <x:c r="L823" s="90" t="str">
        <x:v>Partial hold</x:v>
      </x:c>
      <x:c r="M823" s="90" t="str">
        <x:v>DON manages staffing, training, occupational clearance, emergencies, risk, performance, and supervisory employment obligations.</x:v>
      </x:c>
      <x:c r="N823" s="90" t="str">
        <x:v>12-allPoliciesContent.generated.ts — RM-EP-003</x:v>
      </x:c>
      <x:c r="O823" s="90" t="str">
        <x:v>https://www.ecfr.gov/current/title-42/part-484/section-484.102</x:v>
      </x:c>
      <x:c r="P823" s="90" t="str"/>
    </x:row>
    <x:row r="824" ht="42" customHeight="1">
      <x:c r="A824" s="90" t="str">
        <x:v>DON-08</x:v>
      </x:c>
      <x:c r="B824" s="90" t="str">
        <x:v>DON</x:v>
      </x:c>
      <x:c r="C824" s="90" t="str">
        <x:v>RM-ER-001</x:v>
      </x:c>
      <x:c r="D824" s="90" t="str">
        <x:v>Enterprise Risk Management Program</x:v>
      </x:c>
      <x:c r="E824" s="90" t="str">
        <x:v>Core</x:v>
      </x:c>
      <x:c r="F824" s="90" t="str">
        <x:v>Yes</x:v>
      </x:c>
      <x:c r="G824" s="90" t="str">
        <x:v>Yes — bundled</x:v>
      </x:c>
      <x:c r="H824" s="90" t="str">
        <x:v>Clinical Workforce, Emergency &amp; Risk Leadership</x:v>
      </x:c>
      <x:c r="I824" s="90" t="str">
        <x:v>80% supervisor quiz; drills; 2-hour interactive harassment course every 2 years</x:v>
      </x:c>
      <x:c r="J824" s="90" t="str">
        <x:v>By day 14; before independent duty if earlier</x:v>
      </x:c>
      <x:c r="K824" s="90" t="str">
        <x:v>At hire; then on material revision</x:v>
      </x:c>
      <x:c r="L824" s="90" t="str">
        <x:v>Partial hold</x:v>
      </x:c>
      <x:c r="M824" s="90" t="str">
        <x:v>DON manages staffing, training, occupational clearance, emergencies, risk, performance, and supervisory employment obligations.</x:v>
      </x:c>
      <x:c r="N824" s="90" t="str">
        <x:v>12-allPoliciesContent.generated.ts — RM-ER-001</x:v>
      </x:c>
      <x:c r="O824" s="90" t="str"/>
      <x:c r="P824" s="90" t="str"/>
    </x:row>
    <x:row r="825" ht="42" customHeight="1">
      <x:c r="A825" s="90" t="str">
        <x:v>DON-08</x:v>
      </x:c>
      <x:c r="B825" s="90" t="str">
        <x:v>DON</x:v>
      </x:c>
      <x:c r="C825" s="90" t="str">
        <x:v>RM-ER-002</x:v>
      </x:c>
      <x:c r="D825" s="90" t="str">
        <x:v>Incident Reporting &amp; Investigation</x:v>
      </x:c>
      <x:c r="E825" s="90" t="str">
        <x:v>Core</x:v>
      </x:c>
      <x:c r="F825" s="90" t="str">
        <x:v>Yes</x:v>
      </x:c>
      <x:c r="G825" s="90" t="str">
        <x:v>Yes — bundled</x:v>
      </x:c>
      <x:c r="H825" s="90" t="str">
        <x:v>Clinical Workforce, Emergency &amp; Risk Leadership</x:v>
      </x:c>
      <x:c r="I825" s="90" t="str">
        <x:v>80% supervisor quiz; drills; 2-hour interactive harassment course every 2 years</x:v>
      </x:c>
      <x:c r="J825" s="90" t="str">
        <x:v>By day 14; before independent duty if earlier</x:v>
      </x:c>
      <x:c r="K825" s="90" t="str">
        <x:v>At hire; then on material revision</x:v>
      </x:c>
      <x:c r="L825" s="90" t="str">
        <x:v>Partial hold</x:v>
      </x:c>
      <x:c r="M825" s="90" t="str">
        <x:v>DON manages staffing, training, occupational clearance, emergencies, risk, performance, and supervisory employment obligations.</x:v>
      </x:c>
      <x:c r="N825" s="90" t="str">
        <x:v>12-allPoliciesContent.generated.ts — RM-ER-002</x:v>
      </x:c>
      <x:c r="O825" s="90" t="str"/>
      <x:c r="P825" s="90" t="str"/>
    </x:row>
    <x:row r="826" ht="42" customHeight="1">
      <x:c r="A826" s="90" t="str">
        <x:v>DON-08</x:v>
      </x:c>
      <x:c r="B826" s="90" t="str">
        <x:v>DON</x:v>
      </x:c>
      <x:c r="C826" s="90" t="str">
        <x:v>RM-ER-003</x:v>
      </x:c>
      <x:c r="D826" s="90" t="str">
        <x:v>Risk Assessment &amp; Prioritization</x:v>
      </x:c>
      <x:c r="E826" s="90" t="str">
        <x:v>Core</x:v>
      </x:c>
      <x:c r="F826" s="90" t="str">
        <x:v>Yes</x:v>
      </x:c>
      <x:c r="G826" s="90" t="str">
        <x:v>Yes — bundled</x:v>
      </x:c>
      <x:c r="H826" s="90" t="str">
        <x:v>Clinical Workforce, Emergency &amp; Risk Leadership</x:v>
      </x:c>
      <x:c r="I826" s="90" t="str">
        <x:v>80% supervisor quiz; drills; 2-hour interactive harassment course every 2 years</x:v>
      </x:c>
      <x:c r="J826" s="90" t="str">
        <x:v>By day 14; before independent duty if earlier</x:v>
      </x:c>
      <x:c r="K826" s="90" t="str">
        <x:v>At hire; then on material revision</x:v>
      </x:c>
      <x:c r="L826" s="90" t="str">
        <x:v>Partial hold</x:v>
      </x:c>
      <x:c r="M826" s="90" t="str">
        <x:v>DON manages staffing, training, occupational clearance, emergencies, risk, performance, and supervisory employment obligations.</x:v>
      </x:c>
      <x:c r="N826" s="90" t="str">
        <x:v>12-allPoliciesContent.generated.ts — RM-ER-003</x:v>
      </x:c>
      <x:c r="O826" s="90" t="str"/>
      <x:c r="P826" s="90" t="str"/>
    </x:row>
    <x:row r="827" ht="42" customHeight="1">
      <x:c r="A827" s="90" t="str">
        <x:v>GB-01</x:v>
      </x:c>
      <x:c r="B827" s="90" t="str">
        <x:v>GB</x:v>
      </x:c>
      <x:c r="C827" s="90" t="str">
        <x:v>GV-GB-001</x:v>
      </x:c>
      <x:c r="D827" s="90" t="str">
        <x:v>Governing Body Authority &amp; Responsibilities (absent from generated library)</x:v>
      </x:c>
      <x:c r="E827" s="90" t="str">
        <x:v>Hold</x:v>
      </x:c>
      <x:c r="F827" s="90" t="str">
        <x:v>Yes</x:v>
      </x:c>
      <x:c r="G827" s="90" t="str">
        <x:v>Yes — bundled</x:v>
      </x:c>
      <x:c r="H827" s="90" t="str">
        <x:v>Governing Body Authority &amp; Responsibilities</x:v>
      </x:c>
      <x:c r="I827" s="90" t="str">
        <x:v>80% governance scenario quiz</x:v>
      </x:c>
      <x:c r="J827" s="90" t="str">
        <x:v>Before voting/acting independently</x:v>
      </x:c>
      <x:c r="K827" s="90" t="str">
        <x:v>At hire; then on material revision</x:v>
      </x:c>
      <x:c r="L827" s="90" t="str">
        <x:v>Hold</x:v>
      </x:c>
      <x:c r="M827" s="90" t="str">
        <x:v>Foundational board authority policy must be present in the LMS source before assignment.</x:v>
      </x:c>
      <x:c r="N827" s="90" t="str">
        <x:v>07-ALL_POLICIES.md (raw body); absent from 12-allPoliciesContent.generated.ts</x:v>
      </x:c>
      <x:c r="O827" s="90" t="str">
        <x:v>https://www.ecfr.gov/current/title-42/part-484/section-484.105</x:v>
      </x:c>
      <x:c r="P827" s="90" t="str"/>
    </x:row>
    <x:row r="828" ht="42" customHeight="1">
      <x:c r="A828" s="90" t="str">
        <x:v>GB-02</x:v>
      </x:c>
      <x:c r="B828" s="90" t="str">
        <x:v>GB</x:v>
      </x:c>
      <x:c r="C828" s="90" t="str">
        <x:v>GV-GB-002</x:v>
      </x:c>
      <x:c r="D828" s="90" t="str">
        <x:v>Board Meeting &amp; Minutes Requirements</x:v>
      </x:c>
      <x:c r="E828" s="90" t="str">
        <x:v>Core</x:v>
      </x:c>
      <x:c r="F828" s="90" t="str">
        <x:v>Yes</x:v>
      </x:c>
      <x:c r="G828" s="90" t="str">
        <x:v>Yes — bundled</x:v>
      </x:c>
      <x:c r="H828" s="90" t="str">
        <x:v>Board Meetings, Minutes &amp; Evidence</x:v>
      </x:c>
      <x:c r="I828" s="90" t="str">
        <x:v>80% quiz</x:v>
      </x:c>
      <x:c r="J828" s="90" t="str">
        <x:v>By day 14; before independent duty if earlier</x:v>
      </x:c>
      <x:c r="K828" s="90" t="str">
        <x:v>At hire; then on material revision</x:v>
      </x:c>
      <x:c r="L828" s="90" t="str">
        <x:v>Ready</x:v>
      </x:c>
      <x:c r="M828" s="90" t="str">
        <x:v>Board members need meeting, quorum, minutes, and record expectations.</x:v>
      </x:c>
      <x:c r="N828" s="90" t="str">
        <x:v>12-allPoliciesContent.generated.ts — GV-GB-002</x:v>
      </x:c>
      <x:c r="O828" s="90" t="str">
        <x:v>https://www.ecfr.gov/current/title-42/part-484/section-484.105</x:v>
      </x:c>
      <x:c r="P828" s="90" t="str"/>
    </x:row>
    <x:row r="829" ht="42" customHeight="1">
      <x:c r="A829" s="90" t="str">
        <x:v>GB-03</x:v>
      </x:c>
      <x:c r="B829" s="90" t="str">
        <x:v>GB</x:v>
      </x:c>
      <x:c r="C829" s="90" t="str">
        <x:v>GV-GB-003</x:v>
      </x:c>
      <x:c r="D829" s="90" t="str">
        <x:v>Conflict of Interest Disclosure</x:v>
      </x:c>
      <x:c r="E829" s="90" t="str">
        <x:v>Core</x:v>
      </x:c>
      <x:c r="F829" s="90" t="str">
        <x:v>Yes</x:v>
      </x:c>
      <x:c r="G829" s="90" t="str">
        <x:v>Yes — bundled</x:v>
      </x:c>
      <x:c r="H829" s="90" t="str">
        <x:v>Conflict of Interest, Ethics &amp; Referral Integrity</x:v>
      </x:c>
      <x:c r="I829" s="90" t="str">
        <x:v>80% scenario quiz + disclosure</x:v>
      </x:c>
      <x:c r="J829" s="90" t="str">
        <x:v>By day 14; before independent duty if earlier</x:v>
      </x:c>
      <x:c r="K829" s="90" t="str">
        <x:v>Initial + annual disclosure</x:v>
      </x:c>
      <x:c r="L829" s="90" t="str">
        <x:v>Ready</x:v>
      </x:c>
      <x:c r="M829" s="90" t="str">
        <x:v>Board decisions require disclosure, recusal, ethics, and referral-law awareness.</x:v>
      </x:c>
      <x:c r="N829" s="90" t="str">
        <x:v>12-allPoliciesContent.generated.ts — GV-GB-003</x:v>
      </x:c>
      <x:c r="O829" s="90" t="str">
        <x:v>https://www.ecfr.gov/current/title-42/part-484/section-484.105</x:v>
      </x:c>
      <x:c r="P829" s="90" t="str"/>
    </x:row>
    <x:row r="830" ht="42" customHeight="1">
      <x:c r="A830" s="90" t="str">
        <x:v>GB-03</x:v>
      </x:c>
      <x:c r="B830" s="90" t="str">
        <x:v>GB</x:v>
      </x:c>
      <x:c r="C830" s="90" t="str">
        <x:v>CO-CP-004</x:v>
      </x:c>
      <x:c r="D830" s="90" t="str">
        <x:v>Code of Conduct &amp; Ethics</x:v>
      </x:c>
      <x:c r="E830" s="90" t="str">
        <x:v>Core</x:v>
      </x:c>
      <x:c r="F830" s="90" t="str">
        <x:v>Yes</x:v>
      </x:c>
      <x:c r="G830" s="90" t="str">
        <x:v>Yes — bundled</x:v>
      </x:c>
      <x:c r="H830" s="90" t="str">
        <x:v>Conflict of Interest, Ethics &amp; Referral Integrity</x:v>
      </x:c>
      <x:c r="I830" s="90" t="str">
        <x:v>80% scenario quiz + disclosure</x:v>
      </x:c>
      <x:c r="J830" s="90" t="str">
        <x:v>By day 14; before independent duty if earlier</x:v>
      </x:c>
      <x:c r="K830" s="90" t="str">
        <x:v>Initial + annual disclosure</x:v>
      </x:c>
      <x:c r="L830" s="90" t="str">
        <x:v>Ready</x:v>
      </x:c>
      <x:c r="M830" s="90" t="str">
        <x:v>Board decisions require disclosure, recusal, ethics, and referral-law awareness.</x:v>
      </x:c>
      <x:c r="N830" s="90" t="str">
        <x:v>12-allPoliciesContent.generated.ts — CO-CP-004</x:v>
      </x:c>
      <x:c r="O830" s="90" t="str"/>
      <x:c r="P830" s="90" t="str"/>
    </x:row>
    <x:row r="831" ht="42" customHeight="1">
      <x:c r="A831" s="90" t="str">
        <x:v>GB-03</x:v>
      </x:c>
      <x:c r="B831" s="90" t="str">
        <x:v>GB</x:v>
      </x:c>
      <x:c r="C831" s="90" t="str">
        <x:v>CO-FA-001</x:v>
      </x:c>
      <x:c r="D831" s="90" t="str">
        <x:v>Anti-Kickback &amp; Stark Law Compliance</x:v>
      </x:c>
      <x:c r="E831" s="90" t="str">
        <x:v>Core</x:v>
      </x:c>
      <x:c r="F831" s="90" t="str">
        <x:v>Yes</x:v>
      </x:c>
      <x:c r="G831" s="90" t="str">
        <x:v>Yes — bundled</x:v>
      </x:c>
      <x:c r="H831" s="90" t="str">
        <x:v>Conflict of Interest, Ethics &amp; Referral Integrity</x:v>
      </x:c>
      <x:c r="I831" s="90" t="str">
        <x:v>80% scenario quiz + disclosure</x:v>
      </x:c>
      <x:c r="J831" s="90" t="str">
        <x:v>By day 14; before independent duty if earlier</x:v>
      </x:c>
      <x:c r="K831" s="90" t="str">
        <x:v>Initial + annual disclosure</x:v>
      </x:c>
      <x:c r="L831" s="90" t="str">
        <x:v>Ready</x:v>
      </x:c>
      <x:c r="M831" s="90" t="str">
        <x:v>Board decisions require disclosure, recusal, ethics, and referral-law awareness.</x:v>
      </x:c>
      <x:c r="N831" s="90" t="str">
        <x:v>12-allPoliciesContent.generated.ts — CO-FA-001</x:v>
      </x:c>
      <x:c r="O831" s="90" t="str"/>
      <x:c r="P831" s="90" t="str"/>
    </x:row>
    <x:row r="832" ht="42" customHeight="1">
      <x:c r="A832" s="90" t="str">
        <x:v>GB-04</x:v>
      </x:c>
      <x:c r="B832" s="90" t="str">
        <x:v>GB</x:v>
      </x:c>
      <x:c r="C832" s="90" t="str">
        <x:v>GV-GB-004</x:v>
      </x:c>
      <x:c r="D832" s="90" t="str">
        <x:v>Succession Planning for Key Leadership</x:v>
      </x:c>
      <x:c r="E832" s="90" t="str">
        <x:v>Core</x:v>
      </x:c>
      <x:c r="F832" s="90" t="str">
        <x:v>Yes</x:v>
      </x:c>
      <x:c r="G832" s="90" t="str">
        <x:v>Yes — bundled</x:v>
      </x:c>
      <x:c r="H832" s="90" t="str">
        <x:v>Succession Planning &amp; Delegation</x:v>
      </x:c>
      <x:c r="I832" s="90" t="str">
        <x:v>80% continuity scenario quiz</x:v>
      </x:c>
      <x:c r="J832" s="90" t="str">
        <x:v>By day 14; before independent duty if earlier</x:v>
      </x:c>
      <x:c r="K832" s="90" t="str">
        <x:v>At hire; then on material revision</x:v>
      </x:c>
      <x:c r="L832" s="90" t="str">
        <x:v>Ready</x:v>
      </x:c>
      <x:c r="M832" s="90" t="str">
        <x:v>Board members must know leadership succession and delegated-authority limits.</x:v>
      </x:c>
      <x:c r="N832" s="90" t="str">
        <x:v>12-allPoliciesContent.generated.ts — GV-GB-004</x:v>
      </x:c>
      <x:c r="O832" s="90" t="str">
        <x:v>https://www.ecfr.gov/current/title-42/part-484/section-484.105</x:v>
      </x:c>
      <x:c r="P832" s="90" t="str"/>
    </x:row>
    <x:row r="833" ht="42" customHeight="1">
      <x:c r="A833" s="90" t="str">
        <x:v>GB-04</x:v>
      </x:c>
      <x:c r="B833" s="90" t="str">
        <x:v>GB</x:v>
      </x:c>
      <x:c r="C833" s="90" t="str">
        <x:v>GV-OG-005</x:v>
      </x:c>
      <x:c r="D833" s="90" t="str">
        <x:v>Delegation of Authority</x:v>
      </x:c>
      <x:c r="E833" s="90" t="str">
        <x:v>Core</x:v>
      </x:c>
      <x:c r="F833" s="90" t="str">
        <x:v>Yes</x:v>
      </x:c>
      <x:c r="G833" s="90" t="str">
        <x:v>Yes — bundled</x:v>
      </x:c>
      <x:c r="H833" s="90" t="str">
        <x:v>Succession Planning &amp; Delegation</x:v>
      </x:c>
      <x:c r="I833" s="90" t="str">
        <x:v>80% continuity scenario quiz</x:v>
      </x:c>
      <x:c r="J833" s="90" t="str">
        <x:v>By day 14; before independent duty if earlier</x:v>
      </x:c>
      <x:c r="K833" s="90" t="str">
        <x:v>At hire; then on material revision</x:v>
      </x:c>
      <x:c r="L833" s="90" t="str">
        <x:v>Ready</x:v>
      </x:c>
      <x:c r="M833" s="90" t="str">
        <x:v>Board members must know leadership succession and delegated-authority limits.</x:v>
      </x:c>
      <x:c r="N833" s="90" t="str">
        <x:v>12-allPoliciesContent.generated.ts — GV-OG-005</x:v>
      </x:c>
      <x:c r="O833" s="90" t="str">
        <x:v>https://www.ecfr.gov/current/title-42/part-484/section-484.105</x:v>
      </x:c>
      <x:c r="P833" s="90" t="str"/>
    </x:row>
    <x:row r="834" ht="42" customHeight="1">
      <x:c r="A834" s="90" t="str">
        <x:v>GB-05</x:v>
      </x:c>
      <x:c r="B834" s="90" t="str">
        <x:v>GB</x:v>
      </x:c>
      <x:c r="C834" s="90" t="str">
        <x:v>GV-GB-005</x:v>
      </x:c>
      <x:c r="D834" s="90" t="str">
        <x:v>Annual Governance Self-Assessment</x:v>
      </x:c>
      <x:c r="E834" s="90" t="str">
        <x:v>Core</x:v>
      </x:c>
      <x:c r="F834" s="90" t="str">
        <x:v>Yes</x:v>
      </x:c>
      <x:c r="G834" s="90" t="str">
        <x:v>Yes — bundled</x:v>
      </x:c>
      <x:c r="H834" s="90" t="str">
        <x:v>Annual Governance Self-Assessment</x:v>
      </x:c>
      <x:c r="I834" s="90" t="str">
        <x:v>Completion of assessment + knowledge check</x:v>
      </x:c>
      <x:c r="J834" s="90" t="str">
        <x:v>By day 14; before independent duty if earlier</x:v>
      </x:c>
      <x:c r="K834" s="90" t="str">
        <x:v>Initial + annual</x:v>
      </x:c>
      <x:c r="L834" s="90" t="str">
        <x:v>Ready</x:v>
      </x:c>
      <x:c r="M834" s="90" t="str">
        <x:v>Annual self-assessment is a governance accountability control.</x:v>
      </x:c>
      <x:c r="N834" s="90" t="str">
        <x:v>12-allPoliciesContent.generated.ts — GV-GB-005</x:v>
      </x:c>
      <x:c r="O834" s="90" t="str">
        <x:v>https://www.ecfr.gov/current/title-42/part-484/section-484.105</x:v>
      </x:c>
      <x:c r="P834" s="90" t="str"/>
    </x:row>
    <x:row r="835" ht="42" customHeight="1">
      <x:c r="A835" s="90" t="str">
        <x:v>GB-06</x:v>
      </x:c>
      <x:c r="B835" s="90" t="str">
        <x:v>GB</x:v>
      </x:c>
      <x:c r="C835" s="90" t="str">
        <x:v>GV-OG-001</x:v>
      </x:c>
      <x:c r="D835" s="90" t="str">
        <x:v>Organizational Structure &amp; Reporting</x:v>
      </x:c>
      <x:c r="E835" s="90" t="str">
        <x:v>Core</x:v>
      </x:c>
      <x:c r="F835" s="90" t="str">
        <x:v>Yes</x:v>
      </x:c>
      <x:c r="G835" s="90" t="str">
        <x:v>Yes — bundled</x:v>
      </x:c>
      <x:c r="H835" s="90" t="str">
        <x:v>Organization, Administrator &amp; Scope of Services</x:v>
      </x:c>
      <x:c r="I835" s="90" t="str">
        <x:v>80% accountability quiz</x:v>
      </x:c>
      <x:c r="J835" s="90" t="str">
        <x:v>By day 14; before independent duty if earlier</x:v>
      </x:c>
      <x:c r="K835" s="90" t="str">
        <x:v>At hire; then on material revision</x:v>
      </x:c>
      <x:c r="L835" s="90" t="str">
        <x:v>Ready</x:v>
      </x:c>
      <x:c r="M835" s="90" t="str">
        <x:v>Board oversight depends on organizational lines, administrator accountability, and approved service scope.</x:v>
      </x:c>
      <x:c r="N835" s="90" t="str">
        <x:v>12-allPoliciesContent.generated.ts — GV-OG-001</x:v>
      </x:c>
      <x:c r="O835" s="90" t="str">
        <x:v>https://www.ecfr.gov/current/title-42/part-484/section-484.105</x:v>
      </x:c>
      <x:c r="P835" s="90" t="str"/>
    </x:row>
    <x:row r="836" ht="42" customHeight="1">
      <x:c r="A836" s="90" t="str">
        <x:v>GB-06</x:v>
      </x:c>
      <x:c r="B836" s="90" t="str">
        <x:v>GB</x:v>
      </x:c>
      <x:c r="C836" s="90" t="str">
        <x:v>GV-OG-002</x:v>
      </x:c>
      <x:c r="D836" s="90" t="str">
        <x:v>Administrator Qualifications &amp; Responsibilities</x:v>
      </x:c>
      <x:c r="E836" s="90" t="str">
        <x:v>Core</x:v>
      </x:c>
      <x:c r="F836" s="90" t="str">
        <x:v>Yes</x:v>
      </x:c>
      <x:c r="G836" s="90" t="str">
        <x:v>Yes — bundled</x:v>
      </x:c>
      <x:c r="H836" s="90" t="str">
        <x:v>Organization, Administrator &amp; Scope of Services</x:v>
      </x:c>
      <x:c r="I836" s="90" t="str">
        <x:v>80% accountability quiz</x:v>
      </x:c>
      <x:c r="J836" s="90" t="str">
        <x:v>By day 14; before independent duty if earlier</x:v>
      </x:c>
      <x:c r="K836" s="90" t="str">
        <x:v>At hire; then on material revision</x:v>
      </x:c>
      <x:c r="L836" s="90" t="str">
        <x:v>Ready</x:v>
      </x:c>
      <x:c r="M836" s="90" t="str">
        <x:v>Board oversight depends on organizational lines, administrator accountability, and approved service scope.</x:v>
      </x:c>
      <x:c r="N836" s="90" t="str">
        <x:v>12-allPoliciesContent.generated.ts — GV-OG-002</x:v>
      </x:c>
      <x:c r="O836" s="90" t="str">
        <x:v>https://www.ecfr.gov/current/title-42/part-484/section-484.105</x:v>
      </x:c>
      <x:c r="P836" s="90" t="str"/>
    </x:row>
    <x:row r="837" ht="42" customHeight="1">
      <x:c r="A837" s="90" t="str">
        <x:v>GB-06</x:v>
      </x:c>
      <x:c r="B837" s="90" t="str">
        <x:v>GB</x:v>
      </x:c>
      <x:c r="C837" s="90" t="str">
        <x:v>GV-OG-003</x:v>
      </x:c>
      <x:c r="D837" s="90" t="str">
        <x:v>Scope of Services Definition</x:v>
      </x:c>
      <x:c r="E837" s="90" t="str">
        <x:v>Core</x:v>
      </x:c>
      <x:c r="F837" s="90" t="str">
        <x:v>Yes</x:v>
      </x:c>
      <x:c r="G837" s="90" t="str">
        <x:v>Yes — bundled</x:v>
      </x:c>
      <x:c r="H837" s="90" t="str">
        <x:v>Organization, Administrator &amp; Scope of Services</x:v>
      </x:c>
      <x:c r="I837" s="90" t="str">
        <x:v>80% accountability quiz</x:v>
      </x:c>
      <x:c r="J837" s="90" t="str">
        <x:v>By day 14; before independent duty if earlier</x:v>
      </x:c>
      <x:c r="K837" s="90" t="str">
        <x:v>At hire; then on material revision</x:v>
      </x:c>
      <x:c r="L837" s="90" t="str">
        <x:v>Ready</x:v>
      </x:c>
      <x:c r="M837" s="90" t="str">
        <x:v>Board oversight depends on organizational lines, administrator accountability, and approved service scope.</x:v>
      </x:c>
      <x:c r="N837" s="90" t="str">
        <x:v>12-allPoliciesContent.generated.ts — GV-OG-003</x:v>
      </x:c>
      <x:c r="O837" s="90" t="str">
        <x:v>https://www.ecfr.gov/current/title-42/part-484/section-484.105</x:v>
      </x:c>
      <x:c r="P837" s="90" t="str"/>
    </x:row>
    <x:row r="838" ht="42" customHeight="1">
      <x:c r="A838" s="90" t="str">
        <x:v>GB-06</x:v>
      </x:c>
      <x:c r="B838" s="90" t="str">
        <x:v>GB</x:v>
      </x:c>
      <x:c r="C838" s="90" t="str">
        <x:v>HR-JD-001</x:v>
      </x:c>
      <x:c r="D838" s="90" t="str">
        <x:v>Administrator — Job Description</x:v>
      </x:c>
      <x:c r="E838" s="90" t="str">
        <x:v>Core</x:v>
      </x:c>
      <x:c r="F838" s="90" t="str">
        <x:v>Yes</x:v>
      </x:c>
      <x:c r="G838" s="90" t="str">
        <x:v>Yes — bundled</x:v>
      </x:c>
      <x:c r="H838" s="90" t="str">
        <x:v>Organization, Administrator &amp; Scope of Services</x:v>
      </x:c>
      <x:c r="I838" s="90" t="str">
        <x:v>80% accountability quiz</x:v>
      </x:c>
      <x:c r="J838" s="90" t="str">
        <x:v>By day 14; before independent duty if earlier</x:v>
      </x:c>
      <x:c r="K838" s="90" t="str">
        <x:v>At hire; then on material revision</x:v>
      </x:c>
      <x:c r="L838" s="90" t="str">
        <x:v>Ready</x:v>
      </x:c>
      <x:c r="M838" s="90" t="str">
        <x:v>Board oversight depends on organizational lines, administrator accountability, and approved service scope.</x:v>
      </x:c>
      <x:c r="N838" s="90" t="str">
        <x:v>12-allPoliciesContent.generated.ts — HR-JD-001</x:v>
      </x:c>
      <x:c r="O838" s="90" t="str">
        <x:v>https://www.ecfr.gov/current/title-42/part-484/section-484.105</x:v>
      </x:c>
      <x:c r="P838" s="90" t="str"/>
    </x:row>
    <x:row r="839" ht="42" customHeight="1">
      <x:c r="A839" s="90" t="str">
        <x:v>GB-07</x:v>
      </x:c>
      <x:c r="B839" s="90" t="str">
        <x:v>GB</x:v>
      </x:c>
      <x:c r="C839" s="90" t="str">
        <x:v>GV-OG-004</x:v>
      </x:c>
      <x:c r="D839" s="90" t="str">
        <x:v>Strategic Planning &amp; Annual Goals</x:v>
      </x:c>
      <x:c r="E839" s="90" t="str">
        <x:v>Core</x:v>
      </x:c>
      <x:c r="F839" s="90" t="str">
        <x:v>Yes</x:v>
      </x:c>
      <x:c r="G839" s="90" t="str">
        <x:v>Yes — bundled</x:v>
      </x:c>
      <x:c r="H839" s="90" t="str">
        <x:v>Strategic Planning &amp; Annual Goals</x:v>
      </x:c>
      <x:c r="I839" s="90" t="str">
        <x:v>80% planning/governance quiz</x:v>
      </x:c>
      <x:c r="J839" s="90" t="str">
        <x:v>By day 14; before independent duty if earlier</x:v>
      </x:c>
      <x:c r="K839" s="90" t="str">
        <x:v>Initial + annual planning cycle</x:v>
      </x:c>
      <x:c r="L839" s="90" t="str">
        <x:v>Ready</x:v>
      </x:c>
      <x:c r="M839" s="90" t="str">
        <x:v>Board approves and monitors strategic goals.</x:v>
      </x:c>
      <x:c r="N839" s="90" t="str">
        <x:v>12-allPoliciesContent.generated.ts — GV-OG-004</x:v>
      </x:c>
      <x:c r="O839" s="90" t="str">
        <x:v>https://www.ecfr.gov/current/title-42/part-484/section-484.105</x:v>
      </x:c>
      <x:c r="P839" s="90" t="str"/>
    </x:row>
    <x:row r="840" ht="42" customHeight="1">
      <x:c r="A840" s="90" t="str">
        <x:v>GB-08</x:v>
      </x:c>
      <x:c r="B840" s="90" t="str">
        <x:v>GB</x:v>
      </x:c>
      <x:c r="C840" s="90" t="str">
        <x:v>GV-PM-001</x:v>
      </x:c>
      <x:c r="D840" s="90" t="str">
        <x:v>Policy Development &amp; Approval Process</x:v>
      </x:c>
      <x:c r="E840" s="90" t="str">
        <x:v>Core</x:v>
      </x:c>
      <x:c r="F840" s="90" t="str">
        <x:v>Yes</x:v>
      </x:c>
      <x:c r="G840" s="90" t="str">
        <x:v>Yes — bundled</x:v>
      </x:c>
      <x:c r="H840" s="90" t="str">
        <x:v>Policy Approval, Review &amp; Staff Attestation Governance</x:v>
      </x:c>
      <x:c r="I840" s="90" t="str">
        <x:v>80% policy-governance quiz</x:v>
      </x:c>
      <x:c r="J840" s="90" t="str">
        <x:v>By day 14; before independent duty if earlier</x:v>
      </x:c>
      <x:c r="K840" s="90" t="str">
        <x:v>At hire; then on material revision</x:v>
      </x:c>
      <x:c r="L840" s="90" t="str">
        <x:v>Ready</x:v>
      </x:c>
      <x:c r="M840" s="90" t="str">
        <x:v>Board members approve policy controls and verify assignment/attestation governance.</x:v>
      </x:c>
      <x:c r="N840" s="90" t="str">
        <x:v>12-allPoliciesContent.generated.ts — GV-PM-001</x:v>
      </x:c>
      <x:c r="O840" s="90" t="str">
        <x:v>https://www.ecfr.gov/current/title-42/part-484/section-484.105</x:v>
      </x:c>
      <x:c r="P840" s="90" t="str"/>
    </x:row>
    <x:row r="841" ht="42" customHeight="1">
      <x:c r="A841" s="90" t="str">
        <x:v>GB-08</x:v>
      </x:c>
      <x:c r="B841" s="90" t="str">
        <x:v>GB</x:v>
      </x:c>
      <x:c r="C841" s="90" t="str">
        <x:v>GV-PM-002</x:v>
      </x:c>
      <x:c r="D841" s="90" t="str">
        <x:v>Policy Review &amp; Revision Cycle</x:v>
      </x:c>
      <x:c r="E841" s="90" t="str">
        <x:v>Core</x:v>
      </x:c>
      <x:c r="F841" s="90" t="str">
        <x:v>Yes</x:v>
      </x:c>
      <x:c r="G841" s="90" t="str">
        <x:v>Yes — bundled</x:v>
      </x:c>
      <x:c r="H841" s="90" t="str">
        <x:v>Policy Approval, Review &amp; Staff Attestation Governance</x:v>
      </x:c>
      <x:c r="I841" s="90" t="str">
        <x:v>80% policy-governance quiz</x:v>
      </x:c>
      <x:c r="J841" s="90" t="str">
        <x:v>By day 14; before independent duty if earlier</x:v>
      </x:c>
      <x:c r="K841" s="90" t="str">
        <x:v>At hire; then on material revision</x:v>
      </x:c>
      <x:c r="L841" s="90" t="str">
        <x:v>Ready</x:v>
      </x:c>
      <x:c r="M841" s="90" t="str">
        <x:v>Board members approve policy controls and verify assignment/attestation governance.</x:v>
      </x:c>
      <x:c r="N841" s="90" t="str">
        <x:v>12-allPoliciesContent.generated.ts — GV-PM-002</x:v>
      </x:c>
      <x:c r="O841" s="90" t="str">
        <x:v>https://www.ecfr.gov/current/title-42/part-484/section-484.105</x:v>
      </x:c>
      <x:c r="P841" s="90" t="str"/>
    </x:row>
    <x:row r="842" ht="42" customHeight="1">
      <x:c r="A842" s="90" t="str">
        <x:v>GB-08</x:v>
      </x:c>
      <x:c r="B842" s="90" t="str">
        <x:v>GB</x:v>
      </x:c>
      <x:c r="C842" s="90" t="str">
        <x:v>GV-PM-003</x:v>
      </x:c>
      <x:c r="D842" s="90" t="str">
        <x:v>Policy Acknowledgment &amp; Staff Attestation</x:v>
      </x:c>
      <x:c r="E842" s="90" t="str">
        <x:v>Core</x:v>
      </x:c>
      <x:c r="F842" s="90" t="str">
        <x:v>Yes</x:v>
      </x:c>
      <x:c r="G842" s="90" t="str">
        <x:v>Yes — bundled</x:v>
      </x:c>
      <x:c r="H842" s="90" t="str">
        <x:v>Policy Approval, Review &amp; Staff Attestation Governance</x:v>
      </x:c>
      <x:c r="I842" s="90" t="str">
        <x:v>80% policy-governance quiz</x:v>
      </x:c>
      <x:c r="J842" s="90" t="str">
        <x:v>By day 14; before independent duty if earlier</x:v>
      </x:c>
      <x:c r="K842" s="90" t="str">
        <x:v>At hire; then on material revision</x:v>
      </x:c>
      <x:c r="L842" s="90" t="str">
        <x:v>Ready</x:v>
      </x:c>
      <x:c r="M842" s="90" t="str">
        <x:v>Board members approve policy controls and verify assignment/attestation governance.</x:v>
      </x:c>
      <x:c r="N842" s="90" t="str">
        <x:v>12-allPoliciesContent.generated.ts — GV-PM-003</x:v>
      </x:c>
      <x:c r="O842" s="90" t="str">
        <x:v>https://www.ecfr.gov/current/title-42/part-484/section-484.105</x:v>
      </x:c>
      <x:c r="P842" s="90" t="str"/>
    </x:row>
    <x:row r="843" ht="42" customHeight="1">
      <x:c r="A843" s="90" t="str">
        <x:v>GB-09</x:v>
      </x:c>
      <x:c r="B843" s="90" t="str">
        <x:v>GB</x:v>
      </x:c>
      <x:c r="C843" s="90" t="str">
        <x:v>CO-CP-001</x:v>
      </x:c>
      <x:c r="D843" s="90" t="str">
        <x:v>Corporate Compliance Program</x:v>
      </x:c>
      <x:c r="E843" s="90" t="str">
        <x:v>Core</x:v>
      </x:c>
      <x:c r="F843" s="90" t="str">
        <x:v>Yes</x:v>
      </x:c>
      <x:c r="G843" s="90" t="str">
        <x:v>Yes — bundled</x:v>
      </x:c>
      <x:c r="H843" s="90" t="str">
        <x:v>Compliance, Reporting, Privacy &amp; Oversight</x:v>
      </x:c>
      <x:c r="I843" s="90" t="str">
        <x:v>80% oversight scenario quiz</x:v>
      </x:c>
      <x:c r="J843" s="90" t="str">
        <x:v>By day 14; before independent duty if earlier</x:v>
      </x:c>
      <x:c r="K843" s="90" t="str">
        <x:v>Initial + annual</x:v>
      </x:c>
      <x:c r="L843" s="90" t="str">
        <x:v>Ready</x:v>
      </x:c>
      <x:c r="M843" s="90" t="str">
        <x:v>The board receives compliance reports and must understand reporting, non-retaliation, FWA, privacy, and security oversight.</x:v>
      </x:c>
      <x:c r="N843" s="90" t="str">
        <x:v>12-allPoliciesContent.generated.ts — CO-CP-001</x:v>
      </x:c>
      <x:c r="O843" s="90" t="str"/>
      <x:c r="P843" s="90" t="str"/>
    </x:row>
    <x:row r="844" ht="42" customHeight="1">
      <x:c r="A844" s="90" t="str">
        <x:v>GB-09</x:v>
      </x:c>
      <x:c r="B844" s="90" t="str">
        <x:v>GB</x:v>
      </x:c>
      <x:c r="C844" s="90" t="str">
        <x:v>CO-CP-002</x:v>
      </x:c>
      <x:c r="D844" s="90" t="str">
        <x:v>Compliance Officer Designation &amp; Authority</x:v>
      </x:c>
      <x:c r="E844" s="90" t="str">
        <x:v>Core</x:v>
      </x:c>
      <x:c r="F844" s="90" t="str">
        <x:v>Yes</x:v>
      </x:c>
      <x:c r="G844" s="90" t="str">
        <x:v>Yes — bundled</x:v>
      </x:c>
      <x:c r="H844" s="90" t="str">
        <x:v>Compliance, Reporting, Privacy &amp; Oversight</x:v>
      </x:c>
      <x:c r="I844" s="90" t="str">
        <x:v>80% oversight scenario quiz</x:v>
      </x:c>
      <x:c r="J844" s="90" t="str">
        <x:v>By day 14; before independent duty if earlier</x:v>
      </x:c>
      <x:c r="K844" s="90" t="str">
        <x:v>Initial + annual</x:v>
      </x:c>
      <x:c r="L844" s="90" t="str">
        <x:v>Ready</x:v>
      </x:c>
      <x:c r="M844" s="90" t="str">
        <x:v>The board receives compliance reports and must understand reporting, non-retaliation, FWA, privacy, and security oversight.</x:v>
      </x:c>
      <x:c r="N844" s="90" t="str">
        <x:v>12-allPoliciesContent.generated.ts — CO-CP-002</x:v>
      </x:c>
      <x:c r="O844" s="90" t="str"/>
      <x:c r="P844" s="90" t="str"/>
    </x:row>
    <x:row r="845" ht="42" customHeight="1">
      <x:c r="A845" s="90" t="str">
        <x:v>GB-09</x:v>
      </x:c>
      <x:c r="B845" s="90" t="str">
        <x:v>GB</x:v>
      </x:c>
      <x:c r="C845" s="90" t="str">
        <x:v>CO-CP-003</x:v>
      </x:c>
      <x:c r="D845" s="90" t="str">
        <x:v>Compliance Committee Structure &amp; Function</x:v>
      </x:c>
      <x:c r="E845" s="90" t="str">
        <x:v>Core</x:v>
      </x:c>
      <x:c r="F845" s="90" t="str">
        <x:v>Yes</x:v>
      </x:c>
      <x:c r="G845" s="90" t="str">
        <x:v>Yes — bundled</x:v>
      </x:c>
      <x:c r="H845" s="90" t="str">
        <x:v>Compliance, Reporting, Privacy &amp; Oversight</x:v>
      </x:c>
      <x:c r="I845" s="90" t="str">
        <x:v>80% oversight scenario quiz</x:v>
      </x:c>
      <x:c r="J845" s="90" t="str">
        <x:v>By day 14; before independent duty if earlier</x:v>
      </x:c>
      <x:c r="K845" s="90" t="str">
        <x:v>Initial + annual</x:v>
      </x:c>
      <x:c r="L845" s="90" t="str">
        <x:v>Ready</x:v>
      </x:c>
      <x:c r="M845" s="90" t="str">
        <x:v>The board receives compliance reports and must understand reporting, non-retaliation, FWA, privacy, and security oversight.</x:v>
      </x:c>
      <x:c r="N845" s="90" t="str">
        <x:v>12-allPoliciesContent.generated.ts — CO-CP-003</x:v>
      </x:c>
      <x:c r="O845" s="90" t="str"/>
      <x:c r="P845" s="90" t="str"/>
    </x:row>
    <x:row r="846" ht="42" customHeight="1">
      <x:c r="A846" s="90" t="str">
        <x:v>GB-09</x:v>
      </x:c>
      <x:c r="B846" s="90" t="str">
        <x:v>GB</x:v>
      </x:c>
      <x:c r="C846" s="90" t="str">
        <x:v>CO-CP-005</x:v>
      </x:c>
      <x:c r="D846" s="90" t="str">
        <x:v>Whistleblower Protection &amp; Non-Retaliation</x:v>
      </x:c>
      <x:c r="E846" s="90" t="str">
        <x:v>Core</x:v>
      </x:c>
      <x:c r="F846" s="90" t="str">
        <x:v>Yes</x:v>
      </x:c>
      <x:c r="G846" s="90" t="str">
        <x:v>Yes — bundled</x:v>
      </x:c>
      <x:c r="H846" s="90" t="str">
        <x:v>Compliance, Reporting, Privacy &amp; Oversight</x:v>
      </x:c>
      <x:c r="I846" s="90" t="str">
        <x:v>80% oversight scenario quiz</x:v>
      </x:c>
      <x:c r="J846" s="90" t="str">
        <x:v>By day 14; before independent duty if earlier</x:v>
      </x:c>
      <x:c r="K846" s="90" t="str">
        <x:v>Initial + annual</x:v>
      </x:c>
      <x:c r="L846" s="90" t="str">
        <x:v>Ready</x:v>
      </x:c>
      <x:c r="M846" s="90" t="str">
        <x:v>The board receives compliance reports and must understand reporting, non-retaliation, FWA, privacy, and security oversight.</x:v>
      </x:c>
      <x:c r="N846" s="90" t="str">
        <x:v>12-allPoliciesContent.generated.ts — CO-CP-005</x:v>
      </x:c>
      <x:c r="O846" s="90" t="str"/>
      <x:c r="P846" s="90" t="str"/>
    </x:row>
    <x:row r="847" ht="42" customHeight="1">
      <x:c r="A847" s="90" t="str">
        <x:v>GB-09</x:v>
      </x:c>
      <x:c r="B847" s="90" t="str">
        <x:v>GB</x:v>
      </x:c>
      <x:c r="C847" s="90" t="str">
        <x:v>CO-CP-008</x:v>
      </x:c>
      <x:c r="D847" s="90" t="str">
        <x:v>Compliance Training &amp; Education</x:v>
      </x:c>
      <x:c r="E847" s="90" t="str">
        <x:v>Core</x:v>
      </x:c>
      <x:c r="F847" s="90" t="str">
        <x:v>Yes</x:v>
      </x:c>
      <x:c r="G847" s="90" t="str">
        <x:v>Yes — bundled</x:v>
      </x:c>
      <x:c r="H847" s="90" t="str">
        <x:v>Compliance, Reporting, Privacy &amp; Oversight</x:v>
      </x:c>
      <x:c r="I847" s="90" t="str">
        <x:v>80% oversight scenario quiz</x:v>
      </x:c>
      <x:c r="J847" s="90" t="str">
        <x:v>By day 14; before independent duty if earlier</x:v>
      </x:c>
      <x:c r="K847" s="90" t="str">
        <x:v>Initial + annual</x:v>
      </x:c>
      <x:c r="L847" s="90" t="str">
        <x:v>Ready</x:v>
      </x:c>
      <x:c r="M847" s="90" t="str">
        <x:v>The board receives compliance reports and must understand reporting, non-retaliation, FWA, privacy, and security oversight.</x:v>
      </x:c>
      <x:c r="N847" s="90" t="str">
        <x:v>12-allPoliciesContent.generated.ts — CO-CP-008</x:v>
      </x:c>
      <x:c r="O847" s="90" t="str"/>
      <x:c r="P847" s="90" t="str"/>
    </x:row>
    <x:row r="848" ht="42" customHeight="1">
      <x:c r="A848" s="90" t="str">
        <x:v>GB-09</x:v>
      </x:c>
      <x:c r="B848" s="90" t="str">
        <x:v>GB</x:v>
      </x:c>
      <x:c r="C848" s="90" t="str">
        <x:v>CO-FW-101</x:v>
      </x:c>
      <x:c r="D848" s="90" t="str">
        <x:v>Fraud, Waste &amp; Abuse Prevention</x:v>
      </x:c>
      <x:c r="E848" s="90" t="str">
        <x:v>Core</x:v>
      </x:c>
      <x:c r="F848" s="90" t="str">
        <x:v>Yes</x:v>
      </x:c>
      <x:c r="G848" s="90" t="str">
        <x:v>Yes — bundled</x:v>
      </x:c>
      <x:c r="H848" s="90" t="str">
        <x:v>Compliance, Reporting, Privacy &amp; Oversight</x:v>
      </x:c>
      <x:c r="I848" s="90" t="str">
        <x:v>80% oversight scenario quiz</x:v>
      </x:c>
      <x:c r="J848" s="90" t="str">
        <x:v>By day 14; before independent duty if earlier</x:v>
      </x:c>
      <x:c r="K848" s="90" t="str">
        <x:v>Initial + annual</x:v>
      </x:c>
      <x:c r="L848" s="90" t="str">
        <x:v>Ready</x:v>
      </x:c>
      <x:c r="M848" s="90" t="str">
        <x:v>The board receives compliance reports and must understand reporting, non-retaliation, FWA, privacy, and security oversight.</x:v>
      </x:c>
      <x:c r="N848" s="90" t="str">
        <x:v>12-allPoliciesContent.generated.ts — CO-FW-101</x:v>
      </x:c>
      <x:c r="O848" s="90" t="str"/>
      <x:c r="P848" s="90" t="str"/>
    </x:row>
    <x:row r="849" ht="42" customHeight="1">
      <x:c r="A849" s="90" t="str">
        <x:v>GB-09</x:v>
      </x:c>
      <x:c r="B849" s="90" t="str">
        <x:v>GB</x:v>
      </x:c>
      <x:c r="C849" s="90" t="str">
        <x:v>CO-HP-101</x:v>
      </x:c>
      <x:c r="D849" s="90" t="str">
        <x:v>HIPAA, CMIA &amp; Sensitive Data Privacy Management</x:v>
      </x:c>
      <x:c r="E849" s="90" t="str">
        <x:v>Core</x:v>
      </x:c>
      <x:c r="F849" s="90" t="str">
        <x:v>Yes</x:v>
      </x:c>
      <x:c r="G849" s="90" t="str">
        <x:v>Yes — bundled</x:v>
      </x:c>
      <x:c r="H849" s="90" t="str">
        <x:v>Compliance, Reporting, Privacy &amp; Oversight</x:v>
      </x:c>
      <x:c r="I849" s="90" t="str">
        <x:v>80% oversight scenario quiz</x:v>
      </x:c>
      <x:c r="J849" s="90" t="str">
        <x:v>By day 14; before independent duty if earlier</x:v>
      </x:c>
      <x:c r="K849" s="90" t="str">
        <x:v>Initial + annual</x:v>
      </x:c>
      <x:c r="L849" s="90" t="str">
        <x:v>Ready</x:v>
      </x:c>
      <x:c r="M849" s="90" t="str">
        <x:v>The board receives compliance reports and must understand reporting, non-retaliation, FWA, privacy, and security oversight.</x:v>
      </x:c>
      <x:c r="N849" s="90" t="str">
        <x:v>12-allPoliciesContent.generated.ts — CO-HP-101</x:v>
      </x:c>
      <x:c r="O849" s="90" t="str">
        <x:v>https://www.ecfr.gov/current/title-45/part-164/section-164.530</x:v>
      </x:c>
      <x:c r="P849" s="90" t="str"/>
    </x:row>
    <x:row r="850" ht="42" customHeight="1">
      <x:c r="A850" s="90" t="str">
        <x:v>GB-09</x:v>
      </x:c>
      <x:c r="B850" s="90" t="str">
        <x:v>GB</x:v>
      </x:c>
      <x:c r="C850" s="90" t="str">
        <x:v>IT-UP-004</x:v>
      </x:c>
      <x:c r="D850" s="90" t="str">
        <x:v>Security Awareness Training</x:v>
      </x:c>
      <x:c r="E850" s="90" t="str">
        <x:v>Core</x:v>
      </x:c>
      <x:c r="F850" s="90" t="str">
        <x:v>Yes</x:v>
      </x:c>
      <x:c r="G850" s="90" t="str">
        <x:v>Yes — bundled</x:v>
      </x:c>
      <x:c r="H850" s="90" t="str">
        <x:v>Compliance, Reporting, Privacy &amp; Oversight</x:v>
      </x:c>
      <x:c r="I850" s="90" t="str">
        <x:v>80% oversight scenario quiz</x:v>
      </x:c>
      <x:c r="J850" s="90" t="str">
        <x:v>By day 14; before independent duty if earlier</x:v>
      </x:c>
      <x:c r="K850" s="90" t="str">
        <x:v>Initial + annual</x:v>
      </x:c>
      <x:c r="L850" s="90" t="str">
        <x:v>Ready</x:v>
      </x:c>
      <x:c r="M850" s="90" t="str">
        <x:v>The board receives compliance reports and must understand reporting, non-retaliation, FWA, privacy, and security oversight.</x:v>
      </x:c>
      <x:c r="N850" s="90" t="str">
        <x:v>12-allPoliciesContent.generated.ts — IT-UP-004</x:v>
      </x:c>
      <x:c r="O850" s="90" t="str"/>
      <x:c r="P850" s="90" t="str"/>
    </x:row>
    <x:row r="851" ht="42" customHeight="1">
      <x:c r="A851" s="90" t="str">
        <x:v>GB-10</x:v>
      </x:c>
      <x:c r="B851" s="90" t="str">
        <x:v>GB</x:v>
      </x:c>
      <x:c r="C851" s="90" t="str">
        <x:v>QA-PG-001</x:v>
      </x:c>
      <x:c r="D851" s="90" t="str">
        <x:v>QAPI Program Establishment &amp; Governance</x:v>
      </x:c>
      <x:c r="E851" s="90" t="str">
        <x:v>Core</x:v>
      </x:c>
      <x:c r="F851" s="90" t="str">
        <x:v>Yes</x:v>
      </x:c>
      <x:c r="G851" s="90" t="str">
        <x:v>Yes — bundled</x:v>
      </x:c>
      <x:c r="H851" s="90" t="str">
        <x:v>QAPI Governance &amp; Performance Improvement</x:v>
      </x:c>
      <x:c r="I851" s="90" t="str">
        <x:v>80% QAPI governance quiz</x:v>
      </x:c>
      <x:c r="J851" s="90" t="str">
        <x:v>By day 14; before independent duty if earlier</x:v>
      </x:c>
      <x:c r="K851" s="90" t="str">
        <x:v>Initial + annual QAPI review</x:v>
      </x:c>
      <x:c r="L851" s="90" t="str">
        <x:v>Ready</x:v>
      </x:c>
      <x:c r="M851" s="90" t="str">
        <x:v>The Governing Body retains accountability for QAPI oversight and data-driven improvement.</x:v>
      </x:c>
      <x:c r="N851" s="90" t="str">
        <x:v>12-allPoliciesContent.generated.ts — QA-PG-001</x:v>
      </x:c>
      <x:c r="O851" s="90" t="str">
        <x:v>https://www.ecfr.gov/current/title-42/part-484/section-484.65</x:v>
      </x:c>
      <x:c r="P851" s="90" t="str"/>
    </x:row>
    <x:row r="852" ht="42" customHeight="1">
      <x:c r="A852" s="90" t="str">
        <x:v>GB-10</x:v>
      </x:c>
      <x:c r="B852" s="90" t="str">
        <x:v>GB</x:v>
      </x:c>
      <x:c r="C852" s="90" t="str">
        <x:v>QA-PG-002</x:v>
      </x:c>
      <x:c r="D852" s="90" t="str">
        <x:v>QAPI Plan Development &amp; Annual Review</x:v>
      </x:c>
      <x:c r="E852" s="90" t="str">
        <x:v>Core</x:v>
      </x:c>
      <x:c r="F852" s="90" t="str">
        <x:v>Yes</x:v>
      </x:c>
      <x:c r="G852" s="90" t="str">
        <x:v>Yes — bundled</x:v>
      </x:c>
      <x:c r="H852" s="90" t="str">
        <x:v>QAPI Governance &amp; Performance Improvement</x:v>
      </x:c>
      <x:c r="I852" s="90" t="str">
        <x:v>80% QAPI governance quiz</x:v>
      </x:c>
      <x:c r="J852" s="90" t="str">
        <x:v>By day 14; before independent duty if earlier</x:v>
      </x:c>
      <x:c r="K852" s="90" t="str">
        <x:v>Initial + annual QAPI review</x:v>
      </x:c>
      <x:c r="L852" s="90" t="str">
        <x:v>Ready</x:v>
      </x:c>
      <x:c r="M852" s="90" t="str">
        <x:v>The Governing Body retains accountability for QAPI oversight and data-driven improvement.</x:v>
      </x:c>
      <x:c r="N852" s="90" t="str">
        <x:v>12-allPoliciesContent.generated.ts — QA-PG-002</x:v>
      </x:c>
      <x:c r="O852" s="90" t="str">
        <x:v>https://www.ecfr.gov/current/title-42/part-484/section-484.65</x:v>
      </x:c>
      <x:c r="P852" s="90" t="str"/>
    </x:row>
    <x:row r="853" ht="42" customHeight="1">
      <x:c r="A853" s="90" t="str">
        <x:v>GB-10</x:v>
      </x:c>
      <x:c r="B853" s="90" t="str">
        <x:v>GB</x:v>
      </x:c>
      <x:c r="C853" s="90" t="str">
        <x:v>QA-PG-003</x:v>
      </x:c>
      <x:c r="D853" s="90" t="str">
        <x:v>QAPI Committee Structure &amp; Meeting Requirements</x:v>
      </x:c>
      <x:c r="E853" s="90" t="str">
        <x:v>Core</x:v>
      </x:c>
      <x:c r="F853" s="90" t="str">
        <x:v>Yes</x:v>
      </x:c>
      <x:c r="G853" s="90" t="str">
        <x:v>Yes — bundled</x:v>
      </x:c>
      <x:c r="H853" s="90" t="str">
        <x:v>QAPI Governance &amp; Performance Improvement</x:v>
      </x:c>
      <x:c r="I853" s="90" t="str">
        <x:v>80% QAPI governance quiz</x:v>
      </x:c>
      <x:c r="J853" s="90" t="str">
        <x:v>By day 14; before independent duty if earlier</x:v>
      </x:c>
      <x:c r="K853" s="90" t="str">
        <x:v>Initial + annual QAPI review</x:v>
      </x:c>
      <x:c r="L853" s="90" t="str">
        <x:v>Ready</x:v>
      </x:c>
      <x:c r="M853" s="90" t="str">
        <x:v>The Governing Body retains accountability for QAPI oversight and data-driven improvement.</x:v>
      </x:c>
      <x:c r="N853" s="90" t="str">
        <x:v>12-allPoliciesContent.generated.ts — QA-PG-003</x:v>
      </x:c>
      <x:c r="O853" s="90" t="str">
        <x:v>https://www.ecfr.gov/current/title-42/part-484/section-484.65</x:v>
      </x:c>
      <x:c r="P853" s="90" t="str"/>
    </x:row>
    <x:row r="854" ht="42" customHeight="1">
      <x:c r="A854" s="90" t="str">
        <x:v>GB-10</x:v>
      </x:c>
      <x:c r="B854" s="90" t="str">
        <x:v>GB</x:v>
      </x:c>
      <x:c r="C854" s="90" t="str">
        <x:v>QA-PI-001</x:v>
      </x:c>
      <x:c r="D854" s="90" t="str">
        <x:v>Performance Improvement Project Management</x:v>
      </x:c>
      <x:c r="E854" s="90" t="str">
        <x:v>Core</x:v>
      </x:c>
      <x:c r="F854" s="90" t="str">
        <x:v>Yes</x:v>
      </x:c>
      <x:c r="G854" s="90" t="str">
        <x:v>Yes — bundled</x:v>
      </x:c>
      <x:c r="H854" s="90" t="str">
        <x:v>QAPI Governance &amp; Performance Improvement</x:v>
      </x:c>
      <x:c r="I854" s="90" t="str">
        <x:v>80% QAPI governance quiz</x:v>
      </x:c>
      <x:c r="J854" s="90" t="str">
        <x:v>By day 14; before independent duty if earlier</x:v>
      </x:c>
      <x:c r="K854" s="90" t="str">
        <x:v>Initial + annual QAPI review</x:v>
      </x:c>
      <x:c r="L854" s="90" t="str">
        <x:v>Ready</x:v>
      </x:c>
      <x:c r="M854" s="90" t="str">
        <x:v>The Governing Body retains accountability for QAPI oversight and data-driven improvement.</x:v>
      </x:c>
      <x:c r="N854" s="90" t="str">
        <x:v>12-allPoliciesContent.generated.ts — QA-PI-001</x:v>
      </x:c>
      <x:c r="O854" s="90" t="str">
        <x:v>https://www.ecfr.gov/current/title-42/part-484/section-484.65</x:v>
      </x:c>
      <x:c r="P854" s="90" t="str"/>
    </x:row>
    <x:row r="855" ht="42" customHeight="1">
      <x:c r="A855" s="90" t="str">
        <x:v>GB-10</x:v>
      </x:c>
      <x:c r="B855" s="90" t="str">
        <x:v>GB</x:v>
      </x:c>
      <x:c r="C855" s="90" t="str">
        <x:v>QA-PI-002</x:v>
      </x:c>
      <x:c r="D855" s="90" t="str">
        <x:v>Quality Indicator Monitoring &amp; Reporting</x:v>
      </x:c>
      <x:c r="E855" s="90" t="str">
        <x:v>Core</x:v>
      </x:c>
      <x:c r="F855" s="90" t="str">
        <x:v>Yes</x:v>
      </x:c>
      <x:c r="G855" s="90" t="str">
        <x:v>Yes — bundled</x:v>
      </x:c>
      <x:c r="H855" s="90" t="str">
        <x:v>QAPI Governance &amp; Performance Improvement</x:v>
      </x:c>
      <x:c r="I855" s="90" t="str">
        <x:v>80% QAPI governance quiz</x:v>
      </x:c>
      <x:c r="J855" s="90" t="str">
        <x:v>By day 14; before independent duty if earlier</x:v>
      </x:c>
      <x:c r="K855" s="90" t="str">
        <x:v>Initial + annual QAPI review</x:v>
      </x:c>
      <x:c r="L855" s="90" t="str">
        <x:v>Ready</x:v>
      </x:c>
      <x:c r="M855" s="90" t="str">
        <x:v>The Governing Body retains accountability for QAPI oversight and data-driven improvement.</x:v>
      </x:c>
      <x:c r="N855" s="90" t="str">
        <x:v>12-allPoliciesContent.generated.ts — QA-PI-002</x:v>
      </x:c>
      <x:c r="O855" s="90" t="str">
        <x:v>https://www.ecfr.gov/current/title-42/part-484/section-484.65</x:v>
      </x:c>
      <x:c r="P855" s="90" t="str"/>
    </x:row>
    <x:row r="856" ht="42" customHeight="1">
      <x:c r="A856" s="90" t="str">
        <x:v>GB-10</x:v>
      </x:c>
      <x:c r="B856" s="90" t="str">
        <x:v>GB</x:v>
      </x:c>
      <x:c r="C856" s="90" t="str">
        <x:v>QA-PI-004</x:v>
      </x:c>
      <x:c r="D856" s="90" t="str">
        <x:v>Data-Driven Decision Making</x:v>
      </x:c>
      <x:c r="E856" s="90" t="str">
        <x:v>Core</x:v>
      </x:c>
      <x:c r="F856" s="90" t="str">
        <x:v>Yes</x:v>
      </x:c>
      <x:c r="G856" s="90" t="str">
        <x:v>Yes — bundled</x:v>
      </x:c>
      <x:c r="H856" s="90" t="str">
        <x:v>QAPI Governance &amp; Performance Improvement</x:v>
      </x:c>
      <x:c r="I856" s="90" t="str">
        <x:v>80% QAPI governance quiz</x:v>
      </x:c>
      <x:c r="J856" s="90" t="str">
        <x:v>By day 14; before independent duty if earlier</x:v>
      </x:c>
      <x:c r="K856" s="90" t="str">
        <x:v>Initial + annual QAPI review</x:v>
      </x:c>
      <x:c r="L856" s="90" t="str">
        <x:v>Ready</x:v>
      </x:c>
      <x:c r="M856" s="90" t="str">
        <x:v>The Governing Body retains accountability for QAPI oversight and data-driven improvement.</x:v>
      </x:c>
      <x:c r="N856" s="90" t="str">
        <x:v>12-allPoliciesContent.generated.ts — QA-PI-004</x:v>
      </x:c>
      <x:c r="O856" s="90" t="str">
        <x:v>https://www.ecfr.gov/current/title-42/part-484/section-484.65</x:v>
      </x:c>
      <x:c r="P856" s="90" t="str"/>
    </x:row>
    <x:row r="857" ht="42" customHeight="1">
      <x:c r="A857" s="90" t="str">
        <x:v>GB-11</x:v>
      </x:c>
      <x:c r="B857" s="90" t="str">
        <x:v>GB</x:v>
      </x:c>
      <x:c r="C857" s="90" t="str">
        <x:v>FN-FP-005</x:v>
      </x:c>
      <x:c r="D857" s="90" t="str">
        <x:v>Annual Budget &amp; Financial Planning</x:v>
      </x:c>
      <x:c r="E857" s="90" t="str">
        <x:v>Core</x:v>
      </x:c>
      <x:c r="F857" s="90" t="str">
        <x:v>Yes</x:v>
      </x:c>
      <x:c r="G857" s="90" t="str">
        <x:v>Yes — bundled</x:v>
      </x:c>
      <x:c r="H857" s="90" t="str">
        <x:v>Financial Stewardship &amp; Overpayment Controls</x:v>
      </x:c>
      <x:c r="I857" s="90" t="str">
        <x:v>80% fiduciary scenario quiz</x:v>
      </x:c>
      <x:c r="J857" s="90" t="str">
        <x:v>By day 14; before independent duty if earlier</x:v>
      </x:c>
      <x:c r="K857" s="90" t="str">
        <x:v>At hire; then on material revision</x:v>
      </x:c>
      <x:c r="L857" s="90" t="str">
        <x:v>Ready</x:v>
      </x:c>
      <x:c r="M857" s="90" t="str">
        <x:v>Board fiduciary oversight includes budget, fraud controls, and prompt overpayment response.</x:v>
      </x:c>
      <x:c r="N857" s="90" t="str">
        <x:v>12-allPoliciesContent.generated.ts — FN-FP-005</x:v>
      </x:c>
      <x:c r="O857" s="90" t="str"/>
      <x:c r="P857" s="90" t="str"/>
    </x:row>
    <x:row r="858" ht="42" customHeight="1">
      <x:c r="A858" s="90" t="str">
        <x:v>GB-11</x:v>
      </x:c>
      <x:c r="B858" s="90" t="str">
        <x:v>GB</x:v>
      </x:c>
      <x:c r="C858" s="90" t="str">
        <x:v>FN-FP-007</x:v>
      </x:c>
      <x:c r="D858" s="90" t="str">
        <x:v>Financial Compliance &amp; Fraud Monitoring Controls</x:v>
      </x:c>
      <x:c r="E858" s="90" t="str">
        <x:v>Core</x:v>
      </x:c>
      <x:c r="F858" s="90" t="str">
        <x:v>Yes</x:v>
      </x:c>
      <x:c r="G858" s="90" t="str">
        <x:v>Yes — bundled</x:v>
      </x:c>
      <x:c r="H858" s="90" t="str">
        <x:v>Financial Stewardship &amp; Overpayment Controls</x:v>
      </x:c>
      <x:c r="I858" s="90" t="str">
        <x:v>80% fiduciary scenario quiz</x:v>
      </x:c>
      <x:c r="J858" s="90" t="str">
        <x:v>By day 14; before independent duty if earlier</x:v>
      </x:c>
      <x:c r="K858" s="90" t="str">
        <x:v>At hire; then on material revision</x:v>
      </x:c>
      <x:c r="L858" s="90" t="str">
        <x:v>Ready</x:v>
      </x:c>
      <x:c r="M858" s="90" t="str">
        <x:v>Board fiduciary oversight includes budget, fraud controls, and prompt overpayment response.</x:v>
      </x:c>
      <x:c r="N858" s="90" t="str">
        <x:v>12-allPoliciesContent.generated.ts — FN-FP-007</x:v>
      </x:c>
      <x:c r="O858" s="90" t="str"/>
      <x:c r="P858" s="90" t="str"/>
    </x:row>
    <x:row r="859" ht="42" customHeight="1">
      <x:c r="A859" s="90" t="str">
        <x:v>GB-11</x:v>
      </x:c>
      <x:c r="B859" s="90" t="str">
        <x:v>GB</x:v>
      </x:c>
      <x:c r="C859" s="90" t="str">
        <x:v>FN-BC-004</x:v>
      </x:c>
      <x:c r="D859" s="90" t="str">
        <x:v>Overpayment Identification &amp; Refund</x:v>
      </x:c>
      <x:c r="E859" s="90" t="str">
        <x:v>Core</x:v>
      </x:c>
      <x:c r="F859" s="90" t="str">
        <x:v>Yes</x:v>
      </x:c>
      <x:c r="G859" s="90" t="str">
        <x:v>Yes — bundled</x:v>
      </x:c>
      <x:c r="H859" s="90" t="str">
        <x:v>Financial Stewardship &amp; Overpayment Controls</x:v>
      </x:c>
      <x:c r="I859" s="90" t="str">
        <x:v>80% fiduciary scenario quiz</x:v>
      </x:c>
      <x:c r="J859" s="90" t="str">
        <x:v>By day 14; before independent duty if earlier</x:v>
      </x:c>
      <x:c r="K859" s="90" t="str">
        <x:v>At hire; then on material revision</x:v>
      </x:c>
      <x:c r="L859" s="90" t="str">
        <x:v>Ready</x:v>
      </x:c>
      <x:c r="M859" s="90" t="str">
        <x:v>Board fiduciary oversight includes budget, fraud controls, and prompt overpayment response.</x:v>
      </x:c>
      <x:c r="N859" s="90" t="str">
        <x:v>12-allPoliciesContent.generated.ts — FN-BC-004</x:v>
      </x:c>
      <x:c r="O859" s="90" t="str"/>
      <x:c r="P859" s="90" t="str"/>
    </x:row>
    <x:row r="860" ht="42" customHeight="1">
      <x:c r="A860" s="90" t="str">
        <x:v>GB-12</x:v>
      </x:c>
      <x:c r="B860" s="90" t="str">
        <x:v>GB</x:v>
      </x:c>
      <x:c r="C860" s="90" t="str">
        <x:v>RM-EP-001</x:v>
      </x:c>
      <x:c r="D860" s="90" t="str">
        <x:v>Emergency Preparedness Program</x:v>
      </x:c>
      <x:c r="E860" s="90" t="str">
        <x:v>Core</x:v>
      </x:c>
      <x:c r="F860" s="90" t="str">
        <x:v>Yes</x:v>
      </x:c>
      <x:c r="G860" s="90" t="str">
        <x:v>Yes — bundled</x:v>
      </x:c>
      <x:c r="H860" s="90" t="str">
        <x:v>Emergency Preparedness &amp; Enterprise Risk Oversight</x:v>
      </x:c>
      <x:c r="I860" s="90" t="str">
        <x:v>80% risk/continuity quiz + exercise participation as assigned</x:v>
      </x:c>
      <x:c r="J860" s="90" t="str">
        <x:v>By day 14; before independent duty if earlier</x:v>
      </x:c>
      <x:c r="K860" s="90" t="str">
        <x:v>Initial + annual agency governance review</x:v>
      </x:c>
      <x:c r="L860" s="90" t="str">
        <x:v>Ready</x:v>
      </x:c>
      <x:c r="M860" s="90" t="str">
        <x:v>Board oversight includes emergency program resources and enterprise risk priorities.</x:v>
      </x:c>
      <x:c r="N860" s="90" t="str">
        <x:v>12-allPoliciesContent.generated.ts — RM-EP-001</x:v>
      </x:c>
      <x:c r="O860" s="90" t="str">
        <x:v>https://www.ecfr.gov/current/title-42/part-484/section-484.102</x:v>
      </x:c>
      <x:c r="P860" s="90" t="str"/>
    </x:row>
    <x:row r="861" ht="42" customHeight="1">
      <x:c r="A861" s="90" t="str">
        <x:v>GB-12</x:v>
      </x:c>
      <x:c r="B861" s="90" t="str">
        <x:v>GB</x:v>
      </x:c>
      <x:c r="C861" s="90" t="str">
        <x:v>RM-EP-002</x:v>
      </x:c>
      <x:c r="D861" s="90" t="str">
        <x:v>Emergency Preparedness Training &amp; Testing Program</x:v>
      </x:c>
      <x:c r="E861" s="90" t="str">
        <x:v>Core</x:v>
      </x:c>
      <x:c r="F861" s="90" t="str">
        <x:v>Yes</x:v>
      </x:c>
      <x:c r="G861" s="90" t="str">
        <x:v>Yes — bundled</x:v>
      </x:c>
      <x:c r="H861" s="90" t="str">
        <x:v>Emergency Preparedness &amp; Enterprise Risk Oversight</x:v>
      </x:c>
      <x:c r="I861" s="90" t="str">
        <x:v>80% risk/continuity quiz + exercise participation as assigned</x:v>
      </x:c>
      <x:c r="J861" s="90" t="str">
        <x:v>By day 14; before independent duty if earlier</x:v>
      </x:c>
      <x:c r="K861" s="90" t="str">
        <x:v>Initial + annual agency governance review</x:v>
      </x:c>
      <x:c r="L861" s="90" t="str">
        <x:v>Ready</x:v>
      </x:c>
      <x:c r="M861" s="90" t="str">
        <x:v>Board oversight includes emergency program resources and enterprise risk priorities.</x:v>
      </x:c>
      <x:c r="N861" s="90" t="str">
        <x:v>12-allPoliciesContent.generated.ts — RM-EP-002</x:v>
      </x:c>
      <x:c r="O861" s="90" t="str">
        <x:v>https://www.ecfr.gov/current/title-42/part-484/section-484.102</x:v>
      </x:c>
      <x:c r="P861" s="90" t="str"/>
    </x:row>
    <x:row r="862" ht="42" customHeight="1">
      <x:c r="A862" s="90" t="str">
        <x:v>GB-12</x:v>
      </x:c>
      <x:c r="B862" s="90" t="str">
        <x:v>GB</x:v>
      </x:c>
      <x:c r="C862" s="90" t="str">
        <x:v>RM-ER-001</x:v>
      </x:c>
      <x:c r="D862" s="90" t="str">
        <x:v>Enterprise Risk Management Program</x:v>
      </x:c>
      <x:c r="E862" s="90" t="str">
        <x:v>Core</x:v>
      </x:c>
      <x:c r="F862" s="90" t="str">
        <x:v>Yes</x:v>
      </x:c>
      <x:c r="G862" s="90" t="str">
        <x:v>Yes — bundled</x:v>
      </x:c>
      <x:c r="H862" s="90" t="str">
        <x:v>Emergency Preparedness &amp; Enterprise Risk Oversight</x:v>
      </x:c>
      <x:c r="I862" s="90" t="str">
        <x:v>80% risk/continuity quiz + exercise participation as assigned</x:v>
      </x:c>
      <x:c r="J862" s="90" t="str">
        <x:v>By day 14; before independent duty if earlier</x:v>
      </x:c>
      <x:c r="K862" s="90" t="str">
        <x:v>Initial + annual agency governance review</x:v>
      </x:c>
      <x:c r="L862" s="90" t="str">
        <x:v>Ready</x:v>
      </x:c>
      <x:c r="M862" s="90" t="str">
        <x:v>Board oversight includes emergency program resources and enterprise risk priorities.</x:v>
      </x:c>
      <x:c r="N862" s="90" t="str">
        <x:v>12-allPoliciesContent.generated.ts — RM-ER-001</x:v>
      </x:c>
      <x:c r="O862" s="90" t="str"/>
      <x:c r="P862" s="90" t="str"/>
    </x:row>
    <x:row r="863" ht="42" customHeight="1">
      <x:c r="A863" s="90" t="str">
        <x:v>GB-12</x:v>
      </x:c>
      <x:c r="B863" s="90" t="str">
        <x:v>GB</x:v>
      </x:c>
      <x:c r="C863" s="90" t="str">
        <x:v>RM-ER-003</x:v>
      </x:c>
      <x:c r="D863" s="90" t="str">
        <x:v>Risk Assessment &amp; Prioritization</x:v>
      </x:c>
      <x:c r="E863" s="90" t="str">
        <x:v>Core</x:v>
      </x:c>
      <x:c r="F863" s="90" t="str">
        <x:v>Yes</x:v>
      </x:c>
      <x:c r="G863" s="90" t="str">
        <x:v>Yes — bundled</x:v>
      </x:c>
      <x:c r="H863" s="90" t="str">
        <x:v>Emergency Preparedness &amp; Enterprise Risk Oversight</x:v>
      </x:c>
      <x:c r="I863" s="90" t="str">
        <x:v>80% risk/continuity quiz + exercise participation as assigned</x:v>
      </x:c>
      <x:c r="J863" s="90" t="str">
        <x:v>By day 14; before independent duty if earlier</x:v>
      </x:c>
      <x:c r="K863" s="90" t="str">
        <x:v>Initial + annual agency governance review</x:v>
      </x:c>
      <x:c r="L863" s="90" t="str">
        <x:v>Ready</x:v>
      </x:c>
      <x:c r="M863" s="90" t="str">
        <x:v>Board oversight includes emergency program resources and enterprise risk priorities.</x:v>
      </x:c>
      <x:c r="N863" s="90" t="str">
        <x:v>12-allPoliciesContent.generated.ts — RM-ER-003</x:v>
      </x:c>
      <x:c r="O863" s="90" t="str"/>
      <x:c r="P863" s="90" t="str"/>
    </x:row>
    <x:row r="864" ht="42" customHeight="1">
      <x:c r="A864" s="90" t="str">
        <x:v>GB-13</x:v>
      </x:c>
      <x:c r="B864" s="90" t="str">
        <x:v>GB</x:v>
      </x:c>
      <x:c r="C864" s="90" t="str">
        <x:v>GV-EA-004</x:v>
      </x:c>
      <x:c r="D864" s="90" t="str">
        <x:v>Agency Licensure &amp; Certification Maintenance</x:v>
      </x:c>
      <x:c r="E864" s="90" t="str">
        <x:v>Core</x:v>
      </x:c>
      <x:c r="F864" s="90" t="str">
        <x:v>Yes</x:v>
      </x:c>
      <x:c r="G864" s="90" t="str">
        <x:v>Yes — bundled</x:v>
      </x:c>
      <x:c r="H864" s="90" t="str">
        <x:v>Licensure, Certification, Closure &amp; Change of Ownership</x:v>
      </x:c>
      <x:c r="I864" s="90" t="str">
        <x:v>80% governance decision quiz</x:v>
      </x:c>
      <x:c r="J864" s="90" t="str">
        <x:v>By day 14; before independent duty if earlier</x:v>
      </x:c>
      <x:c r="K864" s="90" t="str">
        <x:v>At hire; then on material revision</x:v>
      </x:c>
      <x:c r="L864" s="90" t="str">
        <x:v>Ready</x:v>
      </x:c>
      <x:c r="M864" s="90" t="str">
        <x:v>Board members must recognize actions that affect licensure, certification, accreditation, closure, or CHOW.</x:v>
      </x:c>
      <x:c r="N864" s="90" t="str">
        <x:v>12-allPoliciesContent.generated.ts — GV-EA-004</x:v>
      </x:c>
      <x:c r="O864" s="90" t="str">
        <x:v>https://www.ecfr.gov/current/title-42/part-484/section-484.105</x:v>
      </x:c>
      <x:c r="P864" s="90" t="str"/>
    </x:row>
    <x:row r="865" ht="42" customHeight="1">
      <x:c r="A865" s="90" t="str">
        <x:v>GB-13</x:v>
      </x:c>
      <x:c r="B865" s="90" t="str">
        <x:v>GB</x:v>
      </x:c>
      <x:c r="C865" s="90" t="str">
        <x:v>GV-EA-005</x:v>
      </x:c>
      <x:c r="D865" s="90" t="str">
        <x:v>Agency Closure or Change of Ownership</x:v>
      </x:c>
      <x:c r="E865" s="90" t="str">
        <x:v>Core</x:v>
      </x:c>
      <x:c r="F865" s="90" t="str">
        <x:v>Yes</x:v>
      </x:c>
      <x:c r="G865" s="90" t="str">
        <x:v>Yes — bundled</x:v>
      </x:c>
      <x:c r="H865" s="90" t="str">
        <x:v>Licensure, Certification, Closure &amp; Change of Ownership</x:v>
      </x:c>
      <x:c r="I865" s="90" t="str">
        <x:v>80% governance decision quiz</x:v>
      </x:c>
      <x:c r="J865" s="90" t="str">
        <x:v>By day 14; before independent duty if earlier</x:v>
      </x:c>
      <x:c r="K865" s="90" t="str">
        <x:v>At hire; then on material revision</x:v>
      </x:c>
      <x:c r="L865" s="90" t="str">
        <x:v>Ready</x:v>
      </x:c>
      <x:c r="M865" s="90" t="str">
        <x:v>Board members must recognize actions that affect licensure, certification, accreditation, closure, or CHOW.</x:v>
      </x:c>
      <x:c r="N865" s="90" t="str">
        <x:v>12-allPoliciesContent.generated.ts — GV-EA-005</x:v>
      </x:c>
      <x:c r="O865" s="90" t="str">
        <x:v>https://www.ecfr.gov/current/title-42/part-484/section-484.105</x:v>
      </x:c>
      <x:c r="P865" s="90" t="str"/>
    </x:row>
    <x:row r="866" ht="42" customHeight="1">
      <x:c r="A866" s="90" t="str">
        <x:v>GB-13</x:v>
      </x:c>
      <x:c r="B866" s="90" t="str">
        <x:v>GB</x:v>
      </x:c>
      <x:c r="C866" s="90" t="str">
        <x:v>CO-RA-004</x:v>
      </x:c>
      <x:c r="D866" s="90" t="str">
        <x:v>Medicare Conditions of Participation Compliance</x:v>
      </x:c>
      <x:c r="E866" s="90" t="str">
        <x:v>Core</x:v>
      </x:c>
      <x:c r="F866" s="90" t="str">
        <x:v>Yes</x:v>
      </x:c>
      <x:c r="G866" s="90" t="str">
        <x:v>Yes — bundled</x:v>
      </x:c>
      <x:c r="H866" s="90" t="str">
        <x:v>Licensure, Certification, Closure &amp; Change of Ownership</x:v>
      </x:c>
      <x:c r="I866" s="90" t="str">
        <x:v>80% governance decision quiz</x:v>
      </x:c>
      <x:c r="J866" s="90" t="str">
        <x:v>By day 14; before independent duty if earlier</x:v>
      </x:c>
      <x:c r="K866" s="90" t="str">
        <x:v>At hire; then on material revision</x:v>
      </x:c>
      <x:c r="L866" s="90" t="str">
        <x:v>Ready</x:v>
      </x:c>
      <x:c r="M866" s="90" t="str">
        <x:v>Board members must recognize actions that affect licensure, certification, accreditation, closure, or CHOW.</x:v>
      </x:c>
      <x:c r="N866" s="90" t="str">
        <x:v>12-allPoliciesContent.generated.ts — CO-RA-004</x:v>
      </x:c>
      <x:c r="O866" s="90" t="str"/>
      <x:c r="P866" s="90" t="str"/>
    </x:row>
    <x:row r="867" ht="42" customHeight="1">
      <x:c r="A867" s="90" t="str">
        <x:v>GB-13</x:v>
      </x:c>
      <x:c r="B867" s="90" t="str">
        <x:v>GB</x:v>
      </x:c>
      <x:c r="C867" s="90" t="str">
        <x:v>CO-RA-005</x:v>
      </x:c>
      <x:c r="D867" s="90" t="str">
        <x:v>State Licensure &amp; Regulatory Compliance</x:v>
      </x:c>
      <x:c r="E867" s="90" t="str">
        <x:v>Core</x:v>
      </x:c>
      <x:c r="F867" s="90" t="str">
        <x:v>Yes</x:v>
      </x:c>
      <x:c r="G867" s="90" t="str">
        <x:v>Yes — bundled</x:v>
      </x:c>
      <x:c r="H867" s="90" t="str">
        <x:v>Licensure, Certification, Closure &amp; Change of Ownership</x:v>
      </x:c>
      <x:c r="I867" s="90" t="str">
        <x:v>80% governance decision quiz</x:v>
      </x:c>
      <x:c r="J867" s="90" t="str">
        <x:v>By day 14; before independent duty if earlier</x:v>
      </x:c>
      <x:c r="K867" s="90" t="str">
        <x:v>At hire; then on material revision</x:v>
      </x:c>
      <x:c r="L867" s="90" t="str">
        <x:v>Ready</x:v>
      </x:c>
      <x:c r="M867" s="90" t="str">
        <x:v>Board members must recognize actions that affect licensure, certification, accreditation, closure, or CHOW.</x:v>
      </x:c>
      <x:c r="N867" s="90" t="str">
        <x:v>12-allPoliciesContent.generated.ts — CO-RA-005</x:v>
      </x:c>
      <x:c r="O867" s="90" t="str"/>
      <x:c r="P867" s="90" t="str"/>
    </x:row>
    <x:row r="868" ht="42" customHeight="1">
      <x:c r="A868" s="90" t="str">
        <x:v>GB-13</x:v>
      </x:c>
      <x:c r="B868" s="90" t="str">
        <x:v>GB</x:v>
      </x:c>
      <x:c r="C868" s="90" t="str">
        <x:v>CO-RA-006</x:v>
      </x:c>
      <x:c r="D868" s="90" t="str">
        <x:v>Accreditation Standards Compliance</x:v>
      </x:c>
      <x:c r="E868" s="90" t="str">
        <x:v>Core</x:v>
      </x:c>
      <x:c r="F868" s="90" t="str">
        <x:v>Yes</x:v>
      </x:c>
      <x:c r="G868" s="90" t="str">
        <x:v>Yes — bundled</x:v>
      </x:c>
      <x:c r="H868" s="90" t="str">
        <x:v>Licensure, Certification, Closure &amp; Change of Ownership</x:v>
      </x:c>
      <x:c r="I868" s="90" t="str">
        <x:v>80% governance decision quiz</x:v>
      </x:c>
      <x:c r="J868" s="90" t="str">
        <x:v>By day 14; before independent duty if earlier</x:v>
      </x:c>
      <x:c r="K868" s="90" t="str">
        <x:v>At hire; then on material revision</x:v>
      </x:c>
      <x:c r="L868" s="90" t="str">
        <x:v>Ready</x:v>
      </x:c>
      <x:c r="M868" s="90" t="str">
        <x:v>Board members must recognize actions that affect licensure, certification, accreditation, closure, or CHOW.</x:v>
      </x:c>
      <x:c r="N868" s="90" t="str">
        <x:v>12-allPoliciesContent.generated.ts — CO-RA-006</x:v>
      </x:c>
      <x:c r="O868" s="90" t="str"/>
      <x:c r="P868" s="90" t="str"/>
    </x:row>
  </x:sheetData>
  <x:mergeCells>
    <x:mergeCell ref="A1:P1"/>
    <x:mergeCell ref="A2:P2"/>
  </x:mergeCells>
  <x:conditionalFormatting sqref="E5:E868">
    <x:cfRule type="containsText" dxfId="6" priority="1" operator="containsText" text="Hold"/>
    <x:cfRule type="containsText" dxfId="7" priority="2" operator="containsText" text="Partial"/>
    <x:cfRule type="containsText" dxfId="8" priority="3" operator="containsText" text="Conditional"/>
    <x:cfRule type="containsText" dxfId="9" priority="4" operator="containsText" text="Ready"/>
  </x:conditionalFormatting>
  <x:conditionalFormatting sqref="L5:L868">
    <x:cfRule type="containsText" dxfId="10" priority="5" operator="containsText" text="Hold"/>
    <x:cfRule type="containsText" dxfId="11" priority="6" operator="containsText" text="Partial"/>
    <x:cfRule type="containsText" dxfId="12" priority="7" operator="containsText" text="Conditional"/>
    <x:cfRule type="containsText" dxfId="13" priority="8" operator="containsText" text="Ready"/>
  </x:conditionalFormatting>
  <x:pageMargins left="0.7" right="0.7" top="0.75" bottom="0.75" header="0.3" footer="0.3"/>
  <x:tableParts count="1">
    <x:tablePart xmlns:r="http://schemas.openxmlformats.org/officeDocument/2006/relationships" r:id="R129f7b18861647d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6" hidden="0" customWidth="1"/>
    <x:col min="3" max="3" width="10" hidden="0" customWidth="1"/>
    <x:col min="4" max="4" width="8" hidden="0" customWidth="1"/>
    <x:col min="5" max="5" width="8"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 min="15" max="15" width="8" hidden="0" customWidth="1"/>
    <x:col min="16" max="16" width="24" hidden="0" customWidth="1"/>
  </x:cols>
  <x:sheetData>
    <x:row r="1" ht="34" customHeight="1">
      <x:c r="A1" s="3" t="str">
        <x:v>Role Policy Matrix</x:v>
      </x:c>
      <x:c r="B1" s="85"/>
      <x:c r="C1" s="85"/>
      <x:c r="D1" s="85"/>
      <x:c r="E1" s="85"/>
      <x:c r="F1" s="85"/>
      <x:c r="G1" s="85"/>
      <x:c r="H1" s="85"/>
      <x:c r="I1" s="85"/>
      <x:c r="J1" s="85"/>
      <x:c r="K1" s="85"/>
      <x:c r="L1" s="85"/>
      <x:c r="M1" s="85"/>
      <x:c r="N1" s="85"/>
      <x:c r="O1" s="85"/>
      <x:c r="P1" s="85"/>
    </x:row>
    <x:row r="2" ht="30" customHeight="1">
      <x:c r="A2" s="7" t="str">
        <x:v>G = inherited General • R = role core • C = conditional trigger • H = hold. Governing Body does not inherit General.</x:v>
      </x:c>
      <x:c r="B2" s="85"/>
      <x:c r="C2" s="85"/>
      <x:c r="D2" s="85"/>
      <x:c r="E2" s="85"/>
      <x:c r="F2" s="85"/>
      <x:c r="G2" s="85"/>
      <x:c r="H2" s="85"/>
      <x:c r="I2" s="85"/>
      <x:c r="J2" s="85"/>
      <x:c r="K2" s="85"/>
      <x:c r="L2" s="85"/>
      <x:c r="M2" s="85"/>
      <x:c r="N2" s="85"/>
      <x:c r="O2" s="85"/>
      <x:c r="P2" s="85"/>
    </x:row>
    <x:row r="3">
      <x:c r="A3" s="85"/>
      <x:c r="B3" s="85"/>
      <x:c r="C3" s="85"/>
      <x:c r="D3" s="85"/>
      <x:c r="E3" s="85"/>
      <x:c r="F3" s="85"/>
      <x:c r="G3" s="85"/>
      <x:c r="H3" s="85"/>
      <x:c r="I3" s="85"/>
      <x:c r="J3" s="85"/>
      <x:c r="K3" s="85"/>
      <x:c r="L3" s="85"/>
      <x:c r="M3" s="85"/>
      <x:c r="N3" s="85"/>
      <x:c r="O3" s="85"/>
      <x:c r="P3" s="85"/>
    </x:row>
    <x:row r="4" ht="32" customHeight="1">
      <x:c r="A4" s="67" t="str">
        <x:v>Policy ID</x:v>
      </x:c>
      <x:c r="B4" s="68" t="str">
        <x:v>Policy title</x:v>
      </x:c>
      <x:c r="C4" s="68" t="str">
        <x:v>General</x:v>
      </x:c>
      <x:c r="D4" s="68" t="str">
        <x:v>LVN</x:v>
      </x:c>
      <x:c r="E4" s="68" t="str">
        <x:v>RN</x:v>
      </x:c>
      <x:c r="F4" s="68" t="str">
        <x:v>HHA</x:v>
      </x:c>
      <x:c r="G4" s="68" t="str">
        <x:v>PT</x:v>
      </x:c>
      <x:c r="H4" s="68" t="str">
        <x:v>PTA</x:v>
      </x:c>
      <x:c r="I4" s="68" t="str">
        <x:v>OT</x:v>
      </x:c>
      <x:c r="J4" s="68" t="str">
        <x:v>COTA</x:v>
      </x:c>
      <x:c r="K4" s="68" t="str">
        <x:v>SLP</x:v>
      </x:c>
      <x:c r="L4" s="68" t="str">
        <x:v>MSW</x:v>
      </x:c>
      <x:c r="M4" s="68" t="str">
        <x:v>ADM</x:v>
      </x:c>
      <x:c r="N4" s="68" t="str">
        <x:v>DON</x:v>
      </x:c>
      <x:c r="O4" s="68" t="str">
        <x:v>GB</x:v>
      </x:c>
      <x:c r="P4" s="69" t="str">
        <x:v>Source / status note</x:v>
      </x:c>
    </x:row>
    <x:row r="5" ht="22" customHeight="1">
      <x:c r="A5" s="90" t="str">
        <x:v>CL-CA-001</x:v>
      </x:c>
      <x:c r="B5" s="90" t="str">
        <x:v>Patient Assessment — Comprehensive</x:v>
      </x:c>
      <x:c r="C5" s="94" t="str">
        <x:f>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c>
      <x:c r="D5" s="94" t="str">
        <x:f>IF(COUNTIFS('Policy Assignments'!$C$5:$C$868,$A5,'Policy Assignments'!$B$5:$B$868,D$4,'Policy Assignments'!$E$5:$E$868,"Hold")&gt;0,"H",IF(COUNTIFS('Policy Assignments'!$C$5:$C$868,$A5,'Policy Assignments'!$B$5:$B$868,D$4,'Policy Assignments'!$E$5:$E$868,"Core")&gt;0,"R",IF(COUNTIFS('Policy Assignments'!$C$5:$C$868,$A5,'Policy Assignments'!$B$5:$B$868,D$4,'Policy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c>
      <x:c r="E5" s="94" t="str">
        <x:f>IF(COUNTIFS('Policy Assignments'!$C$5:$C$868,$A5,'Policy Assignments'!$B$5:$B$868,E$4,'Policy Assignments'!$E$5:$E$868,"Hold")&gt;0,"H",IF(COUNTIFS('Policy Assignments'!$C$5:$C$868,$A5,'Policy Assignments'!$B$5:$B$868,E$4,'Policy Assignments'!$E$5:$E$868,"Core")&gt;0,"R",IF(COUNTIFS('Policy Assignments'!$C$5:$C$868,$A5,'Policy Assignments'!$B$5:$B$868,E$4,'Policy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v>H</x:v>
      </x:c>
      <x:c r="F5" s="94" t="str">
        <x:f>IF(COUNTIFS('Policy Assignments'!$C$5:$C$868,$A5,'Policy Assignments'!$B$5:$B$868,F$4,'Policy Assignments'!$E$5:$E$868,"Hold")&gt;0,"H",IF(COUNTIFS('Policy Assignments'!$C$5:$C$868,$A5,'Policy Assignments'!$B$5:$B$868,F$4,'Policy Assignments'!$E$5:$E$868,"Core")&gt;0,"R",IF(COUNTIFS('Policy Assignments'!$C$5:$C$868,$A5,'Policy Assignments'!$B$5:$B$868,F$4,'Policy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c>
      <x:c r="G5" s="94" t="str">
        <x:f>IF(COUNTIFS('Policy Assignments'!$C$5:$C$868,$A5,'Policy Assignments'!$B$5:$B$868,G$4,'Policy Assignments'!$E$5:$E$868,"Hold")&gt;0,"H",IF(COUNTIFS('Policy Assignments'!$C$5:$C$868,$A5,'Policy Assignments'!$B$5:$B$868,G$4,'Policy Assignments'!$E$5:$E$868,"Core")&gt;0,"R",IF(COUNTIFS('Policy Assignments'!$C$5:$C$868,$A5,'Policy Assignments'!$B$5:$B$868,G$4,'Policy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v>H</x:v>
      </x:c>
      <x:c r="H5" s="94" t="str">
        <x:f>IF(COUNTIFS('Policy Assignments'!$C$5:$C$868,$A5,'Policy Assignments'!$B$5:$B$868,H$4,'Policy Assignments'!$E$5:$E$868,"Hold")&gt;0,"H",IF(COUNTIFS('Policy Assignments'!$C$5:$C$868,$A5,'Policy Assignments'!$B$5:$B$868,H$4,'Policy Assignments'!$E$5:$E$868,"Core")&gt;0,"R",IF(COUNTIFS('Policy Assignments'!$C$5:$C$868,$A5,'Policy Assignments'!$B$5:$B$868,H$4,'Policy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c>
      <x:c r="I5" s="94" t="str">
        <x:f>IF(COUNTIFS('Policy Assignments'!$C$5:$C$868,$A5,'Policy Assignments'!$B$5:$B$868,I$4,'Policy Assignments'!$E$5:$E$868,"Hold")&gt;0,"H",IF(COUNTIFS('Policy Assignments'!$C$5:$C$868,$A5,'Policy Assignments'!$B$5:$B$868,I$4,'Policy Assignments'!$E$5:$E$868,"Core")&gt;0,"R",IF(COUNTIFS('Policy Assignments'!$C$5:$C$868,$A5,'Policy Assignments'!$B$5:$B$868,I$4,'Policy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v>H</x:v>
      </x:c>
      <x:c r="J5" s="94" t="str">
        <x:f>IF(COUNTIFS('Policy Assignments'!$C$5:$C$868,$A5,'Policy Assignments'!$B$5:$B$868,J$4,'Policy Assignments'!$E$5:$E$868,"Hold")&gt;0,"H",IF(COUNTIFS('Policy Assignments'!$C$5:$C$868,$A5,'Policy Assignments'!$B$5:$B$868,J$4,'Policy Assignments'!$E$5:$E$868,"Core")&gt;0,"R",IF(COUNTIFS('Policy Assignments'!$C$5:$C$868,$A5,'Policy Assignments'!$B$5:$B$868,J$4,'Policy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c>
      <x:c r="K5" s="94" t="str">
        <x:f>IF(COUNTIFS('Policy Assignments'!$C$5:$C$868,$A5,'Policy Assignments'!$B$5:$B$868,K$4,'Policy Assignments'!$E$5:$E$868,"Hold")&gt;0,"H",IF(COUNTIFS('Policy Assignments'!$C$5:$C$868,$A5,'Policy Assignments'!$B$5:$B$868,K$4,'Policy Assignments'!$E$5:$E$868,"Core")&gt;0,"R",IF(COUNTIFS('Policy Assignments'!$C$5:$C$868,$A5,'Policy Assignments'!$B$5:$B$868,K$4,'Policy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v>H</x:v>
      </x:c>
      <x:c r="L5" s="94" t="str">
        <x:f>IF(COUNTIFS('Policy Assignments'!$C$5:$C$868,$A5,'Policy Assignments'!$B$5:$B$868,L$4,'Policy Assignments'!$E$5:$E$868,"Hold")&gt;0,"H",IF(COUNTIFS('Policy Assignments'!$C$5:$C$868,$A5,'Policy Assignments'!$B$5:$B$868,L$4,'Policy Assignments'!$E$5:$E$868,"Core")&gt;0,"R",IF(COUNTIFS('Policy Assignments'!$C$5:$C$868,$A5,'Policy Assignments'!$B$5:$B$868,L$4,'Policy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c>
      <x:c r="M5" s="94" t="str">
        <x:f>IF(COUNTIFS('Policy Assignments'!$C$5:$C$868,$A5,'Policy Assignments'!$B$5:$B$868,M$4,'Policy Assignments'!$E$5:$E$868,"Hold")&gt;0,"H",IF(COUNTIFS('Policy Assignments'!$C$5:$C$868,$A5,'Policy Assignments'!$B$5:$B$868,M$4,'Policy Assignments'!$E$5:$E$868,"Core")&gt;0,"R",IF(COUNTIFS('Policy Assignments'!$C$5:$C$868,$A5,'Policy Assignments'!$B$5:$B$868,M$4,'Policy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c>
      <x:c r="N5" s="94" t="str">
        <x:f>IF(COUNTIFS('Policy Assignments'!$C$5:$C$868,$A5,'Policy Assignments'!$B$5:$B$868,N$4,'Policy Assignments'!$E$5:$E$868,"Hold")&gt;0,"H",IF(COUNTIFS('Policy Assignments'!$C$5:$C$868,$A5,'Policy Assignments'!$B$5:$B$868,N$4,'Policy Assignments'!$E$5:$E$868,"Core")&gt;0,"R",IF(COUNTIFS('Policy Assignments'!$C$5:$C$868,$A5,'Policy Assignments'!$B$5:$B$868,N$4,'Policy Assignments'!$E$5:$E$868,"Conditional")&gt;0,"C",IF(COUNTIFS('Policy Assignments'!$C$5:$C$868,$A5,'Policy Assignments'!$B$5:$B$868,"General",'Policy Assignments'!$E$5:$E$868,"Hold")&gt;0,"H",IF(COUNTIFS('Policy Assignments'!$C$5:$C$868,$A5,'Policy Assignments'!$B$5:$B$868,"General",'Policy Assignments'!$E$5:$E$868,"Conditional")&gt;0,"C",IF(COUNTIFS('Policy Assignments'!$C$5:$C$868,$A5,'Policy Assignments'!$B$5:$B$868,"General")&gt;0,"G",""))))))</x:f>
        <x:v>H</x:v>
      </x:c>
      <x:c r="O5" s="94" t="str">
        <x:f>IF(COUNTIFS('Policy Assignments'!$C$5:$C$868,$A5,'Policy Assignments'!$B$5:$B$868,O$4,'Policy Assignments'!$E$5:$E$868,"Hold")&gt;0,"H",IF(COUNTIFS('Policy Assignments'!$C$5:$C$868,$A5,'Policy Assignments'!$B$5:$B$868,O$4,'Policy Assignments'!$E$5:$E$868,"Core")&gt;0,"R",IF(COUNTIFS('Policy Assignments'!$C$5:$C$868,$A5,'Policy Assignments'!$B$5:$B$868,O$4,'Policy Assignments'!$E$5:$E$868,"Conditional")&gt;0,"C","")))</x:f>
      </x:c>
      <x:c r="P5" s="90" t="str">
        <x:v>Hold/correction required</x:v>
      </x:c>
    </x:row>
    <x:row r="6" ht="22" customHeight="1">
      <x:c r="A6" s="90" t="str">
        <x:v>CL-CA-002</x:v>
      </x:c>
      <x:c r="B6" s="90" t="str">
        <x:v>OASIS Data Collection &amp; Accuracy</x:v>
      </x:c>
      <x:c r="C6" s="94" t="str">
        <x:f>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c>
      <x:c r="D6" s="94" t="str">
        <x:f>IF(COUNTIFS('Policy Assignments'!$C$5:$C$868,$A6,'Policy Assignments'!$B$5:$B$868,D$4,'Policy Assignments'!$E$5:$E$868,"Hold")&gt;0,"H",IF(COUNTIFS('Policy Assignments'!$C$5:$C$868,$A6,'Policy Assignments'!$B$5:$B$868,D$4,'Policy Assignments'!$E$5:$E$868,"Core")&gt;0,"R",IF(COUNTIFS('Policy Assignments'!$C$5:$C$868,$A6,'Policy Assignments'!$B$5:$B$868,D$4,'Policy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c>
      <x:c r="E6" s="94" t="str">
        <x:f>IF(COUNTIFS('Policy Assignments'!$C$5:$C$868,$A6,'Policy Assignments'!$B$5:$B$868,E$4,'Policy Assignments'!$E$5:$E$868,"Hold")&gt;0,"H",IF(COUNTIFS('Policy Assignments'!$C$5:$C$868,$A6,'Policy Assignments'!$B$5:$B$868,E$4,'Policy Assignments'!$E$5:$E$868,"Core")&gt;0,"R",IF(COUNTIFS('Policy Assignments'!$C$5:$C$868,$A6,'Policy Assignments'!$B$5:$B$868,E$4,'Policy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v>H</x:v>
      </x:c>
      <x:c r="F6" s="94" t="str">
        <x:f>IF(COUNTIFS('Policy Assignments'!$C$5:$C$868,$A6,'Policy Assignments'!$B$5:$B$868,F$4,'Policy Assignments'!$E$5:$E$868,"Hold")&gt;0,"H",IF(COUNTIFS('Policy Assignments'!$C$5:$C$868,$A6,'Policy Assignments'!$B$5:$B$868,F$4,'Policy Assignments'!$E$5:$E$868,"Core")&gt;0,"R",IF(COUNTIFS('Policy Assignments'!$C$5:$C$868,$A6,'Policy Assignments'!$B$5:$B$868,F$4,'Policy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c>
      <x:c r="G6" s="94" t="str">
        <x:f>IF(COUNTIFS('Policy Assignments'!$C$5:$C$868,$A6,'Policy Assignments'!$B$5:$B$868,G$4,'Policy Assignments'!$E$5:$E$868,"Hold")&gt;0,"H",IF(COUNTIFS('Policy Assignments'!$C$5:$C$868,$A6,'Policy Assignments'!$B$5:$B$868,G$4,'Policy Assignments'!$E$5:$E$868,"Core")&gt;0,"R",IF(COUNTIFS('Policy Assignments'!$C$5:$C$868,$A6,'Policy Assignments'!$B$5:$B$868,G$4,'Policy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v>H</x:v>
      </x:c>
      <x:c r="H6" s="94" t="str">
        <x:f>IF(COUNTIFS('Policy Assignments'!$C$5:$C$868,$A6,'Policy Assignments'!$B$5:$B$868,H$4,'Policy Assignments'!$E$5:$E$868,"Hold")&gt;0,"H",IF(COUNTIFS('Policy Assignments'!$C$5:$C$868,$A6,'Policy Assignments'!$B$5:$B$868,H$4,'Policy Assignments'!$E$5:$E$868,"Core")&gt;0,"R",IF(COUNTIFS('Policy Assignments'!$C$5:$C$868,$A6,'Policy Assignments'!$B$5:$B$868,H$4,'Policy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c>
      <x:c r="I6" s="94" t="str">
        <x:f>IF(COUNTIFS('Policy Assignments'!$C$5:$C$868,$A6,'Policy Assignments'!$B$5:$B$868,I$4,'Policy Assignments'!$E$5:$E$868,"Hold")&gt;0,"H",IF(COUNTIFS('Policy Assignments'!$C$5:$C$868,$A6,'Policy Assignments'!$B$5:$B$868,I$4,'Policy Assignments'!$E$5:$E$868,"Core")&gt;0,"R",IF(COUNTIFS('Policy Assignments'!$C$5:$C$868,$A6,'Policy Assignments'!$B$5:$B$868,I$4,'Policy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v>H</x:v>
      </x:c>
      <x:c r="J6" s="94" t="str">
        <x:f>IF(COUNTIFS('Policy Assignments'!$C$5:$C$868,$A6,'Policy Assignments'!$B$5:$B$868,J$4,'Policy Assignments'!$E$5:$E$868,"Hold")&gt;0,"H",IF(COUNTIFS('Policy Assignments'!$C$5:$C$868,$A6,'Policy Assignments'!$B$5:$B$868,J$4,'Policy Assignments'!$E$5:$E$868,"Core")&gt;0,"R",IF(COUNTIFS('Policy Assignments'!$C$5:$C$868,$A6,'Policy Assignments'!$B$5:$B$868,J$4,'Policy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c>
      <x:c r="K6" s="94" t="str">
        <x:f>IF(COUNTIFS('Policy Assignments'!$C$5:$C$868,$A6,'Policy Assignments'!$B$5:$B$868,K$4,'Policy Assignments'!$E$5:$E$868,"Hold")&gt;0,"H",IF(COUNTIFS('Policy Assignments'!$C$5:$C$868,$A6,'Policy Assignments'!$B$5:$B$868,K$4,'Policy Assignments'!$E$5:$E$868,"Core")&gt;0,"R",IF(COUNTIFS('Policy Assignments'!$C$5:$C$868,$A6,'Policy Assignments'!$B$5:$B$868,K$4,'Policy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v>H</x:v>
      </x:c>
      <x:c r="L6" s="94" t="str">
        <x:f>IF(COUNTIFS('Policy Assignments'!$C$5:$C$868,$A6,'Policy Assignments'!$B$5:$B$868,L$4,'Policy Assignments'!$E$5:$E$868,"Hold")&gt;0,"H",IF(COUNTIFS('Policy Assignments'!$C$5:$C$868,$A6,'Policy Assignments'!$B$5:$B$868,L$4,'Policy Assignments'!$E$5:$E$868,"Core")&gt;0,"R",IF(COUNTIFS('Policy Assignments'!$C$5:$C$868,$A6,'Policy Assignments'!$B$5:$B$868,L$4,'Policy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c>
      <x:c r="M6" s="94" t="str">
        <x:f>IF(COUNTIFS('Policy Assignments'!$C$5:$C$868,$A6,'Policy Assignments'!$B$5:$B$868,M$4,'Policy Assignments'!$E$5:$E$868,"Hold")&gt;0,"H",IF(COUNTIFS('Policy Assignments'!$C$5:$C$868,$A6,'Policy Assignments'!$B$5:$B$868,M$4,'Policy Assignments'!$E$5:$E$868,"Core")&gt;0,"R",IF(COUNTIFS('Policy Assignments'!$C$5:$C$868,$A6,'Policy Assignments'!$B$5:$B$868,M$4,'Policy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c>
      <x:c r="N6" s="94" t="str">
        <x:f>IF(COUNTIFS('Policy Assignments'!$C$5:$C$868,$A6,'Policy Assignments'!$B$5:$B$868,N$4,'Policy Assignments'!$E$5:$E$868,"Hold")&gt;0,"H",IF(COUNTIFS('Policy Assignments'!$C$5:$C$868,$A6,'Policy Assignments'!$B$5:$B$868,N$4,'Policy Assignments'!$E$5:$E$868,"Core")&gt;0,"R",IF(COUNTIFS('Policy Assignments'!$C$5:$C$868,$A6,'Policy Assignments'!$B$5:$B$868,N$4,'Policy Assignments'!$E$5:$E$868,"Conditional")&gt;0,"C",IF(COUNTIFS('Policy Assignments'!$C$5:$C$868,$A6,'Policy Assignments'!$B$5:$B$868,"General",'Policy Assignments'!$E$5:$E$868,"Hold")&gt;0,"H",IF(COUNTIFS('Policy Assignments'!$C$5:$C$868,$A6,'Policy Assignments'!$B$5:$B$868,"General",'Policy Assignments'!$E$5:$E$868,"Conditional")&gt;0,"C",IF(COUNTIFS('Policy Assignments'!$C$5:$C$868,$A6,'Policy Assignments'!$B$5:$B$868,"General")&gt;0,"G",""))))))</x:f>
        <x:v>H</x:v>
      </x:c>
      <x:c r="O6" s="94" t="str">
        <x:f>IF(COUNTIFS('Policy Assignments'!$C$5:$C$868,$A6,'Policy Assignments'!$B$5:$B$868,O$4,'Policy Assignments'!$E$5:$E$868,"Hold")&gt;0,"H",IF(COUNTIFS('Policy Assignments'!$C$5:$C$868,$A6,'Policy Assignments'!$B$5:$B$868,O$4,'Policy Assignments'!$E$5:$E$868,"Core")&gt;0,"R",IF(COUNTIFS('Policy Assignments'!$C$5:$C$868,$A6,'Policy Assignments'!$B$5:$B$868,O$4,'Policy Assignments'!$E$5:$E$868,"Conditional")&gt;0,"C","")))</x:f>
      </x:c>
      <x:c r="P6" s="90" t="str">
        <x:v>Hold/correction required</x:v>
      </x:c>
    </x:row>
    <x:row r="7" ht="22" customHeight="1">
      <x:c r="A7" s="90" t="str">
        <x:v>CL-CA-003</x:v>
      </x:c>
      <x:c r="B7" s="90" t="str">
        <x:v>OASIS Transmission &amp; Correction</x:v>
      </x:c>
      <x:c r="C7" s="94" t="str">
        <x:f>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D7" s="94" t="str">
        <x:f>IF(COUNTIFS('Policy Assignments'!$C$5:$C$868,$A7,'Policy Assignments'!$B$5:$B$868,D$4,'Policy Assignments'!$E$5:$E$868,"Hold")&gt;0,"H",IF(COUNTIFS('Policy Assignments'!$C$5:$C$868,$A7,'Policy Assignments'!$B$5:$B$868,D$4,'Policy Assignments'!$E$5:$E$868,"Core")&gt;0,"R",IF(COUNTIFS('Policy Assignments'!$C$5:$C$868,$A7,'Policy Assignments'!$B$5:$B$868,D$4,'Policy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E7" s="94" t="str">
        <x:f>IF(COUNTIFS('Policy Assignments'!$C$5:$C$868,$A7,'Policy Assignments'!$B$5:$B$868,E$4,'Policy Assignments'!$E$5:$E$868,"Hold")&gt;0,"H",IF(COUNTIFS('Policy Assignments'!$C$5:$C$868,$A7,'Policy Assignments'!$B$5:$B$868,E$4,'Policy Assignments'!$E$5:$E$868,"Core")&gt;0,"R",IF(COUNTIFS('Policy Assignments'!$C$5:$C$868,$A7,'Policy Assignments'!$B$5:$B$868,E$4,'Policy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v>H</x:v>
      </x:c>
      <x:c r="F7" s="94" t="str">
        <x:f>IF(COUNTIFS('Policy Assignments'!$C$5:$C$868,$A7,'Policy Assignments'!$B$5:$B$868,F$4,'Policy Assignments'!$E$5:$E$868,"Hold")&gt;0,"H",IF(COUNTIFS('Policy Assignments'!$C$5:$C$868,$A7,'Policy Assignments'!$B$5:$B$868,F$4,'Policy Assignments'!$E$5:$E$868,"Core")&gt;0,"R",IF(COUNTIFS('Policy Assignments'!$C$5:$C$868,$A7,'Policy Assignments'!$B$5:$B$868,F$4,'Policy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G7" s="94" t="str">
        <x:f>IF(COUNTIFS('Policy Assignments'!$C$5:$C$868,$A7,'Policy Assignments'!$B$5:$B$868,G$4,'Policy Assignments'!$E$5:$E$868,"Hold")&gt;0,"H",IF(COUNTIFS('Policy Assignments'!$C$5:$C$868,$A7,'Policy Assignments'!$B$5:$B$868,G$4,'Policy Assignments'!$E$5:$E$868,"Core")&gt;0,"R",IF(COUNTIFS('Policy Assignments'!$C$5:$C$868,$A7,'Policy Assignments'!$B$5:$B$868,G$4,'Policy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H7" s="94" t="str">
        <x:f>IF(COUNTIFS('Policy Assignments'!$C$5:$C$868,$A7,'Policy Assignments'!$B$5:$B$868,H$4,'Policy Assignments'!$E$5:$E$868,"Hold")&gt;0,"H",IF(COUNTIFS('Policy Assignments'!$C$5:$C$868,$A7,'Policy Assignments'!$B$5:$B$868,H$4,'Policy Assignments'!$E$5:$E$868,"Core")&gt;0,"R",IF(COUNTIFS('Policy Assignments'!$C$5:$C$868,$A7,'Policy Assignments'!$B$5:$B$868,H$4,'Policy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I7" s="94" t="str">
        <x:f>IF(COUNTIFS('Policy Assignments'!$C$5:$C$868,$A7,'Policy Assignments'!$B$5:$B$868,I$4,'Policy Assignments'!$E$5:$E$868,"Hold")&gt;0,"H",IF(COUNTIFS('Policy Assignments'!$C$5:$C$868,$A7,'Policy Assignments'!$B$5:$B$868,I$4,'Policy Assignments'!$E$5:$E$868,"Core")&gt;0,"R",IF(COUNTIFS('Policy Assignments'!$C$5:$C$868,$A7,'Policy Assignments'!$B$5:$B$868,I$4,'Policy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J7" s="94" t="str">
        <x:f>IF(COUNTIFS('Policy Assignments'!$C$5:$C$868,$A7,'Policy Assignments'!$B$5:$B$868,J$4,'Policy Assignments'!$E$5:$E$868,"Hold")&gt;0,"H",IF(COUNTIFS('Policy Assignments'!$C$5:$C$868,$A7,'Policy Assignments'!$B$5:$B$868,J$4,'Policy Assignments'!$E$5:$E$868,"Core")&gt;0,"R",IF(COUNTIFS('Policy Assignments'!$C$5:$C$868,$A7,'Policy Assignments'!$B$5:$B$868,J$4,'Policy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K7" s="94" t="str">
        <x:f>IF(COUNTIFS('Policy Assignments'!$C$5:$C$868,$A7,'Policy Assignments'!$B$5:$B$868,K$4,'Policy Assignments'!$E$5:$E$868,"Hold")&gt;0,"H",IF(COUNTIFS('Policy Assignments'!$C$5:$C$868,$A7,'Policy Assignments'!$B$5:$B$868,K$4,'Policy Assignments'!$E$5:$E$868,"Core")&gt;0,"R",IF(COUNTIFS('Policy Assignments'!$C$5:$C$868,$A7,'Policy Assignments'!$B$5:$B$868,K$4,'Policy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L7" s="94" t="str">
        <x:f>IF(COUNTIFS('Policy Assignments'!$C$5:$C$868,$A7,'Policy Assignments'!$B$5:$B$868,L$4,'Policy Assignments'!$E$5:$E$868,"Hold")&gt;0,"H",IF(COUNTIFS('Policy Assignments'!$C$5:$C$868,$A7,'Policy Assignments'!$B$5:$B$868,L$4,'Policy Assignments'!$E$5:$E$868,"Core")&gt;0,"R",IF(COUNTIFS('Policy Assignments'!$C$5:$C$868,$A7,'Policy Assignments'!$B$5:$B$868,L$4,'Policy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M7" s="94" t="str">
        <x:f>IF(COUNTIFS('Policy Assignments'!$C$5:$C$868,$A7,'Policy Assignments'!$B$5:$B$868,M$4,'Policy Assignments'!$E$5:$E$868,"Hold")&gt;0,"H",IF(COUNTIFS('Policy Assignments'!$C$5:$C$868,$A7,'Policy Assignments'!$B$5:$B$868,M$4,'Policy Assignments'!$E$5:$E$868,"Core")&gt;0,"R",IF(COUNTIFS('Policy Assignments'!$C$5:$C$868,$A7,'Policy Assignments'!$B$5:$B$868,M$4,'Policy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c>
      <x:c r="N7" s="94" t="str">
        <x:f>IF(COUNTIFS('Policy Assignments'!$C$5:$C$868,$A7,'Policy Assignments'!$B$5:$B$868,N$4,'Policy Assignments'!$E$5:$E$868,"Hold")&gt;0,"H",IF(COUNTIFS('Policy Assignments'!$C$5:$C$868,$A7,'Policy Assignments'!$B$5:$B$868,N$4,'Policy Assignments'!$E$5:$E$868,"Core")&gt;0,"R",IF(COUNTIFS('Policy Assignments'!$C$5:$C$868,$A7,'Policy Assignments'!$B$5:$B$868,N$4,'Policy Assignments'!$E$5:$E$868,"Conditional")&gt;0,"C",IF(COUNTIFS('Policy Assignments'!$C$5:$C$868,$A7,'Policy Assignments'!$B$5:$B$868,"General",'Policy Assignments'!$E$5:$E$868,"Hold")&gt;0,"H",IF(COUNTIFS('Policy Assignments'!$C$5:$C$868,$A7,'Policy Assignments'!$B$5:$B$868,"General",'Policy Assignments'!$E$5:$E$868,"Conditional")&gt;0,"C",IF(COUNTIFS('Policy Assignments'!$C$5:$C$868,$A7,'Policy Assignments'!$B$5:$B$868,"General")&gt;0,"G",""))))))</x:f>
        <x:v>H</x:v>
      </x:c>
      <x:c r="O7" s="94" t="str">
        <x:f>IF(COUNTIFS('Policy Assignments'!$C$5:$C$868,$A7,'Policy Assignments'!$B$5:$B$868,O$4,'Policy Assignments'!$E$5:$E$868,"Hold")&gt;0,"H",IF(COUNTIFS('Policy Assignments'!$C$5:$C$868,$A7,'Policy Assignments'!$B$5:$B$868,O$4,'Policy Assignments'!$E$5:$E$868,"Core")&gt;0,"R",IF(COUNTIFS('Policy Assignments'!$C$5:$C$868,$A7,'Policy Assignments'!$B$5:$B$868,O$4,'Policy Assignments'!$E$5:$E$868,"Conditional")&gt;0,"C","")))</x:f>
      </x:c>
      <x:c r="P7" s="90" t="str">
        <x:v>Hold/correction required</x:v>
      </x:c>
    </x:row>
    <x:row r="8" ht="22" customHeight="1">
      <x:c r="A8" s="90" t="str">
        <x:v>CL-CA-004</x:v>
      </x:c>
      <x:c r="B8" s="90" t="str">
        <x:v>Recertification Assessment &amp; Process</x:v>
      </x:c>
      <x:c r="C8" s="94" t="str">
        <x:f>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c>
      <x:c r="D8" s="94" t="str">
        <x:f>IF(COUNTIFS('Policy Assignments'!$C$5:$C$868,$A8,'Policy Assignments'!$B$5:$B$868,D$4,'Policy Assignments'!$E$5:$E$868,"Hold")&gt;0,"H",IF(COUNTIFS('Policy Assignments'!$C$5:$C$868,$A8,'Policy Assignments'!$B$5:$B$868,D$4,'Policy Assignments'!$E$5:$E$868,"Core")&gt;0,"R",IF(COUNTIFS('Policy Assignments'!$C$5:$C$868,$A8,'Policy Assignments'!$B$5:$B$868,D$4,'Policy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c>
      <x:c r="E8" s="94" t="str">
        <x:f>IF(COUNTIFS('Policy Assignments'!$C$5:$C$868,$A8,'Policy Assignments'!$B$5:$B$868,E$4,'Policy Assignments'!$E$5:$E$868,"Hold")&gt;0,"H",IF(COUNTIFS('Policy Assignments'!$C$5:$C$868,$A8,'Policy Assignments'!$B$5:$B$868,E$4,'Policy Assignments'!$E$5:$E$868,"Core")&gt;0,"R",IF(COUNTIFS('Policy Assignments'!$C$5:$C$868,$A8,'Policy Assignments'!$B$5:$B$868,E$4,'Policy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v>R</x:v>
      </x:c>
      <x:c r="F8" s="94" t="str">
        <x:f>IF(COUNTIFS('Policy Assignments'!$C$5:$C$868,$A8,'Policy Assignments'!$B$5:$B$868,F$4,'Policy Assignments'!$E$5:$E$868,"Hold")&gt;0,"H",IF(COUNTIFS('Policy Assignments'!$C$5:$C$868,$A8,'Policy Assignments'!$B$5:$B$868,F$4,'Policy Assignments'!$E$5:$E$868,"Core")&gt;0,"R",IF(COUNTIFS('Policy Assignments'!$C$5:$C$868,$A8,'Policy Assignments'!$B$5:$B$868,F$4,'Policy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c>
      <x:c r="G8" s="94" t="str">
        <x:f>IF(COUNTIFS('Policy Assignments'!$C$5:$C$868,$A8,'Policy Assignments'!$B$5:$B$868,G$4,'Policy Assignments'!$E$5:$E$868,"Hold")&gt;0,"H",IF(COUNTIFS('Policy Assignments'!$C$5:$C$868,$A8,'Policy Assignments'!$B$5:$B$868,G$4,'Policy Assignments'!$E$5:$E$868,"Core")&gt;0,"R",IF(COUNTIFS('Policy Assignments'!$C$5:$C$868,$A8,'Policy Assignments'!$B$5:$B$868,G$4,'Policy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v>H</x:v>
      </x:c>
      <x:c r="H8" s="94" t="str">
        <x:f>IF(COUNTIFS('Policy Assignments'!$C$5:$C$868,$A8,'Policy Assignments'!$B$5:$B$868,H$4,'Policy Assignments'!$E$5:$E$868,"Hold")&gt;0,"H",IF(COUNTIFS('Policy Assignments'!$C$5:$C$868,$A8,'Policy Assignments'!$B$5:$B$868,H$4,'Policy Assignments'!$E$5:$E$868,"Core")&gt;0,"R",IF(COUNTIFS('Policy Assignments'!$C$5:$C$868,$A8,'Policy Assignments'!$B$5:$B$868,H$4,'Policy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c>
      <x:c r="I8" s="94" t="str">
        <x:f>IF(COUNTIFS('Policy Assignments'!$C$5:$C$868,$A8,'Policy Assignments'!$B$5:$B$868,I$4,'Policy Assignments'!$E$5:$E$868,"Hold")&gt;0,"H",IF(COUNTIFS('Policy Assignments'!$C$5:$C$868,$A8,'Policy Assignments'!$B$5:$B$868,I$4,'Policy Assignments'!$E$5:$E$868,"Core")&gt;0,"R",IF(COUNTIFS('Policy Assignments'!$C$5:$C$868,$A8,'Policy Assignments'!$B$5:$B$868,I$4,'Policy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v>H</x:v>
      </x:c>
      <x:c r="J8" s="94" t="str">
        <x:f>IF(COUNTIFS('Policy Assignments'!$C$5:$C$868,$A8,'Policy Assignments'!$B$5:$B$868,J$4,'Policy Assignments'!$E$5:$E$868,"Hold")&gt;0,"H",IF(COUNTIFS('Policy Assignments'!$C$5:$C$868,$A8,'Policy Assignments'!$B$5:$B$868,J$4,'Policy Assignments'!$E$5:$E$868,"Core")&gt;0,"R",IF(COUNTIFS('Policy Assignments'!$C$5:$C$868,$A8,'Policy Assignments'!$B$5:$B$868,J$4,'Policy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c>
      <x:c r="K8" s="94" t="str">
        <x:f>IF(COUNTIFS('Policy Assignments'!$C$5:$C$868,$A8,'Policy Assignments'!$B$5:$B$868,K$4,'Policy Assignments'!$E$5:$E$868,"Hold")&gt;0,"H",IF(COUNTIFS('Policy Assignments'!$C$5:$C$868,$A8,'Policy Assignments'!$B$5:$B$868,K$4,'Policy Assignments'!$E$5:$E$868,"Core")&gt;0,"R",IF(COUNTIFS('Policy Assignments'!$C$5:$C$868,$A8,'Policy Assignments'!$B$5:$B$868,K$4,'Policy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v>H</x:v>
      </x:c>
      <x:c r="L8" s="94" t="str">
        <x:f>IF(COUNTIFS('Policy Assignments'!$C$5:$C$868,$A8,'Policy Assignments'!$B$5:$B$868,L$4,'Policy Assignments'!$E$5:$E$868,"Hold")&gt;0,"H",IF(COUNTIFS('Policy Assignments'!$C$5:$C$868,$A8,'Policy Assignments'!$B$5:$B$868,L$4,'Policy Assignments'!$E$5:$E$868,"Core")&gt;0,"R",IF(COUNTIFS('Policy Assignments'!$C$5:$C$868,$A8,'Policy Assignments'!$B$5:$B$868,L$4,'Policy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c>
      <x:c r="M8" s="94" t="str">
        <x:f>IF(COUNTIFS('Policy Assignments'!$C$5:$C$868,$A8,'Policy Assignments'!$B$5:$B$868,M$4,'Policy Assignments'!$E$5:$E$868,"Hold")&gt;0,"H",IF(COUNTIFS('Policy Assignments'!$C$5:$C$868,$A8,'Policy Assignments'!$B$5:$B$868,M$4,'Policy Assignments'!$E$5:$E$868,"Core")&gt;0,"R",IF(COUNTIFS('Policy Assignments'!$C$5:$C$868,$A8,'Policy Assignments'!$B$5:$B$868,M$4,'Policy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c>
      <x:c r="N8" s="94" t="str">
        <x:f>IF(COUNTIFS('Policy Assignments'!$C$5:$C$868,$A8,'Policy Assignments'!$B$5:$B$868,N$4,'Policy Assignments'!$E$5:$E$868,"Hold")&gt;0,"H",IF(COUNTIFS('Policy Assignments'!$C$5:$C$868,$A8,'Policy Assignments'!$B$5:$B$868,N$4,'Policy Assignments'!$E$5:$E$868,"Core")&gt;0,"R",IF(COUNTIFS('Policy Assignments'!$C$5:$C$868,$A8,'Policy Assignments'!$B$5:$B$868,N$4,'Policy Assignments'!$E$5:$E$868,"Conditional")&gt;0,"C",IF(COUNTIFS('Policy Assignments'!$C$5:$C$868,$A8,'Policy Assignments'!$B$5:$B$868,"General",'Policy Assignments'!$E$5:$E$868,"Hold")&gt;0,"H",IF(COUNTIFS('Policy Assignments'!$C$5:$C$868,$A8,'Policy Assignments'!$B$5:$B$868,"General",'Policy Assignments'!$E$5:$E$868,"Conditional")&gt;0,"C",IF(COUNTIFS('Policy Assignments'!$C$5:$C$868,$A8,'Policy Assignments'!$B$5:$B$868,"General")&gt;0,"G",""))))))</x:f>
        <x:v>R</x:v>
      </x:c>
      <x:c r="O8" s="94" t="str">
        <x:f>IF(COUNTIFS('Policy Assignments'!$C$5:$C$868,$A8,'Policy Assignments'!$B$5:$B$868,O$4,'Policy Assignments'!$E$5:$E$868,"Hold")&gt;0,"H",IF(COUNTIFS('Policy Assignments'!$C$5:$C$868,$A8,'Policy Assignments'!$B$5:$B$868,O$4,'Policy Assignments'!$E$5:$E$868,"Core")&gt;0,"R",IF(COUNTIFS('Policy Assignments'!$C$5:$C$868,$A8,'Policy Assignments'!$B$5:$B$868,O$4,'Policy Assignments'!$E$5:$E$868,"Conditional")&gt;0,"C","")))</x:f>
      </x:c>
      <x:c r="P8" s="90" t="str">
        <x:v>Hold/correction required</x:v>
      </x:c>
    </x:row>
    <x:row r="9" ht="22" customHeight="1">
      <x:c r="A9" s="90" t="str">
        <x:v>CL-CA-005</x:v>
      </x:c>
      <x:c r="B9" s="90" t="str">
        <x:v>Homebound Status Determination &amp; Documentation</x:v>
      </x:c>
      <x:c r="C9" s="94" t="str">
        <x:f>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c>
      <x:c r="D9" s="94" t="str">
        <x:f>IF(COUNTIFS('Policy Assignments'!$C$5:$C$868,$A9,'Policy Assignments'!$B$5:$B$868,D$4,'Policy Assignments'!$E$5:$E$868,"Hold")&gt;0,"H",IF(COUNTIFS('Policy Assignments'!$C$5:$C$868,$A9,'Policy Assignments'!$B$5:$B$868,D$4,'Policy Assignments'!$E$5:$E$868,"Core")&gt;0,"R",IF(COUNTIFS('Policy Assignments'!$C$5:$C$868,$A9,'Policy Assignments'!$B$5:$B$868,D$4,'Policy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c>
      <x:c r="E9" s="94" t="str">
        <x:f>IF(COUNTIFS('Policy Assignments'!$C$5:$C$868,$A9,'Policy Assignments'!$B$5:$B$868,E$4,'Policy Assignments'!$E$5:$E$868,"Hold")&gt;0,"H",IF(COUNTIFS('Policy Assignments'!$C$5:$C$868,$A9,'Policy Assignments'!$B$5:$B$868,E$4,'Policy Assignments'!$E$5:$E$868,"Core")&gt;0,"R",IF(COUNTIFS('Policy Assignments'!$C$5:$C$868,$A9,'Policy Assignments'!$B$5:$B$868,E$4,'Policy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v>R</x:v>
      </x:c>
      <x:c r="F9" s="94" t="str">
        <x:f>IF(COUNTIFS('Policy Assignments'!$C$5:$C$868,$A9,'Policy Assignments'!$B$5:$B$868,F$4,'Policy Assignments'!$E$5:$E$868,"Hold")&gt;0,"H",IF(COUNTIFS('Policy Assignments'!$C$5:$C$868,$A9,'Policy Assignments'!$B$5:$B$868,F$4,'Policy Assignments'!$E$5:$E$868,"Core")&gt;0,"R",IF(COUNTIFS('Policy Assignments'!$C$5:$C$868,$A9,'Policy Assignments'!$B$5:$B$868,F$4,'Policy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c>
      <x:c r="G9" s="94" t="str">
        <x:f>IF(COUNTIFS('Policy Assignments'!$C$5:$C$868,$A9,'Policy Assignments'!$B$5:$B$868,G$4,'Policy Assignments'!$E$5:$E$868,"Hold")&gt;0,"H",IF(COUNTIFS('Policy Assignments'!$C$5:$C$868,$A9,'Policy Assignments'!$B$5:$B$868,G$4,'Policy Assignments'!$E$5:$E$868,"Core")&gt;0,"R",IF(COUNTIFS('Policy Assignments'!$C$5:$C$868,$A9,'Policy Assignments'!$B$5:$B$868,G$4,'Policy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v>H</x:v>
      </x:c>
      <x:c r="H9" s="94" t="str">
        <x:f>IF(COUNTIFS('Policy Assignments'!$C$5:$C$868,$A9,'Policy Assignments'!$B$5:$B$868,H$4,'Policy Assignments'!$E$5:$E$868,"Hold")&gt;0,"H",IF(COUNTIFS('Policy Assignments'!$C$5:$C$868,$A9,'Policy Assignments'!$B$5:$B$868,H$4,'Policy Assignments'!$E$5:$E$868,"Core")&gt;0,"R",IF(COUNTIFS('Policy Assignments'!$C$5:$C$868,$A9,'Policy Assignments'!$B$5:$B$868,H$4,'Policy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c>
      <x:c r="I9" s="94" t="str">
        <x:f>IF(COUNTIFS('Policy Assignments'!$C$5:$C$868,$A9,'Policy Assignments'!$B$5:$B$868,I$4,'Policy Assignments'!$E$5:$E$868,"Hold")&gt;0,"H",IF(COUNTIFS('Policy Assignments'!$C$5:$C$868,$A9,'Policy Assignments'!$B$5:$B$868,I$4,'Policy Assignments'!$E$5:$E$868,"Core")&gt;0,"R",IF(COUNTIFS('Policy Assignments'!$C$5:$C$868,$A9,'Policy Assignments'!$B$5:$B$868,I$4,'Policy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v>H</x:v>
      </x:c>
      <x:c r="J9" s="94" t="str">
        <x:f>IF(COUNTIFS('Policy Assignments'!$C$5:$C$868,$A9,'Policy Assignments'!$B$5:$B$868,J$4,'Policy Assignments'!$E$5:$E$868,"Hold")&gt;0,"H",IF(COUNTIFS('Policy Assignments'!$C$5:$C$868,$A9,'Policy Assignments'!$B$5:$B$868,J$4,'Policy Assignments'!$E$5:$E$868,"Core")&gt;0,"R",IF(COUNTIFS('Policy Assignments'!$C$5:$C$868,$A9,'Policy Assignments'!$B$5:$B$868,J$4,'Policy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c>
      <x:c r="K9" s="94" t="str">
        <x:f>IF(COUNTIFS('Policy Assignments'!$C$5:$C$868,$A9,'Policy Assignments'!$B$5:$B$868,K$4,'Policy Assignments'!$E$5:$E$868,"Hold")&gt;0,"H",IF(COUNTIFS('Policy Assignments'!$C$5:$C$868,$A9,'Policy Assignments'!$B$5:$B$868,K$4,'Policy Assignments'!$E$5:$E$868,"Core")&gt;0,"R",IF(COUNTIFS('Policy Assignments'!$C$5:$C$868,$A9,'Policy Assignments'!$B$5:$B$868,K$4,'Policy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v>H</x:v>
      </x:c>
      <x:c r="L9" s="94" t="str">
        <x:f>IF(COUNTIFS('Policy Assignments'!$C$5:$C$868,$A9,'Policy Assignments'!$B$5:$B$868,L$4,'Policy Assignments'!$E$5:$E$868,"Hold")&gt;0,"H",IF(COUNTIFS('Policy Assignments'!$C$5:$C$868,$A9,'Policy Assignments'!$B$5:$B$868,L$4,'Policy Assignments'!$E$5:$E$868,"Core")&gt;0,"R",IF(COUNTIFS('Policy Assignments'!$C$5:$C$868,$A9,'Policy Assignments'!$B$5:$B$868,L$4,'Policy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c>
      <x:c r="M9" s="94" t="str">
        <x:f>IF(COUNTIFS('Policy Assignments'!$C$5:$C$868,$A9,'Policy Assignments'!$B$5:$B$868,M$4,'Policy Assignments'!$E$5:$E$868,"Hold")&gt;0,"H",IF(COUNTIFS('Policy Assignments'!$C$5:$C$868,$A9,'Policy Assignments'!$B$5:$B$868,M$4,'Policy Assignments'!$E$5:$E$868,"Core")&gt;0,"R",IF(COUNTIFS('Policy Assignments'!$C$5:$C$868,$A9,'Policy Assignments'!$B$5:$B$868,M$4,'Policy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c>
      <x:c r="N9" s="94" t="str">
        <x:f>IF(COUNTIFS('Policy Assignments'!$C$5:$C$868,$A9,'Policy Assignments'!$B$5:$B$868,N$4,'Policy Assignments'!$E$5:$E$868,"Hold")&gt;0,"H",IF(COUNTIFS('Policy Assignments'!$C$5:$C$868,$A9,'Policy Assignments'!$B$5:$B$868,N$4,'Policy Assignments'!$E$5:$E$868,"Core")&gt;0,"R",IF(COUNTIFS('Policy Assignments'!$C$5:$C$868,$A9,'Policy Assignments'!$B$5:$B$868,N$4,'Policy Assignments'!$E$5:$E$868,"Conditional")&gt;0,"C",IF(COUNTIFS('Policy Assignments'!$C$5:$C$868,$A9,'Policy Assignments'!$B$5:$B$868,"General",'Policy Assignments'!$E$5:$E$868,"Hold")&gt;0,"H",IF(COUNTIFS('Policy Assignments'!$C$5:$C$868,$A9,'Policy Assignments'!$B$5:$B$868,"General",'Policy Assignments'!$E$5:$E$868,"Conditional")&gt;0,"C",IF(COUNTIFS('Policy Assignments'!$C$5:$C$868,$A9,'Policy Assignments'!$B$5:$B$868,"General")&gt;0,"G",""))))))</x:f>
        <x:v>R</x:v>
      </x:c>
      <x:c r="O9" s="94" t="str">
        <x:f>IF(COUNTIFS('Policy Assignments'!$C$5:$C$868,$A9,'Policy Assignments'!$B$5:$B$868,O$4,'Policy Assignments'!$E$5:$E$868,"Hold")&gt;0,"H",IF(COUNTIFS('Policy Assignments'!$C$5:$C$868,$A9,'Policy Assignments'!$B$5:$B$868,O$4,'Policy Assignments'!$E$5:$E$868,"Core")&gt;0,"R",IF(COUNTIFS('Policy Assignments'!$C$5:$C$868,$A9,'Policy Assignments'!$B$5:$B$868,O$4,'Policy Assignments'!$E$5:$E$868,"Conditional")&gt;0,"C","")))</x:f>
      </x:c>
      <x:c r="P9" s="90" t="str">
        <x:v>Hold/correction required</x:v>
      </x:c>
    </x:row>
    <x:row r="10" ht="22" customHeight="1">
      <x:c r="A10" s="90" t="str">
        <x:v>CL-CA-006</x:v>
      </x:c>
      <x:c r="B10" s="90" t="str">
        <x:v>Face-to-Face Encounter Compliance</x:v>
      </x:c>
      <x:c r="C10" s="94" t="str">
        <x:f>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D10" s="94" t="str">
        <x:f>IF(COUNTIFS('Policy Assignments'!$C$5:$C$868,$A10,'Policy Assignments'!$B$5:$B$868,D$4,'Policy Assignments'!$E$5:$E$868,"Hold")&gt;0,"H",IF(COUNTIFS('Policy Assignments'!$C$5:$C$868,$A10,'Policy Assignments'!$B$5:$B$868,D$4,'Policy Assignments'!$E$5:$E$868,"Core")&gt;0,"R",IF(COUNTIFS('Policy Assignments'!$C$5:$C$868,$A10,'Policy Assignments'!$B$5:$B$868,D$4,'Policy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E10" s="94" t="str">
        <x:f>IF(COUNTIFS('Policy Assignments'!$C$5:$C$868,$A10,'Policy Assignments'!$B$5:$B$868,E$4,'Policy Assignments'!$E$5:$E$868,"Hold")&gt;0,"H",IF(COUNTIFS('Policy Assignments'!$C$5:$C$868,$A10,'Policy Assignments'!$B$5:$B$868,E$4,'Policy Assignments'!$E$5:$E$868,"Core")&gt;0,"R",IF(COUNTIFS('Policy Assignments'!$C$5:$C$868,$A10,'Policy Assignments'!$B$5:$B$868,E$4,'Policy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v>R</x:v>
      </x:c>
      <x:c r="F10" s="94" t="str">
        <x:f>IF(COUNTIFS('Policy Assignments'!$C$5:$C$868,$A10,'Policy Assignments'!$B$5:$B$868,F$4,'Policy Assignments'!$E$5:$E$868,"Hold")&gt;0,"H",IF(COUNTIFS('Policy Assignments'!$C$5:$C$868,$A10,'Policy Assignments'!$B$5:$B$868,F$4,'Policy Assignments'!$E$5:$E$868,"Core")&gt;0,"R",IF(COUNTIFS('Policy Assignments'!$C$5:$C$868,$A10,'Policy Assignments'!$B$5:$B$868,F$4,'Policy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G10" s="94" t="str">
        <x:f>IF(COUNTIFS('Policy Assignments'!$C$5:$C$868,$A10,'Policy Assignments'!$B$5:$B$868,G$4,'Policy Assignments'!$E$5:$E$868,"Hold")&gt;0,"H",IF(COUNTIFS('Policy Assignments'!$C$5:$C$868,$A10,'Policy Assignments'!$B$5:$B$868,G$4,'Policy Assignments'!$E$5:$E$868,"Core")&gt;0,"R",IF(COUNTIFS('Policy Assignments'!$C$5:$C$868,$A10,'Policy Assignments'!$B$5:$B$868,G$4,'Policy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H10" s="94" t="str">
        <x:f>IF(COUNTIFS('Policy Assignments'!$C$5:$C$868,$A10,'Policy Assignments'!$B$5:$B$868,H$4,'Policy Assignments'!$E$5:$E$868,"Hold")&gt;0,"H",IF(COUNTIFS('Policy Assignments'!$C$5:$C$868,$A10,'Policy Assignments'!$B$5:$B$868,H$4,'Policy Assignments'!$E$5:$E$868,"Core")&gt;0,"R",IF(COUNTIFS('Policy Assignments'!$C$5:$C$868,$A10,'Policy Assignments'!$B$5:$B$868,H$4,'Policy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I10" s="94" t="str">
        <x:f>IF(COUNTIFS('Policy Assignments'!$C$5:$C$868,$A10,'Policy Assignments'!$B$5:$B$868,I$4,'Policy Assignments'!$E$5:$E$868,"Hold")&gt;0,"H",IF(COUNTIFS('Policy Assignments'!$C$5:$C$868,$A10,'Policy Assignments'!$B$5:$B$868,I$4,'Policy Assignments'!$E$5:$E$868,"Core")&gt;0,"R",IF(COUNTIFS('Policy Assignments'!$C$5:$C$868,$A10,'Policy Assignments'!$B$5:$B$868,I$4,'Policy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J10" s="94" t="str">
        <x:f>IF(COUNTIFS('Policy Assignments'!$C$5:$C$868,$A10,'Policy Assignments'!$B$5:$B$868,J$4,'Policy Assignments'!$E$5:$E$868,"Hold")&gt;0,"H",IF(COUNTIFS('Policy Assignments'!$C$5:$C$868,$A10,'Policy Assignments'!$B$5:$B$868,J$4,'Policy Assignments'!$E$5:$E$868,"Core")&gt;0,"R",IF(COUNTIFS('Policy Assignments'!$C$5:$C$868,$A10,'Policy Assignments'!$B$5:$B$868,J$4,'Policy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K10" s="94" t="str">
        <x:f>IF(COUNTIFS('Policy Assignments'!$C$5:$C$868,$A10,'Policy Assignments'!$B$5:$B$868,K$4,'Policy Assignments'!$E$5:$E$868,"Hold")&gt;0,"H",IF(COUNTIFS('Policy Assignments'!$C$5:$C$868,$A10,'Policy Assignments'!$B$5:$B$868,K$4,'Policy Assignments'!$E$5:$E$868,"Core")&gt;0,"R",IF(COUNTIFS('Policy Assignments'!$C$5:$C$868,$A10,'Policy Assignments'!$B$5:$B$868,K$4,'Policy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L10" s="94" t="str">
        <x:f>IF(COUNTIFS('Policy Assignments'!$C$5:$C$868,$A10,'Policy Assignments'!$B$5:$B$868,L$4,'Policy Assignments'!$E$5:$E$868,"Hold")&gt;0,"H",IF(COUNTIFS('Policy Assignments'!$C$5:$C$868,$A10,'Policy Assignments'!$B$5:$B$868,L$4,'Policy Assignments'!$E$5:$E$868,"Core")&gt;0,"R",IF(COUNTIFS('Policy Assignments'!$C$5:$C$868,$A10,'Policy Assignments'!$B$5:$B$868,L$4,'Policy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M10" s="94" t="str">
        <x:f>IF(COUNTIFS('Policy Assignments'!$C$5:$C$868,$A10,'Policy Assignments'!$B$5:$B$868,M$4,'Policy Assignments'!$E$5:$E$868,"Hold")&gt;0,"H",IF(COUNTIFS('Policy Assignments'!$C$5:$C$868,$A10,'Policy Assignments'!$B$5:$B$868,M$4,'Policy Assignments'!$E$5:$E$868,"Core")&gt;0,"R",IF(COUNTIFS('Policy Assignments'!$C$5:$C$868,$A10,'Policy Assignments'!$B$5:$B$868,M$4,'Policy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c>
      <x:c r="N10" s="94" t="str">
        <x:f>IF(COUNTIFS('Policy Assignments'!$C$5:$C$868,$A10,'Policy Assignments'!$B$5:$B$868,N$4,'Policy Assignments'!$E$5:$E$868,"Hold")&gt;0,"H",IF(COUNTIFS('Policy Assignments'!$C$5:$C$868,$A10,'Policy Assignments'!$B$5:$B$868,N$4,'Policy Assignments'!$E$5:$E$868,"Core")&gt;0,"R",IF(COUNTIFS('Policy Assignments'!$C$5:$C$868,$A10,'Policy Assignments'!$B$5:$B$868,N$4,'Policy Assignments'!$E$5:$E$868,"Conditional")&gt;0,"C",IF(COUNTIFS('Policy Assignments'!$C$5:$C$868,$A10,'Policy Assignments'!$B$5:$B$868,"General",'Policy Assignments'!$E$5:$E$868,"Hold")&gt;0,"H",IF(COUNTIFS('Policy Assignments'!$C$5:$C$868,$A10,'Policy Assignments'!$B$5:$B$868,"General",'Policy Assignments'!$E$5:$E$868,"Conditional")&gt;0,"C",IF(COUNTIFS('Policy Assignments'!$C$5:$C$868,$A10,'Policy Assignments'!$B$5:$B$868,"General")&gt;0,"G",""))))))</x:f>
        <x:v>R</x:v>
      </x:c>
      <x:c r="O10" s="94" t="str">
        <x:f>IF(COUNTIFS('Policy Assignments'!$C$5:$C$868,$A10,'Policy Assignments'!$B$5:$B$868,O$4,'Policy Assignments'!$E$5:$E$868,"Hold")&gt;0,"H",IF(COUNTIFS('Policy Assignments'!$C$5:$C$868,$A10,'Policy Assignments'!$B$5:$B$868,O$4,'Policy Assignments'!$E$5:$E$868,"Core")&gt;0,"R",IF(COUNTIFS('Policy Assignments'!$C$5:$C$868,$A10,'Policy Assignments'!$B$5:$B$868,O$4,'Policy Assignments'!$E$5:$E$868,"Conditional")&gt;0,"C","")))</x:f>
      </x:c>
      <x:c r="P10" s="90" t="str">
        <x:v>Mapped</x:v>
      </x:c>
    </x:row>
    <x:row r="11" ht="22" customHeight="1">
      <x:c r="A11" s="90" t="str">
        <x:v>CL-CA-007</x:v>
      </x:c>
      <x:c r="B11" s="90" t="str">
        <x:v>Face-to-Face Encounter Tracking &amp; Expiration Monitoring</x:v>
      </x:c>
      <x:c r="C11" s="94" t="str">
        <x:f>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D11" s="94" t="str">
        <x:f>IF(COUNTIFS('Policy Assignments'!$C$5:$C$868,$A11,'Policy Assignments'!$B$5:$B$868,D$4,'Policy Assignments'!$E$5:$E$868,"Hold")&gt;0,"H",IF(COUNTIFS('Policy Assignments'!$C$5:$C$868,$A11,'Policy Assignments'!$B$5:$B$868,D$4,'Policy Assignments'!$E$5:$E$868,"Core")&gt;0,"R",IF(COUNTIFS('Policy Assignments'!$C$5:$C$868,$A11,'Policy Assignments'!$B$5:$B$868,D$4,'Policy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E11" s="94" t="str">
        <x:f>IF(COUNTIFS('Policy Assignments'!$C$5:$C$868,$A11,'Policy Assignments'!$B$5:$B$868,E$4,'Policy Assignments'!$E$5:$E$868,"Hold")&gt;0,"H",IF(COUNTIFS('Policy Assignments'!$C$5:$C$868,$A11,'Policy Assignments'!$B$5:$B$868,E$4,'Policy Assignments'!$E$5:$E$868,"Core")&gt;0,"R",IF(COUNTIFS('Policy Assignments'!$C$5:$C$868,$A11,'Policy Assignments'!$B$5:$B$868,E$4,'Policy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v>R</x:v>
      </x:c>
      <x:c r="F11" s="94" t="str">
        <x:f>IF(COUNTIFS('Policy Assignments'!$C$5:$C$868,$A11,'Policy Assignments'!$B$5:$B$868,F$4,'Policy Assignments'!$E$5:$E$868,"Hold")&gt;0,"H",IF(COUNTIFS('Policy Assignments'!$C$5:$C$868,$A11,'Policy Assignments'!$B$5:$B$868,F$4,'Policy Assignments'!$E$5:$E$868,"Core")&gt;0,"R",IF(COUNTIFS('Policy Assignments'!$C$5:$C$868,$A11,'Policy Assignments'!$B$5:$B$868,F$4,'Policy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G11" s="94" t="str">
        <x:f>IF(COUNTIFS('Policy Assignments'!$C$5:$C$868,$A11,'Policy Assignments'!$B$5:$B$868,G$4,'Policy Assignments'!$E$5:$E$868,"Hold")&gt;0,"H",IF(COUNTIFS('Policy Assignments'!$C$5:$C$868,$A11,'Policy Assignments'!$B$5:$B$868,G$4,'Policy Assignments'!$E$5:$E$868,"Core")&gt;0,"R",IF(COUNTIFS('Policy Assignments'!$C$5:$C$868,$A11,'Policy Assignments'!$B$5:$B$868,G$4,'Policy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H11" s="94" t="str">
        <x:f>IF(COUNTIFS('Policy Assignments'!$C$5:$C$868,$A11,'Policy Assignments'!$B$5:$B$868,H$4,'Policy Assignments'!$E$5:$E$868,"Hold")&gt;0,"H",IF(COUNTIFS('Policy Assignments'!$C$5:$C$868,$A11,'Policy Assignments'!$B$5:$B$868,H$4,'Policy Assignments'!$E$5:$E$868,"Core")&gt;0,"R",IF(COUNTIFS('Policy Assignments'!$C$5:$C$868,$A11,'Policy Assignments'!$B$5:$B$868,H$4,'Policy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I11" s="94" t="str">
        <x:f>IF(COUNTIFS('Policy Assignments'!$C$5:$C$868,$A11,'Policy Assignments'!$B$5:$B$868,I$4,'Policy Assignments'!$E$5:$E$868,"Hold")&gt;0,"H",IF(COUNTIFS('Policy Assignments'!$C$5:$C$868,$A11,'Policy Assignments'!$B$5:$B$868,I$4,'Policy Assignments'!$E$5:$E$868,"Core")&gt;0,"R",IF(COUNTIFS('Policy Assignments'!$C$5:$C$868,$A11,'Policy Assignments'!$B$5:$B$868,I$4,'Policy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J11" s="94" t="str">
        <x:f>IF(COUNTIFS('Policy Assignments'!$C$5:$C$868,$A11,'Policy Assignments'!$B$5:$B$868,J$4,'Policy Assignments'!$E$5:$E$868,"Hold")&gt;0,"H",IF(COUNTIFS('Policy Assignments'!$C$5:$C$868,$A11,'Policy Assignments'!$B$5:$B$868,J$4,'Policy Assignments'!$E$5:$E$868,"Core")&gt;0,"R",IF(COUNTIFS('Policy Assignments'!$C$5:$C$868,$A11,'Policy Assignments'!$B$5:$B$868,J$4,'Policy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K11" s="94" t="str">
        <x:f>IF(COUNTIFS('Policy Assignments'!$C$5:$C$868,$A11,'Policy Assignments'!$B$5:$B$868,K$4,'Policy Assignments'!$E$5:$E$868,"Hold")&gt;0,"H",IF(COUNTIFS('Policy Assignments'!$C$5:$C$868,$A11,'Policy Assignments'!$B$5:$B$868,K$4,'Policy Assignments'!$E$5:$E$868,"Core")&gt;0,"R",IF(COUNTIFS('Policy Assignments'!$C$5:$C$868,$A11,'Policy Assignments'!$B$5:$B$868,K$4,'Policy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L11" s="94" t="str">
        <x:f>IF(COUNTIFS('Policy Assignments'!$C$5:$C$868,$A11,'Policy Assignments'!$B$5:$B$868,L$4,'Policy Assignments'!$E$5:$E$868,"Hold")&gt;0,"H",IF(COUNTIFS('Policy Assignments'!$C$5:$C$868,$A11,'Policy Assignments'!$B$5:$B$868,L$4,'Policy Assignments'!$E$5:$E$868,"Core")&gt;0,"R",IF(COUNTIFS('Policy Assignments'!$C$5:$C$868,$A11,'Policy Assignments'!$B$5:$B$868,L$4,'Policy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M11" s="94" t="str">
        <x:f>IF(COUNTIFS('Policy Assignments'!$C$5:$C$868,$A11,'Policy Assignments'!$B$5:$B$868,M$4,'Policy Assignments'!$E$5:$E$868,"Hold")&gt;0,"H",IF(COUNTIFS('Policy Assignments'!$C$5:$C$868,$A11,'Policy Assignments'!$B$5:$B$868,M$4,'Policy Assignments'!$E$5:$E$868,"Core")&gt;0,"R",IF(COUNTIFS('Policy Assignments'!$C$5:$C$868,$A11,'Policy Assignments'!$B$5:$B$868,M$4,'Policy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c>
      <x:c r="N11" s="94" t="str">
        <x:f>IF(COUNTIFS('Policy Assignments'!$C$5:$C$868,$A11,'Policy Assignments'!$B$5:$B$868,N$4,'Policy Assignments'!$E$5:$E$868,"Hold")&gt;0,"H",IF(COUNTIFS('Policy Assignments'!$C$5:$C$868,$A11,'Policy Assignments'!$B$5:$B$868,N$4,'Policy Assignments'!$E$5:$E$868,"Core")&gt;0,"R",IF(COUNTIFS('Policy Assignments'!$C$5:$C$868,$A11,'Policy Assignments'!$B$5:$B$868,N$4,'Policy Assignments'!$E$5:$E$868,"Conditional")&gt;0,"C",IF(COUNTIFS('Policy Assignments'!$C$5:$C$868,$A11,'Policy Assignments'!$B$5:$B$868,"General",'Policy Assignments'!$E$5:$E$868,"Hold")&gt;0,"H",IF(COUNTIFS('Policy Assignments'!$C$5:$C$868,$A11,'Policy Assignments'!$B$5:$B$868,"General",'Policy Assignments'!$E$5:$E$868,"Conditional")&gt;0,"C",IF(COUNTIFS('Policy Assignments'!$C$5:$C$868,$A11,'Policy Assignments'!$B$5:$B$868,"General")&gt;0,"G",""))))))</x:f>
        <x:v>R</x:v>
      </x:c>
      <x:c r="O11" s="94" t="str">
        <x:f>IF(COUNTIFS('Policy Assignments'!$C$5:$C$868,$A11,'Policy Assignments'!$B$5:$B$868,O$4,'Policy Assignments'!$E$5:$E$868,"Hold")&gt;0,"H",IF(COUNTIFS('Policy Assignments'!$C$5:$C$868,$A11,'Policy Assignments'!$B$5:$B$868,O$4,'Policy Assignments'!$E$5:$E$868,"Core")&gt;0,"R",IF(COUNTIFS('Policy Assignments'!$C$5:$C$868,$A11,'Policy Assignments'!$B$5:$B$868,O$4,'Policy Assignments'!$E$5:$E$868,"Conditional")&gt;0,"C","")))</x:f>
      </x:c>
      <x:c r="P11" s="90" t="str">
        <x:v>Mapped</x:v>
      </x:c>
    </x:row>
    <x:row r="12" ht="22" customHeight="1">
      <x:c r="A12" s="90" t="str">
        <x:v>CL-CC-101</x:v>
      </x:c>
      <x:c r="B12" s="90" t="str">
        <x:v>Care Coordination &amp; SDOH Management</x:v>
      </x:c>
      <x:c r="C12" s="94" t="str">
        <x:f>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c>
      <x:c r="D12" s="94" t="str">
        <x:f>IF(COUNTIFS('Policy Assignments'!$C$5:$C$868,$A12,'Policy Assignments'!$B$5:$B$868,D$4,'Policy Assignments'!$E$5:$E$868,"Hold")&gt;0,"H",IF(COUNTIFS('Policy Assignments'!$C$5:$C$868,$A12,'Policy Assignments'!$B$5:$B$868,D$4,'Policy Assignments'!$E$5:$E$868,"Core")&gt;0,"R",IF(COUNTIFS('Policy Assignments'!$C$5:$C$868,$A12,'Policy Assignments'!$B$5:$B$868,D$4,'Policy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E12" s="94" t="str">
        <x:f>IF(COUNTIFS('Policy Assignments'!$C$5:$C$868,$A12,'Policy Assignments'!$B$5:$B$868,E$4,'Policy Assignments'!$E$5:$E$868,"Hold")&gt;0,"H",IF(COUNTIFS('Policy Assignments'!$C$5:$C$868,$A12,'Policy Assignments'!$B$5:$B$868,E$4,'Policy Assignments'!$E$5:$E$868,"Core")&gt;0,"R",IF(COUNTIFS('Policy Assignments'!$C$5:$C$868,$A12,'Policy Assignments'!$B$5:$B$868,E$4,'Policy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F12" s="94" t="str">
        <x:f>IF(COUNTIFS('Policy Assignments'!$C$5:$C$868,$A12,'Policy Assignments'!$B$5:$B$868,F$4,'Policy Assignments'!$E$5:$E$868,"Hold")&gt;0,"H",IF(COUNTIFS('Policy Assignments'!$C$5:$C$868,$A12,'Policy Assignments'!$B$5:$B$868,F$4,'Policy Assignments'!$E$5:$E$868,"Core")&gt;0,"R",IF(COUNTIFS('Policy Assignments'!$C$5:$C$868,$A12,'Policy Assignments'!$B$5:$B$868,F$4,'Policy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G12" s="94" t="str">
        <x:f>IF(COUNTIFS('Policy Assignments'!$C$5:$C$868,$A12,'Policy Assignments'!$B$5:$B$868,G$4,'Policy Assignments'!$E$5:$E$868,"Hold")&gt;0,"H",IF(COUNTIFS('Policy Assignments'!$C$5:$C$868,$A12,'Policy Assignments'!$B$5:$B$868,G$4,'Policy Assignments'!$E$5:$E$868,"Core")&gt;0,"R",IF(COUNTIFS('Policy Assignments'!$C$5:$C$868,$A12,'Policy Assignments'!$B$5:$B$868,G$4,'Policy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H12" s="94" t="str">
        <x:f>IF(COUNTIFS('Policy Assignments'!$C$5:$C$868,$A12,'Policy Assignments'!$B$5:$B$868,H$4,'Policy Assignments'!$E$5:$E$868,"Hold")&gt;0,"H",IF(COUNTIFS('Policy Assignments'!$C$5:$C$868,$A12,'Policy Assignments'!$B$5:$B$868,H$4,'Policy Assignments'!$E$5:$E$868,"Core")&gt;0,"R",IF(COUNTIFS('Policy Assignments'!$C$5:$C$868,$A12,'Policy Assignments'!$B$5:$B$868,H$4,'Policy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I12" s="94" t="str">
        <x:f>IF(COUNTIFS('Policy Assignments'!$C$5:$C$868,$A12,'Policy Assignments'!$B$5:$B$868,I$4,'Policy Assignments'!$E$5:$E$868,"Hold")&gt;0,"H",IF(COUNTIFS('Policy Assignments'!$C$5:$C$868,$A12,'Policy Assignments'!$B$5:$B$868,I$4,'Policy Assignments'!$E$5:$E$868,"Core")&gt;0,"R",IF(COUNTIFS('Policy Assignments'!$C$5:$C$868,$A12,'Policy Assignments'!$B$5:$B$868,I$4,'Policy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J12" s="94" t="str">
        <x:f>IF(COUNTIFS('Policy Assignments'!$C$5:$C$868,$A12,'Policy Assignments'!$B$5:$B$868,J$4,'Policy Assignments'!$E$5:$E$868,"Hold")&gt;0,"H",IF(COUNTIFS('Policy Assignments'!$C$5:$C$868,$A12,'Policy Assignments'!$B$5:$B$868,J$4,'Policy Assignments'!$E$5:$E$868,"Core")&gt;0,"R",IF(COUNTIFS('Policy Assignments'!$C$5:$C$868,$A12,'Policy Assignments'!$B$5:$B$868,J$4,'Policy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K12" s="94" t="str">
        <x:f>IF(COUNTIFS('Policy Assignments'!$C$5:$C$868,$A12,'Policy Assignments'!$B$5:$B$868,K$4,'Policy Assignments'!$E$5:$E$868,"Hold")&gt;0,"H",IF(COUNTIFS('Policy Assignments'!$C$5:$C$868,$A12,'Policy Assignments'!$B$5:$B$868,K$4,'Policy Assignments'!$E$5:$E$868,"Core")&gt;0,"R",IF(COUNTIFS('Policy Assignments'!$C$5:$C$868,$A12,'Policy Assignments'!$B$5:$B$868,K$4,'Policy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L12" s="94" t="str">
        <x:f>IF(COUNTIFS('Policy Assignments'!$C$5:$C$868,$A12,'Policy Assignments'!$B$5:$B$868,L$4,'Policy Assignments'!$E$5:$E$868,"Hold")&gt;0,"H",IF(COUNTIFS('Policy Assignments'!$C$5:$C$868,$A12,'Policy Assignments'!$B$5:$B$868,L$4,'Policy Assignments'!$E$5:$E$868,"Core")&gt;0,"R",IF(COUNTIFS('Policy Assignments'!$C$5:$C$868,$A12,'Policy Assignments'!$B$5:$B$868,L$4,'Policy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M12" s="94" t="str">
        <x:f>IF(COUNTIFS('Policy Assignments'!$C$5:$C$868,$A12,'Policy Assignments'!$B$5:$B$868,M$4,'Policy Assignments'!$E$5:$E$868,"Hold")&gt;0,"H",IF(COUNTIFS('Policy Assignments'!$C$5:$C$868,$A12,'Policy Assignments'!$B$5:$B$868,M$4,'Policy Assignments'!$E$5:$E$868,"Core")&gt;0,"R",IF(COUNTIFS('Policy Assignments'!$C$5:$C$868,$A12,'Policy Assignments'!$B$5:$B$868,M$4,'Policy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c>
      <x:c r="N12" s="94" t="str">
        <x:f>IF(COUNTIFS('Policy Assignments'!$C$5:$C$868,$A12,'Policy Assignments'!$B$5:$B$868,N$4,'Policy Assignments'!$E$5:$E$868,"Hold")&gt;0,"H",IF(COUNTIFS('Policy Assignments'!$C$5:$C$868,$A12,'Policy Assignments'!$B$5:$B$868,N$4,'Policy Assignments'!$E$5:$E$868,"Core")&gt;0,"R",IF(COUNTIFS('Policy Assignments'!$C$5:$C$868,$A12,'Policy Assignments'!$B$5:$B$868,N$4,'Policy Assignments'!$E$5:$E$868,"Conditional")&gt;0,"C",IF(COUNTIFS('Policy Assignments'!$C$5:$C$868,$A12,'Policy Assignments'!$B$5:$B$868,"General",'Policy Assignments'!$E$5:$E$868,"Hold")&gt;0,"H",IF(COUNTIFS('Policy Assignments'!$C$5:$C$868,$A12,'Policy Assignments'!$B$5:$B$868,"General",'Policy Assignments'!$E$5:$E$868,"Conditional")&gt;0,"C",IF(COUNTIFS('Policy Assignments'!$C$5:$C$868,$A12,'Policy Assignments'!$B$5:$B$868,"General")&gt;0,"G",""))))))</x:f>
        <x:v>R</x:v>
      </x:c>
      <x:c r="O12" s="94" t="str">
        <x:f>IF(COUNTIFS('Policy Assignments'!$C$5:$C$868,$A12,'Policy Assignments'!$B$5:$B$868,O$4,'Policy Assignments'!$E$5:$E$868,"Hold")&gt;0,"H",IF(COUNTIFS('Policy Assignments'!$C$5:$C$868,$A12,'Policy Assignments'!$B$5:$B$868,O$4,'Policy Assignments'!$E$5:$E$868,"Core")&gt;0,"R",IF(COUNTIFS('Policy Assignments'!$C$5:$C$868,$A12,'Policy Assignments'!$B$5:$B$868,O$4,'Policy Assignments'!$E$5:$E$868,"Conditional")&gt;0,"C","")))</x:f>
      </x:c>
      <x:c r="P12" s="90" t="str">
        <x:v>Mapped</x:v>
      </x:c>
    </x:row>
    <x:row r="13" ht="22" customHeight="1">
      <x:c r="A13" s="90" t="str">
        <x:v>CL-CD-001</x:v>
      </x:c>
      <x:c r="B13" s="90" t="str">
        <x:v>Clinical Documentation Standards</x:v>
      </x:c>
      <x:c r="C13" s="94" t="str">
        <x:f>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c>
      <x:c r="D13" s="94" t="str">
        <x:f>IF(COUNTIFS('Policy Assignments'!$C$5:$C$868,$A13,'Policy Assignments'!$B$5:$B$868,D$4,'Policy Assignments'!$E$5:$E$868,"Hold")&gt;0,"H",IF(COUNTIFS('Policy Assignments'!$C$5:$C$868,$A13,'Policy Assignments'!$B$5:$B$868,D$4,'Policy Assignments'!$E$5:$E$868,"Core")&gt;0,"R",IF(COUNTIFS('Policy Assignments'!$C$5:$C$868,$A13,'Policy Assignments'!$B$5:$B$868,D$4,'Policy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E13" s="94" t="str">
        <x:f>IF(COUNTIFS('Policy Assignments'!$C$5:$C$868,$A13,'Policy Assignments'!$B$5:$B$868,E$4,'Policy Assignments'!$E$5:$E$868,"Hold")&gt;0,"H",IF(COUNTIFS('Policy Assignments'!$C$5:$C$868,$A13,'Policy Assignments'!$B$5:$B$868,E$4,'Policy Assignments'!$E$5:$E$868,"Core")&gt;0,"R",IF(COUNTIFS('Policy Assignments'!$C$5:$C$868,$A13,'Policy Assignments'!$B$5:$B$868,E$4,'Policy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F13" s="94" t="str">
        <x:f>IF(COUNTIFS('Policy Assignments'!$C$5:$C$868,$A13,'Policy Assignments'!$B$5:$B$868,F$4,'Policy Assignments'!$E$5:$E$868,"Hold")&gt;0,"H",IF(COUNTIFS('Policy Assignments'!$C$5:$C$868,$A13,'Policy Assignments'!$B$5:$B$868,F$4,'Policy Assignments'!$E$5:$E$868,"Core")&gt;0,"R",IF(COUNTIFS('Policy Assignments'!$C$5:$C$868,$A13,'Policy Assignments'!$B$5:$B$868,F$4,'Policy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G13" s="94" t="str">
        <x:f>IF(COUNTIFS('Policy Assignments'!$C$5:$C$868,$A13,'Policy Assignments'!$B$5:$B$868,G$4,'Policy Assignments'!$E$5:$E$868,"Hold")&gt;0,"H",IF(COUNTIFS('Policy Assignments'!$C$5:$C$868,$A13,'Policy Assignments'!$B$5:$B$868,G$4,'Policy Assignments'!$E$5:$E$868,"Core")&gt;0,"R",IF(COUNTIFS('Policy Assignments'!$C$5:$C$868,$A13,'Policy Assignments'!$B$5:$B$868,G$4,'Policy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H13" s="94" t="str">
        <x:f>IF(COUNTIFS('Policy Assignments'!$C$5:$C$868,$A13,'Policy Assignments'!$B$5:$B$868,H$4,'Policy Assignments'!$E$5:$E$868,"Hold")&gt;0,"H",IF(COUNTIFS('Policy Assignments'!$C$5:$C$868,$A13,'Policy Assignments'!$B$5:$B$868,H$4,'Policy Assignments'!$E$5:$E$868,"Core")&gt;0,"R",IF(COUNTIFS('Policy Assignments'!$C$5:$C$868,$A13,'Policy Assignments'!$B$5:$B$868,H$4,'Policy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I13" s="94" t="str">
        <x:f>IF(COUNTIFS('Policy Assignments'!$C$5:$C$868,$A13,'Policy Assignments'!$B$5:$B$868,I$4,'Policy Assignments'!$E$5:$E$868,"Hold")&gt;0,"H",IF(COUNTIFS('Policy Assignments'!$C$5:$C$868,$A13,'Policy Assignments'!$B$5:$B$868,I$4,'Policy Assignments'!$E$5:$E$868,"Core")&gt;0,"R",IF(COUNTIFS('Policy Assignments'!$C$5:$C$868,$A13,'Policy Assignments'!$B$5:$B$868,I$4,'Policy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J13" s="94" t="str">
        <x:f>IF(COUNTIFS('Policy Assignments'!$C$5:$C$868,$A13,'Policy Assignments'!$B$5:$B$868,J$4,'Policy Assignments'!$E$5:$E$868,"Hold")&gt;0,"H",IF(COUNTIFS('Policy Assignments'!$C$5:$C$868,$A13,'Policy Assignments'!$B$5:$B$868,J$4,'Policy Assignments'!$E$5:$E$868,"Core")&gt;0,"R",IF(COUNTIFS('Policy Assignments'!$C$5:$C$868,$A13,'Policy Assignments'!$B$5:$B$868,J$4,'Policy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K13" s="94" t="str">
        <x:f>IF(COUNTIFS('Policy Assignments'!$C$5:$C$868,$A13,'Policy Assignments'!$B$5:$B$868,K$4,'Policy Assignments'!$E$5:$E$868,"Hold")&gt;0,"H",IF(COUNTIFS('Policy Assignments'!$C$5:$C$868,$A13,'Policy Assignments'!$B$5:$B$868,K$4,'Policy Assignments'!$E$5:$E$868,"Core")&gt;0,"R",IF(COUNTIFS('Policy Assignments'!$C$5:$C$868,$A13,'Policy Assignments'!$B$5:$B$868,K$4,'Policy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L13" s="94" t="str">
        <x:f>IF(COUNTIFS('Policy Assignments'!$C$5:$C$868,$A13,'Policy Assignments'!$B$5:$B$868,L$4,'Policy Assignments'!$E$5:$E$868,"Hold")&gt;0,"H",IF(COUNTIFS('Policy Assignments'!$C$5:$C$868,$A13,'Policy Assignments'!$B$5:$B$868,L$4,'Policy Assignments'!$E$5:$E$868,"Core")&gt;0,"R",IF(COUNTIFS('Policy Assignments'!$C$5:$C$868,$A13,'Policy Assignments'!$B$5:$B$868,L$4,'Policy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M13" s="94" t="str">
        <x:f>IF(COUNTIFS('Policy Assignments'!$C$5:$C$868,$A13,'Policy Assignments'!$B$5:$B$868,M$4,'Policy Assignments'!$E$5:$E$868,"Hold")&gt;0,"H",IF(COUNTIFS('Policy Assignments'!$C$5:$C$868,$A13,'Policy Assignments'!$B$5:$B$868,M$4,'Policy Assignments'!$E$5:$E$868,"Core")&gt;0,"R",IF(COUNTIFS('Policy Assignments'!$C$5:$C$868,$A13,'Policy Assignments'!$B$5:$B$868,M$4,'Policy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c>
      <x:c r="N13" s="94" t="str">
        <x:f>IF(COUNTIFS('Policy Assignments'!$C$5:$C$868,$A13,'Policy Assignments'!$B$5:$B$868,N$4,'Policy Assignments'!$E$5:$E$868,"Hold")&gt;0,"H",IF(COUNTIFS('Policy Assignments'!$C$5:$C$868,$A13,'Policy Assignments'!$B$5:$B$868,N$4,'Policy Assignments'!$E$5:$E$868,"Core")&gt;0,"R",IF(COUNTIFS('Policy Assignments'!$C$5:$C$868,$A13,'Policy Assignments'!$B$5:$B$868,N$4,'Policy Assignments'!$E$5:$E$868,"Conditional")&gt;0,"C",IF(COUNTIFS('Policy Assignments'!$C$5:$C$868,$A13,'Policy Assignments'!$B$5:$B$868,"General",'Policy Assignments'!$E$5:$E$868,"Hold")&gt;0,"H",IF(COUNTIFS('Policy Assignments'!$C$5:$C$868,$A13,'Policy Assignments'!$B$5:$B$868,"General",'Policy Assignments'!$E$5:$E$868,"Conditional")&gt;0,"C",IF(COUNTIFS('Policy Assignments'!$C$5:$C$868,$A13,'Policy Assignments'!$B$5:$B$868,"General")&gt;0,"G",""))))))</x:f>
        <x:v>R</x:v>
      </x:c>
      <x:c r="O13" s="94" t="str">
        <x:f>IF(COUNTIFS('Policy Assignments'!$C$5:$C$868,$A13,'Policy Assignments'!$B$5:$B$868,O$4,'Policy Assignments'!$E$5:$E$868,"Hold")&gt;0,"H",IF(COUNTIFS('Policy Assignments'!$C$5:$C$868,$A13,'Policy Assignments'!$B$5:$B$868,O$4,'Policy Assignments'!$E$5:$E$868,"Core")&gt;0,"R",IF(COUNTIFS('Policy Assignments'!$C$5:$C$868,$A13,'Policy Assignments'!$B$5:$B$868,O$4,'Policy Assignments'!$E$5:$E$868,"Conditional")&gt;0,"C","")))</x:f>
      </x:c>
      <x:c r="P13" s="90" t="str">
        <x:v>Mapped</x:v>
      </x:c>
    </x:row>
    <x:row r="14" ht="22" customHeight="1">
      <x:c r="A14" s="90" t="str">
        <x:v>CL-CD-002</x:v>
      </x:c>
      <x:c r="B14" s="90" t="str">
        <x:v>Clinical Record Content &amp; Organization</x:v>
      </x:c>
      <x:c r="C14" s="94" t="str">
        <x:f>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c>
      <x:c r="D14" s="94" t="str">
        <x:f>IF(COUNTIFS('Policy Assignments'!$C$5:$C$868,$A14,'Policy Assignments'!$B$5:$B$868,D$4,'Policy Assignments'!$E$5:$E$868,"Hold")&gt;0,"H",IF(COUNTIFS('Policy Assignments'!$C$5:$C$868,$A14,'Policy Assignments'!$B$5:$B$868,D$4,'Policy Assignments'!$E$5:$E$868,"Core")&gt;0,"R",IF(COUNTIFS('Policy Assignments'!$C$5:$C$868,$A14,'Policy Assignments'!$B$5:$B$868,D$4,'Policy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E14" s="94" t="str">
        <x:f>IF(COUNTIFS('Policy Assignments'!$C$5:$C$868,$A14,'Policy Assignments'!$B$5:$B$868,E$4,'Policy Assignments'!$E$5:$E$868,"Hold")&gt;0,"H",IF(COUNTIFS('Policy Assignments'!$C$5:$C$868,$A14,'Policy Assignments'!$B$5:$B$868,E$4,'Policy Assignments'!$E$5:$E$868,"Core")&gt;0,"R",IF(COUNTIFS('Policy Assignments'!$C$5:$C$868,$A14,'Policy Assignments'!$B$5:$B$868,E$4,'Policy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F14" s="94" t="str">
        <x:f>IF(COUNTIFS('Policy Assignments'!$C$5:$C$868,$A14,'Policy Assignments'!$B$5:$B$868,F$4,'Policy Assignments'!$E$5:$E$868,"Hold")&gt;0,"H",IF(COUNTIFS('Policy Assignments'!$C$5:$C$868,$A14,'Policy Assignments'!$B$5:$B$868,F$4,'Policy Assignments'!$E$5:$E$868,"Core")&gt;0,"R",IF(COUNTIFS('Policy Assignments'!$C$5:$C$868,$A14,'Policy Assignments'!$B$5:$B$868,F$4,'Policy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G14" s="94" t="str">
        <x:f>IF(COUNTIFS('Policy Assignments'!$C$5:$C$868,$A14,'Policy Assignments'!$B$5:$B$868,G$4,'Policy Assignments'!$E$5:$E$868,"Hold")&gt;0,"H",IF(COUNTIFS('Policy Assignments'!$C$5:$C$868,$A14,'Policy Assignments'!$B$5:$B$868,G$4,'Policy Assignments'!$E$5:$E$868,"Core")&gt;0,"R",IF(COUNTIFS('Policy Assignments'!$C$5:$C$868,$A14,'Policy Assignments'!$B$5:$B$868,G$4,'Policy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H14" s="94" t="str">
        <x:f>IF(COUNTIFS('Policy Assignments'!$C$5:$C$868,$A14,'Policy Assignments'!$B$5:$B$868,H$4,'Policy Assignments'!$E$5:$E$868,"Hold")&gt;0,"H",IF(COUNTIFS('Policy Assignments'!$C$5:$C$868,$A14,'Policy Assignments'!$B$5:$B$868,H$4,'Policy Assignments'!$E$5:$E$868,"Core")&gt;0,"R",IF(COUNTIFS('Policy Assignments'!$C$5:$C$868,$A14,'Policy Assignments'!$B$5:$B$868,H$4,'Policy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I14" s="94" t="str">
        <x:f>IF(COUNTIFS('Policy Assignments'!$C$5:$C$868,$A14,'Policy Assignments'!$B$5:$B$868,I$4,'Policy Assignments'!$E$5:$E$868,"Hold")&gt;0,"H",IF(COUNTIFS('Policy Assignments'!$C$5:$C$868,$A14,'Policy Assignments'!$B$5:$B$868,I$4,'Policy Assignments'!$E$5:$E$868,"Core")&gt;0,"R",IF(COUNTIFS('Policy Assignments'!$C$5:$C$868,$A14,'Policy Assignments'!$B$5:$B$868,I$4,'Policy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J14" s="94" t="str">
        <x:f>IF(COUNTIFS('Policy Assignments'!$C$5:$C$868,$A14,'Policy Assignments'!$B$5:$B$868,J$4,'Policy Assignments'!$E$5:$E$868,"Hold")&gt;0,"H",IF(COUNTIFS('Policy Assignments'!$C$5:$C$868,$A14,'Policy Assignments'!$B$5:$B$868,J$4,'Policy Assignments'!$E$5:$E$868,"Core")&gt;0,"R",IF(COUNTIFS('Policy Assignments'!$C$5:$C$868,$A14,'Policy Assignments'!$B$5:$B$868,J$4,'Policy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K14" s="94" t="str">
        <x:f>IF(COUNTIFS('Policy Assignments'!$C$5:$C$868,$A14,'Policy Assignments'!$B$5:$B$868,K$4,'Policy Assignments'!$E$5:$E$868,"Hold")&gt;0,"H",IF(COUNTIFS('Policy Assignments'!$C$5:$C$868,$A14,'Policy Assignments'!$B$5:$B$868,K$4,'Policy Assignments'!$E$5:$E$868,"Core")&gt;0,"R",IF(COUNTIFS('Policy Assignments'!$C$5:$C$868,$A14,'Policy Assignments'!$B$5:$B$868,K$4,'Policy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L14" s="94" t="str">
        <x:f>IF(COUNTIFS('Policy Assignments'!$C$5:$C$868,$A14,'Policy Assignments'!$B$5:$B$868,L$4,'Policy Assignments'!$E$5:$E$868,"Hold")&gt;0,"H",IF(COUNTIFS('Policy Assignments'!$C$5:$C$868,$A14,'Policy Assignments'!$B$5:$B$868,L$4,'Policy Assignments'!$E$5:$E$868,"Core")&gt;0,"R",IF(COUNTIFS('Policy Assignments'!$C$5:$C$868,$A14,'Policy Assignments'!$B$5:$B$868,L$4,'Policy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M14" s="94" t="str">
        <x:f>IF(COUNTIFS('Policy Assignments'!$C$5:$C$868,$A14,'Policy Assignments'!$B$5:$B$868,M$4,'Policy Assignments'!$E$5:$E$868,"Hold")&gt;0,"H",IF(COUNTIFS('Policy Assignments'!$C$5:$C$868,$A14,'Policy Assignments'!$B$5:$B$868,M$4,'Policy Assignments'!$E$5:$E$868,"Core")&gt;0,"R",IF(COUNTIFS('Policy Assignments'!$C$5:$C$868,$A14,'Policy Assignments'!$B$5:$B$868,M$4,'Policy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c>
      <x:c r="N14" s="94" t="str">
        <x:f>IF(COUNTIFS('Policy Assignments'!$C$5:$C$868,$A14,'Policy Assignments'!$B$5:$B$868,N$4,'Policy Assignments'!$E$5:$E$868,"Hold")&gt;0,"H",IF(COUNTIFS('Policy Assignments'!$C$5:$C$868,$A14,'Policy Assignments'!$B$5:$B$868,N$4,'Policy Assignments'!$E$5:$E$868,"Core")&gt;0,"R",IF(COUNTIFS('Policy Assignments'!$C$5:$C$868,$A14,'Policy Assignments'!$B$5:$B$868,N$4,'Policy Assignments'!$E$5:$E$868,"Conditional")&gt;0,"C",IF(COUNTIFS('Policy Assignments'!$C$5:$C$868,$A14,'Policy Assignments'!$B$5:$B$868,"General",'Policy Assignments'!$E$5:$E$868,"Hold")&gt;0,"H",IF(COUNTIFS('Policy Assignments'!$C$5:$C$868,$A14,'Policy Assignments'!$B$5:$B$868,"General",'Policy Assignments'!$E$5:$E$868,"Conditional")&gt;0,"C",IF(COUNTIFS('Policy Assignments'!$C$5:$C$868,$A14,'Policy Assignments'!$B$5:$B$868,"General")&gt;0,"G",""))))))</x:f>
        <x:v>R</x:v>
      </x:c>
      <x:c r="O14" s="94" t="str">
        <x:f>IF(COUNTIFS('Policy Assignments'!$C$5:$C$868,$A14,'Policy Assignments'!$B$5:$B$868,O$4,'Policy Assignments'!$E$5:$E$868,"Hold")&gt;0,"H",IF(COUNTIFS('Policy Assignments'!$C$5:$C$868,$A14,'Policy Assignments'!$B$5:$B$868,O$4,'Policy Assignments'!$E$5:$E$868,"Core")&gt;0,"R",IF(COUNTIFS('Policy Assignments'!$C$5:$C$868,$A14,'Policy Assignments'!$B$5:$B$868,O$4,'Policy Assignments'!$E$5:$E$868,"Conditional")&gt;0,"C","")))</x:f>
      </x:c>
      <x:c r="P14" s="90" t="str">
        <x:v>Mapped</x:v>
      </x:c>
    </x:row>
    <x:row r="15" ht="22" customHeight="1">
      <x:c r="A15" s="90" t="str">
        <x:v>CL-CD-003</x:v>
      </x:c>
      <x:c r="B15" s="90" t="str">
        <x:v>Clinical Record Authentication &amp; Signature Requirements</x:v>
      </x:c>
      <x:c r="C15" s="94" t="str">
        <x:f>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c>
      <x:c r="D15" s="94" t="str">
        <x:f>IF(COUNTIFS('Policy Assignments'!$C$5:$C$868,$A15,'Policy Assignments'!$B$5:$B$868,D$4,'Policy Assignments'!$E$5:$E$868,"Hold")&gt;0,"H",IF(COUNTIFS('Policy Assignments'!$C$5:$C$868,$A15,'Policy Assignments'!$B$5:$B$868,D$4,'Policy Assignments'!$E$5:$E$868,"Core")&gt;0,"R",IF(COUNTIFS('Policy Assignments'!$C$5:$C$868,$A15,'Policy Assignments'!$B$5:$B$868,D$4,'Policy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E15" s="94" t="str">
        <x:f>IF(COUNTIFS('Policy Assignments'!$C$5:$C$868,$A15,'Policy Assignments'!$B$5:$B$868,E$4,'Policy Assignments'!$E$5:$E$868,"Hold")&gt;0,"H",IF(COUNTIFS('Policy Assignments'!$C$5:$C$868,$A15,'Policy Assignments'!$B$5:$B$868,E$4,'Policy Assignments'!$E$5:$E$868,"Core")&gt;0,"R",IF(COUNTIFS('Policy Assignments'!$C$5:$C$868,$A15,'Policy Assignments'!$B$5:$B$868,E$4,'Policy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F15" s="94" t="str">
        <x:f>IF(COUNTIFS('Policy Assignments'!$C$5:$C$868,$A15,'Policy Assignments'!$B$5:$B$868,F$4,'Policy Assignments'!$E$5:$E$868,"Hold")&gt;0,"H",IF(COUNTIFS('Policy Assignments'!$C$5:$C$868,$A15,'Policy Assignments'!$B$5:$B$868,F$4,'Policy Assignments'!$E$5:$E$868,"Core")&gt;0,"R",IF(COUNTIFS('Policy Assignments'!$C$5:$C$868,$A15,'Policy Assignments'!$B$5:$B$868,F$4,'Policy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G15" s="94" t="str">
        <x:f>IF(COUNTIFS('Policy Assignments'!$C$5:$C$868,$A15,'Policy Assignments'!$B$5:$B$868,G$4,'Policy Assignments'!$E$5:$E$868,"Hold")&gt;0,"H",IF(COUNTIFS('Policy Assignments'!$C$5:$C$868,$A15,'Policy Assignments'!$B$5:$B$868,G$4,'Policy Assignments'!$E$5:$E$868,"Core")&gt;0,"R",IF(COUNTIFS('Policy Assignments'!$C$5:$C$868,$A15,'Policy Assignments'!$B$5:$B$868,G$4,'Policy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H15" s="94" t="str">
        <x:f>IF(COUNTIFS('Policy Assignments'!$C$5:$C$868,$A15,'Policy Assignments'!$B$5:$B$868,H$4,'Policy Assignments'!$E$5:$E$868,"Hold")&gt;0,"H",IF(COUNTIFS('Policy Assignments'!$C$5:$C$868,$A15,'Policy Assignments'!$B$5:$B$868,H$4,'Policy Assignments'!$E$5:$E$868,"Core")&gt;0,"R",IF(COUNTIFS('Policy Assignments'!$C$5:$C$868,$A15,'Policy Assignments'!$B$5:$B$868,H$4,'Policy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I15" s="94" t="str">
        <x:f>IF(COUNTIFS('Policy Assignments'!$C$5:$C$868,$A15,'Policy Assignments'!$B$5:$B$868,I$4,'Policy Assignments'!$E$5:$E$868,"Hold")&gt;0,"H",IF(COUNTIFS('Policy Assignments'!$C$5:$C$868,$A15,'Policy Assignments'!$B$5:$B$868,I$4,'Policy Assignments'!$E$5:$E$868,"Core")&gt;0,"R",IF(COUNTIFS('Policy Assignments'!$C$5:$C$868,$A15,'Policy Assignments'!$B$5:$B$868,I$4,'Policy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J15" s="94" t="str">
        <x:f>IF(COUNTIFS('Policy Assignments'!$C$5:$C$868,$A15,'Policy Assignments'!$B$5:$B$868,J$4,'Policy Assignments'!$E$5:$E$868,"Hold")&gt;0,"H",IF(COUNTIFS('Policy Assignments'!$C$5:$C$868,$A15,'Policy Assignments'!$B$5:$B$868,J$4,'Policy Assignments'!$E$5:$E$868,"Core")&gt;0,"R",IF(COUNTIFS('Policy Assignments'!$C$5:$C$868,$A15,'Policy Assignments'!$B$5:$B$868,J$4,'Policy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K15" s="94" t="str">
        <x:f>IF(COUNTIFS('Policy Assignments'!$C$5:$C$868,$A15,'Policy Assignments'!$B$5:$B$868,K$4,'Policy Assignments'!$E$5:$E$868,"Hold")&gt;0,"H",IF(COUNTIFS('Policy Assignments'!$C$5:$C$868,$A15,'Policy Assignments'!$B$5:$B$868,K$4,'Policy Assignments'!$E$5:$E$868,"Core")&gt;0,"R",IF(COUNTIFS('Policy Assignments'!$C$5:$C$868,$A15,'Policy Assignments'!$B$5:$B$868,K$4,'Policy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L15" s="94" t="str">
        <x:f>IF(COUNTIFS('Policy Assignments'!$C$5:$C$868,$A15,'Policy Assignments'!$B$5:$B$868,L$4,'Policy Assignments'!$E$5:$E$868,"Hold")&gt;0,"H",IF(COUNTIFS('Policy Assignments'!$C$5:$C$868,$A15,'Policy Assignments'!$B$5:$B$868,L$4,'Policy Assignments'!$E$5:$E$868,"Core")&gt;0,"R",IF(COUNTIFS('Policy Assignments'!$C$5:$C$868,$A15,'Policy Assignments'!$B$5:$B$868,L$4,'Policy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M15" s="94" t="str">
        <x:f>IF(COUNTIFS('Policy Assignments'!$C$5:$C$868,$A15,'Policy Assignments'!$B$5:$B$868,M$4,'Policy Assignments'!$E$5:$E$868,"Hold")&gt;0,"H",IF(COUNTIFS('Policy Assignments'!$C$5:$C$868,$A15,'Policy Assignments'!$B$5:$B$868,M$4,'Policy Assignments'!$E$5:$E$868,"Core")&gt;0,"R",IF(COUNTIFS('Policy Assignments'!$C$5:$C$868,$A15,'Policy Assignments'!$B$5:$B$868,M$4,'Policy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c>
      <x:c r="N15" s="94" t="str">
        <x:f>IF(COUNTIFS('Policy Assignments'!$C$5:$C$868,$A15,'Policy Assignments'!$B$5:$B$868,N$4,'Policy Assignments'!$E$5:$E$868,"Hold")&gt;0,"H",IF(COUNTIFS('Policy Assignments'!$C$5:$C$868,$A15,'Policy Assignments'!$B$5:$B$868,N$4,'Policy Assignments'!$E$5:$E$868,"Core")&gt;0,"R",IF(COUNTIFS('Policy Assignments'!$C$5:$C$868,$A15,'Policy Assignments'!$B$5:$B$868,N$4,'Policy Assignments'!$E$5:$E$868,"Conditional")&gt;0,"C",IF(COUNTIFS('Policy Assignments'!$C$5:$C$868,$A15,'Policy Assignments'!$B$5:$B$868,"General",'Policy Assignments'!$E$5:$E$868,"Hold")&gt;0,"H",IF(COUNTIFS('Policy Assignments'!$C$5:$C$868,$A15,'Policy Assignments'!$B$5:$B$868,"General",'Policy Assignments'!$E$5:$E$868,"Conditional")&gt;0,"C",IF(COUNTIFS('Policy Assignments'!$C$5:$C$868,$A15,'Policy Assignments'!$B$5:$B$868,"General")&gt;0,"G",""))))))</x:f>
        <x:v>R</x:v>
      </x:c>
      <x:c r="O15" s="94" t="str">
        <x:f>IF(COUNTIFS('Policy Assignments'!$C$5:$C$868,$A15,'Policy Assignments'!$B$5:$B$868,O$4,'Policy Assignments'!$E$5:$E$868,"Hold")&gt;0,"H",IF(COUNTIFS('Policy Assignments'!$C$5:$C$868,$A15,'Policy Assignments'!$B$5:$B$868,O$4,'Policy Assignments'!$E$5:$E$868,"Core")&gt;0,"R",IF(COUNTIFS('Policy Assignments'!$C$5:$C$868,$A15,'Policy Assignments'!$B$5:$B$868,O$4,'Policy Assignments'!$E$5:$E$868,"Conditional")&gt;0,"C","")))</x:f>
      </x:c>
      <x:c r="P15" s="90" t="str">
        <x:v>Mapped</x:v>
      </x:c>
    </x:row>
    <x:row r="16" ht="22" customHeight="1">
      <x:c r="A16" s="90" t="str">
        <x:v>CL-CD-004</x:v>
      </x:c>
      <x:c r="B16" s="90" t="str">
        <x:v>Timely Documentation Completion &amp; Lock Requirements</x:v>
      </x:c>
      <x:c r="C16" s="94" t="str">
        <x:f>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c>
      <x:c r="D16" s="94" t="str">
        <x:f>IF(COUNTIFS('Policy Assignments'!$C$5:$C$868,$A16,'Policy Assignments'!$B$5:$B$868,D$4,'Policy Assignments'!$E$5:$E$868,"Hold")&gt;0,"H",IF(COUNTIFS('Policy Assignments'!$C$5:$C$868,$A16,'Policy Assignments'!$B$5:$B$868,D$4,'Policy Assignments'!$E$5:$E$868,"Core")&gt;0,"R",IF(COUNTIFS('Policy Assignments'!$C$5:$C$868,$A16,'Policy Assignments'!$B$5:$B$868,D$4,'Policy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E16" s="94" t="str">
        <x:f>IF(COUNTIFS('Policy Assignments'!$C$5:$C$868,$A16,'Policy Assignments'!$B$5:$B$868,E$4,'Policy Assignments'!$E$5:$E$868,"Hold")&gt;0,"H",IF(COUNTIFS('Policy Assignments'!$C$5:$C$868,$A16,'Policy Assignments'!$B$5:$B$868,E$4,'Policy Assignments'!$E$5:$E$868,"Core")&gt;0,"R",IF(COUNTIFS('Policy Assignments'!$C$5:$C$868,$A16,'Policy Assignments'!$B$5:$B$868,E$4,'Policy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F16" s="94" t="str">
        <x:f>IF(COUNTIFS('Policy Assignments'!$C$5:$C$868,$A16,'Policy Assignments'!$B$5:$B$868,F$4,'Policy Assignments'!$E$5:$E$868,"Hold")&gt;0,"H",IF(COUNTIFS('Policy Assignments'!$C$5:$C$868,$A16,'Policy Assignments'!$B$5:$B$868,F$4,'Policy Assignments'!$E$5:$E$868,"Core")&gt;0,"R",IF(COUNTIFS('Policy Assignments'!$C$5:$C$868,$A16,'Policy Assignments'!$B$5:$B$868,F$4,'Policy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G16" s="94" t="str">
        <x:f>IF(COUNTIFS('Policy Assignments'!$C$5:$C$868,$A16,'Policy Assignments'!$B$5:$B$868,G$4,'Policy Assignments'!$E$5:$E$868,"Hold")&gt;0,"H",IF(COUNTIFS('Policy Assignments'!$C$5:$C$868,$A16,'Policy Assignments'!$B$5:$B$868,G$4,'Policy Assignments'!$E$5:$E$868,"Core")&gt;0,"R",IF(COUNTIFS('Policy Assignments'!$C$5:$C$868,$A16,'Policy Assignments'!$B$5:$B$868,G$4,'Policy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H16" s="94" t="str">
        <x:f>IF(COUNTIFS('Policy Assignments'!$C$5:$C$868,$A16,'Policy Assignments'!$B$5:$B$868,H$4,'Policy Assignments'!$E$5:$E$868,"Hold")&gt;0,"H",IF(COUNTIFS('Policy Assignments'!$C$5:$C$868,$A16,'Policy Assignments'!$B$5:$B$868,H$4,'Policy Assignments'!$E$5:$E$868,"Core")&gt;0,"R",IF(COUNTIFS('Policy Assignments'!$C$5:$C$868,$A16,'Policy Assignments'!$B$5:$B$868,H$4,'Policy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I16" s="94" t="str">
        <x:f>IF(COUNTIFS('Policy Assignments'!$C$5:$C$868,$A16,'Policy Assignments'!$B$5:$B$868,I$4,'Policy Assignments'!$E$5:$E$868,"Hold")&gt;0,"H",IF(COUNTIFS('Policy Assignments'!$C$5:$C$868,$A16,'Policy Assignments'!$B$5:$B$868,I$4,'Policy Assignments'!$E$5:$E$868,"Core")&gt;0,"R",IF(COUNTIFS('Policy Assignments'!$C$5:$C$868,$A16,'Policy Assignments'!$B$5:$B$868,I$4,'Policy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J16" s="94" t="str">
        <x:f>IF(COUNTIFS('Policy Assignments'!$C$5:$C$868,$A16,'Policy Assignments'!$B$5:$B$868,J$4,'Policy Assignments'!$E$5:$E$868,"Hold")&gt;0,"H",IF(COUNTIFS('Policy Assignments'!$C$5:$C$868,$A16,'Policy Assignments'!$B$5:$B$868,J$4,'Policy Assignments'!$E$5:$E$868,"Core")&gt;0,"R",IF(COUNTIFS('Policy Assignments'!$C$5:$C$868,$A16,'Policy Assignments'!$B$5:$B$868,J$4,'Policy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K16" s="94" t="str">
        <x:f>IF(COUNTIFS('Policy Assignments'!$C$5:$C$868,$A16,'Policy Assignments'!$B$5:$B$868,K$4,'Policy Assignments'!$E$5:$E$868,"Hold")&gt;0,"H",IF(COUNTIFS('Policy Assignments'!$C$5:$C$868,$A16,'Policy Assignments'!$B$5:$B$868,K$4,'Policy Assignments'!$E$5:$E$868,"Core")&gt;0,"R",IF(COUNTIFS('Policy Assignments'!$C$5:$C$868,$A16,'Policy Assignments'!$B$5:$B$868,K$4,'Policy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L16" s="94" t="str">
        <x:f>IF(COUNTIFS('Policy Assignments'!$C$5:$C$868,$A16,'Policy Assignments'!$B$5:$B$868,L$4,'Policy Assignments'!$E$5:$E$868,"Hold")&gt;0,"H",IF(COUNTIFS('Policy Assignments'!$C$5:$C$868,$A16,'Policy Assignments'!$B$5:$B$868,L$4,'Policy Assignments'!$E$5:$E$868,"Core")&gt;0,"R",IF(COUNTIFS('Policy Assignments'!$C$5:$C$868,$A16,'Policy Assignments'!$B$5:$B$868,L$4,'Policy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M16" s="94" t="str">
        <x:f>IF(COUNTIFS('Policy Assignments'!$C$5:$C$868,$A16,'Policy Assignments'!$B$5:$B$868,M$4,'Policy Assignments'!$E$5:$E$868,"Hold")&gt;0,"H",IF(COUNTIFS('Policy Assignments'!$C$5:$C$868,$A16,'Policy Assignments'!$B$5:$B$868,M$4,'Policy Assignments'!$E$5:$E$868,"Core")&gt;0,"R",IF(COUNTIFS('Policy Assignments'!$C$5:$C$868,$A16,'Policy Assignments'!$B$5:$B$868,M$4,'Policy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c>
      <x:c r="N16" s="94" t="str">
        <x:f>IF(COUNTIFS('Policy Assignments'!$C$5:$C$868,$A16,'Policy Assignments'!$B$5:$B$868,N$4,'Policy Assignments'!$E$5:$E$868,"Hold")&gt;0,"H",IF(COUNTIFS('Policy Assignments'!$C$5:$C$868,$A16,'Policy Assignments'!$B$5:$B$868,N$4,'Policy Assignments'!$E$5:$E$868,"Core")&gt;0,"R",IF(COUNTIFS('Policy Assignments'!$C$5:$C$868,$A16,'Policy Assignments'!$B$5:$B$868,N$4,'Policy Assignments'!$E$5:$E$868,"Conditional")&gt;0,"C",IF(COUNTIFS('Policy Assignments'!$C$5:$C$868,$A16,'Policy Assignments'!$B$5:$B$868,"General",'Policy Assignments'!$E$5:$E$868,"Hold")&gt;0,"H",IF(COUNTIFS('Policy Assignments'!$C$5:$C$868,$A16,'Policy Assignments'!$B$5:$B$868,"General",'Policy Assignments'!$E$5:$E$868,"Conditional")&gt;0,"C",IF(COUNTIFS('Policy Assignments'!$C$5:$C$868,$A16,'Policy Assignments'!$B$5:$B$868,"General")&gt;0,"G",""))))))</x:f>
        <x:v>R</x:v>
      </x:c>
      <x:c r="O16" s="94" t="str">
        <x:f>IF(COUNTIFS('Policy Assignments'!$C$5:$C$868,$A16,'Policy Assignments'!$B$5:$B$868,O$4,'Policy Assignments'!$E$5:$E$868,"Hold")&gt;0,"H",IF(COUNTIFS('Policy Assignments'!$C$5:$C$868,$A16,'Policy Assignments'!$B$5:$B$868,O$4,'Policy Assignments'!$E$5:$E$868,"Core")&gt;0,"R",IF(COUNTIFS('Policy Assignments'!$C$5:$C$868,$A16,'Policy Assignments'!$B$5:$B$868,O$4,'Policy Assignments'!$E$5:$E$868,"Conditional")&gt;0,"C","")))</x:f>
      </x:c>
      <x:c r="P16" s="90" t="str">
        <x:v>Mapped</x:v>
      </x:c>
    </x:row>
    <x:row r="17" ht="22" customHeight="1">
      <x:c r="A17" s="90" t="str">
        <x:v>CL-CP-001</x:v>
      </x:c>
      <x:c r="B17" s="90" t="str">
        <x:v>Plan of Care Development &amp; Approval</x:v>
      </x:c>
      <x:c r="C17" s="94" t="str">
        <x:f>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c>
      <x:c r="D17" s="94" t="str">
        <x:f>IF(COUNTIFS('Policy Assignments'!$C$5:$C$868,$A17,'Policy Assignments'!$B$5:$B$868,D$4,'Policy Assignments'!$E$5:$E$868,"Hold")&gt;0,"H",IF(COUNTIFS('Policy Assignments'!$C$5:$C$868,$A17,'Policy Assignments'!$B$5:$B$868,D$4,'Policy Assignments'!$E$5:$E$868,"Core")&gt;0,"R",IF(COUNTIFS('Policy Assignments'!$C$5:$C$868,$A17,'Policy Assignments'!$B$5:$B$868,D$4,'Policy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E17" s="94" t="str">
        <x:f>IF(COUNTIFS('Policy Assignments'!$C$5:$C$868,$A17,'Policy Assignments'!$B$5:$B$868,E$4,'Policy Assignments'!$E$5:$E$868,"Hold")&gt;0,"H",IF(COUNTIFS('Policy Assignments'!$C$5:$C$868,$A17,'Policy Assignments'!$B$5:$B$868,E$4,'Policy Assignments'!$E$5:$E$868,"Core")&gt;0,"R",IF(COUNTIFS('Policy Assignments'!$C$5:$C$868,$A17,'Policy Assignments'!$B$5:$B$868,E$4,'Policy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F17" s="94" t="str">
        <x:f>IF(COUNTIFS('Policy Assignments'!$C$5:$C$868,$A17,'Policy Assignments'!$B$5:$B$868,F$4,'Policy Assignments'!$E$5:$E$868,"Hold")&gt;0,"H",IF(COUNTIFS('Policy Assignments'!$C$5:$C$868,$A17,'Policy Assignments'!$B$5:$B$868,F$4,'Policy Assignments'!$E$5:$E$868,"Core")&gt;0,"R",IF(COUNTIFS('Policy Assignments'!$C$5:$C$868,$A17,'Policy Assignments'!$B$5:$B$868,F$4,'Policy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G17" s="94" t="str">
        <x:f>IF(COUNTIFS('Policy Assignments'!$C$5:$C$868,$A17,'Policy Assignments'!$B$5:$B$868,G$4,'Policy Assignments'!$E$5:$E$868,"Hold")&gt;0,"H",IF(COUNTIFS('Policy Assignments'!$C$5:$C$868,$A17,'Policy Assignments'!$B$5:$B$868,G$4,'Policy Assignments'!$E$5:$E$868,"Core")&gt;0,"R",IF(COUNTIFS('Policy Assignments'!$C$5:$C$868,$A17,'Policy Assignments'!$B$5:$B$868,G$4,'Policy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H17" s="94" t="str">
        <x:f>IF(COUNTIFS('Policy Assignments'!$C$5:$C$868,$A17,'Policy Assignments'!$B$5:$B$868,H$4,'Policy Assignments'!$E$5:$E$868,"Hold")&gt;0,"H",IF(COUNTIFS('Policy Assignments'!$C$5:$C$868,$A17,'Policy Assignments'!$B$5:$B$868,H$4,'Policy Assignments'!$E$5:$E$868,"Core")&gt;0,"R",IF(COUNTIFS('Policy Assignments'!$C$5:$C$868,$A17,'Policy Assignments'!$B$5:$B$868,H$4,'Policy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I17" s="94" t="str">
        <x:f>IF(COUNTIFS('Policy Assignments'!$C$5:$C$868,$A17,'Policy Assignments'!$B$5:$B$868,I$4,'Policy Assignments'!$E$5:$E$868,"Hold")&gt;0,"H",IF(COUNTIFS('Policy Assignments'!$C$5:$C$868,$A17,'Policy Assignments'!$B$5:$B$868,I$4,'Policy Assignments'!$E$5:$E$868,"Core")&gt;0,"R",IF(COUNTIFS('Policy Assignments'!$C$5:$C$868,$A17,'Policy Assignments'!$B$5:$B$868,I$4,'Policy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J17" s="94" t="str">
        <x:f>IF(COUNTIFS('Policy Assignments'!$C$5:$C$868,$A17,'Policy Assignments'!$B$5:$B$868,J$4,'Policy Assignments'!$E$5:$E$868,"Hold")&gt;0,"H",IF(COUNTIFS('Policy Assignments'!$C$5:$C$868,$A17,'Policy Assignments'!$B$5:$B$868,J$4,'Policy Assignments'!$E$5:$E$868,"Core")&gt;0,"R",IF(COUNTIFS('Policy Assignments'!$C$5:$C$868,$A17,'Policy Assignments'!$B$5:$B$868,J$4,'Policy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K17" s="94" t="str">
        <x:f>IF(COUNTIFS('Policy Assignments'!$C$5:$C$868,$A17,'Policy Assignments'!$B$5:$B$868,K$4,'Policy Assignments'!$E$5:$E$868,"Hold")&gt;0,"H",IF(COUNTIFS('Policy Assignments'!$C$5:$C$868,$A17,'Policy Assignments'!$B$5:$B$868,K$4,'Policy Assignments'!$E$5:$E$868,"Core")&gt;0,"R",IF(COUNTIFS('Policy Assignments'!$C$5:$C$868,$A17,'Policy Assignments'!$B$5:$B$868,K$4,'Policy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L17" s="94" t="str">
        <x:f>IF(COUNTIFS('Policy Assignments'!$C$5:$C$868,$A17,'Policy Assignments'!$B$5:$B$868,L$4,'Policy Assignments'!$E$5:$E$868,"Hold")&gt;0,"H",IF(COUNTIFS('Policy Assignments'!$C$5:$C$868,$A17,'Policy Assignments'!$B$5:$B$868,L$4,'Policy Assignments'!$E$5:$E$868,"Core")&gt;0,"R",IF(COUNTIFS('Policy Assignments'!$C$5:$C$868,$A17,'Policy Assignments'!$B$5:$B$868,L$4,'Policy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M17" s="94" t="str">
        <x:f>IF(COUNTIFS('Policy Assignments'!$C$5:$C$868,$A17,'Policy Assignments'!$B$5:$B$868,M$4,'Policy Assignments'!$E$5:$E$868,"Hold")&gt;0,"H",IF(COUNTIFS('Policy Assignments'!$C$5:$C$868,$A17,'Policy Assignments'!$B$5:$B$868,M$4,'Policy Assignments'!$E$5:$E$868,"Core")&gt;0,"R",IF(COUNTIFS('Policy Assignments'!$C$5:$C$868,$A17,'Policy Assignments'!$B$5:$B$868,M$4,'Policy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c>
      <x:c r="N17" s="94" t="str">
        <x:f>IF(COUNTIFS('Policy Assignments'!$C$5:$C$868,$A17,'Policy Assignments'!$B$5:$B$868,N$4,'Policy Assignments'!$E$5:$E$868,"Hold")&gt;0,"H",IF(COUNTIFS('Policy Assignments'!$C$5:$C$868,$A17,'Policy Assignments'!$B$5:$B$868,N$4,'Policy Assignments'!$E$5:$E$868,"Core")&gt;0,"R",IF(COUNTIFS('Policy Assignments'!$C$5:$C$868,$A17,'Policy Assignments'!$B$5:$B$868,N$4,'Policy Assignments'!$E$5:$E$868,"Conditional")&gt;0,"C",IF(COUNTIFS('Policy Assignments'!$C$5:$C$868,$A17,'Policy Assignments'!$B$5:$B$868,"General",'Policy Assignments'!$E$5:$E$868,"Hold")&gt;0,"H",IF(COUNTIFS('Policy Assignments'!$C$5:$C$868,$A17,'Policy Assignments'!$B$5:$B$868,"General",'Policy Assignments'!$E$5:$E$868,"Conditional")&gt;0,"C",IF(COUNTIFS('Policy Assignments'!$C$5:$C$868,$A17,'Policy Assignments'!$B$5:$B$868,"General")&gt;0,"G",""))))))</x:f>
        <x:v>R</x:v>
      </x:c>
      <x:c r="O17" s="94" t="str">
        <x:f>IF(COUNTIFS('Policy Assignments'!$C$5:$C$868,$A17,'Policy Assignments'!$B$5:$B$868,O$4,'Policy Assignments'!$E$5:$E$868,"Hold")&gt;0,"H",IF(COUNTIFS('Policy Assignments'!$C$5:$C$868,$A17,'Policy Assignments'!$B$5:$B$868,O$4,'Policy Assignments'!$E$5:$E$868,"Core")&gt;0,"R",IF(COUNTIFS('Policy Assignments'!$C$5:$C$868,$A17,'Policy Assignments'!$B$5:$B$868,O$4,'Policy Assignments'!$E$5:$E$868,"Conditional")&gt;0,"C","")))</x:f>
      </x:c>
      <x:c r="P17" s="90" t="str">
        <x:v>Mapped</x:v>
      </x:c>
    </x:row>
    <x:row r="18" ht="22" customHeight="1">
      <x:c r="A18" s="90" t="str">
        <x:v>CL-CP-002</x:v>
      </x:c>
      <x:c r="B18" s="90" t="str">
        <x:v>Plan of Care Review &amp; Update</x:v>
      </x:c>
      <x:c r="C18" s="94" t="str">
        <x:f>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c>
      <x:c r="D18" s="94" t="str">
        <x:f>IF(COUNTIFS('Policy Assignments'!$C$5:$C$868,$A18,'Policy Assignments'!$B$5:$B$868,D$4,'Policy Assignments'!$E$5:$E$868,"Hold")&gt;0,"H",IF(COUNTIFS('Policy Assignments'!$C$5:$C$868,$A18,'Policy Assignments'!$B$5:$B$868,D$4,'Policy Assignments'!$E$5:$E$868,"Core")&gt;0,"R",IF(COUNTIFS('Policy Assignments'!$C$5:$C$868,$A18,'Policy Assignments'!$B$5:$B$868,D$4,'Policy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v>R</x:v>
      </x:c>
      <x:c r="E18" s="94" t="str">
        <x:f>IF(COUNTIFS('Policy Assignments'!$C$5:$C$868,$A18,'Policy Assignments'!$B$5:$B$868,E$4,'Policy Assignments'!$E$5:$E$868,"Hold")&gt;0,"H",IF(COUNTIFS('Policy Assignments'!$C$5:$C$868,$A18,'Policy Assignments'!$B$5:$B$868,E$4,'Policy Assignments'!$E$5:$E$868,"Core")&gt;0,"R",IF(COUNTIFS('Policy Assignments'!$C$5:$C$868,$A18,'Policy Assignments'!$B$5:$B$868,E$4,'Policy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v>R</x:v>
      </x:c>
      <x:c r="F18" s="94" t="str">
        <x:f>IF(COUNTIFS('Policy Assignments'!$C$5:$C$868,$A18,'Policy Assignments'!$B$5:$B$868,F$4,'Policy Assignments'!$E$5:$E$868,"Hold")&gt;0,"H",IF(COUNTIFS('Policy Assignments'!$C$5:$C$868,$A18,'Policy Assignments'!$B$5:$B$868,F$4,'Policy Assignments'!$E$5:$E$868,"Core")&gt;0,"R",IF(COUNTIFS('Policy Assignments'!$C$5:$C$868,$A18,'Policy Assignments'!$B$5:$B$868,F$4,'Policy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c>
      <x:c r="G18" s="94" t="str">
        <x:f>IF(COUNTIFS('Policy Assignments'!$C$5:$C$868,$A18,'Policy Assignments'!$B$5:$B$868,G$4,'Policy Assignments'!$E$5:$E$868,"Hold")&gt;0,"H",IF(COUNTIFS('Policy Assignments'!$C$5:$C$868,$A18,'Policy Assignments'!$B$5:$B$868,G$4,'Policy Assignments'!$E$5:$E$868,"Core")&gt;0,"R",IF(COUNTIFS('Policy Assignments'!$C$5:$C$868,$A18,'Policy Assignments'!$B$5:$B$868,G$4,'Policy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v>R</x:v>
      </x:c>
      <x:c r="H18" s="94" t="str">
        <x:f>IF(COUNTIFS('Policy Assignments'!$C$5:$C$868,$A18,'Policy Assignments'!$B$5:$B$868,H$4,'Policy Assignments'!$E$5:$E$868,"Hold")&gt;0,"H",IF(COUNTIFS('Policy Assignments'!$C$5:$C$868,$A18,'Policy Assignments'!$B$5:$B$868,H$4,'Policy Assignments'!$E$5:$E$868,"Core")&gt;0,"R",IF(COUNTIFS('Policy Assignments'!$C$5:$C$868,$A18,'Policy Assignments'!$B$5:$B$868,H$4,'Policy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c>
      <x:c r="I18" s="94" t="str">
        <x:f>IF(COUNTIFS('Policy Assignments'!$C$5:$C$868,$A18,'Policy Assignments'!$B$5:$B$868,I$4,'Policy Assignments'!$E$5:$E$868,"Hold")&gt;0,"H",IF(COUNTIFS('Policy Assignments'!$C$5:$C$868,$A18,'Policy Assignments'!$B$5:$B$868,I$4,'Policy Assignments'!$E$5:$E$868,"Core")&gt;0,"R",IF(COUNTIFS('Policy Assignments'!$C$5:$C$868,$A18,'Policy Assignments'!$B$5:$B$868,I$4,'Policy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v>R</x:v>
      </x:c>
      <x:c r="J18" s="94" t="str">
        <x:f>IF(COUNTIFS('Policy Assignments'!$C$5:$C$868,$A18,'Policy Assignments'!$B$5:$B$868,J$4,'Policy Assignments'!$E$5:$E$868,"Hold")&gt;0,"H",IF(COUNTIFS('Policy Assignments'!$C$5:$C$868,$A18,'Policy Assignments'!$B$5:$B$868,J$4,'Policy Assignments'!$E$5:$E$868,"Core")&gt;0,"R",IF(COUNTIFS('Policy Assignments'!$C$5:$C$868,$A18,'Policy Assignments'!$B$5:$B$868,J$4,'Policy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c>
      <x:c r="K18" s="94" t="str">
        <x:f>IF(COUNTIFS('Policy Assignments'!$C$5:$C$868,$A18,'Policy Assignments'!$B$5:$B$868,K$4,'Policy Assignments'!$E$5:$E$868,"Hold")&gt;0,"H",IF(COUNTIFS('Policy Assignments'!$C$5:$C$868,$A18,'Policy Assignments'!$B$5:$B$868,K$4,'Policy Assignments'!$E$5:$E$868,"Core")&gt;0,"R",IF(COUNTIFS('Policy Assignments'!$C$5:$C$868,$A18,'Policy Assignments'!$B$5:$B$868,K$4,'Policy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v>R</x:v>
      </x:c>
      <x:c r="L18" s="94" t="str">
        <x:f>IF(COUNTIFS('Policy Assignments'!$C$5:$C$868,$A18,'Policy Assignments'!$B$5:$B$868,L$4,'Policy Assignments'!$E$5:$E$868,"Hold")&gt;0,"H",IF(COUNTIFS('Policy Assignments'!$C$5:$C$868,$A18,'Policy Assignments'!$B$5:$B$868,L$4,'Policy Assignments'!$E$5:$E$868,"Core")&gt;0,"R",IF(COUNTIFS('Policy Assignments'!$C$5:$C$868,$A18,'Policy Assignments'!$B$5:$B$868,L$4,'Policy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v>R</x:v>
      </x:c>
      <x:c r="M18" s="94" t="str">
        <x:f>IF(COUNTIFS('Policy Assignments'!$C$5:$C$868,$A18,'Policy Assignments'!$B$5:$B$868,M$4,'Policy Assignments'!$E$5:$E$868,"Hold")&gt;0,"H",IF(COUNTIFS('Policy Assignments'!$C$5:$C$868,$A18,'Policy Assignments'!$B$5:$B$868,M$4,'Policy Assignments'!$E$5:$E$868,"Core")&gt;0,"R",IF(COUNTIFS('Policy Assignments'!$C$5:$C$868,$A18,'Policy Assignments'!$B$5:$B$868,M$4,'Policy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c>
      <x:c r="N18" s="94" t="str">
        <x:f>IF(COUNTIFS('Policy Assignments'!$C$5:$C$868,$A18,'Policy Assignments'!$B$5:$B$868,N$4,'Policy Assignments'!$E$5:$E$868,"Hold")&gt;0,"H",IF(COUNTIFS('Policy Assignments'!$C$5:$C$868,$A18,'Policy Assignments'!$B$5:$B$868,N$4,'Policy Assignments'!$E$5:$E$868,"Core")&gt;0,"R",IF(COUNTIFS('Policy Assignments'!$C$5:$C$868,$A18,'Policy Assignments'!$B$5:$B$868,N$4,'Policy Assignments'!$E$5:$E$868,"Conditional")&gt;0,"C",IF(COUNTIFS('Policy Assignments'!$C$5:$C$868,$A18,'Policy Assignments'!$B$5:$B$868,"General",'Policy Assignments'!$E$5:$E$868,"Hold")&gt;0,"H",IF(COUNTIFS('Policy Assignments'!$C$5:$C$868,$A18,'Policy Assignments'!$B$5:$B$868,"General",'Policy Assignments'!$E$5:$E$868,"Conditional")&gt;0,"C",IF(COUNTIFS('Policy Assignments'!$C$5:$C$868,$A18,'Policy Assignments'!$B$5:$B$868,"General")&gt;0,"G",""))))))</x:f>
        <x:v>R</x:v>
      </x:c>
      <x:c r="O18" s="94" t="str">
        <x:f>IF(COUNTIFS('Policy Assignments'!$C$5:$C$868,$A18,'Policy Assignments'!$B$5:$B$868,O$4,'Policy Assignments'!$E$5:$E$868,"Hold")&gt;0,"H",IF(COUNTIFS('Policy Assignments'!$C$5:$C$868,$A18,'Policy Assignments'!$B$5:$B$868,O$4,'Policy Assignments'!$E$5:$E$868,"Core")&gt;0,"R",IF(COUNTIFS('Policy Assignments'!$C$5:$C$868,$A18,'Policy Assignments'!$B$5:$B$868,O$4,'Policy Assignments'!$E$5:$E$868,"Conditional")&gt;0,"C","")))</x:f>
      </x:c>
      <x:c r="P18" s="90" t="str">
        <x:v>Mapped</x:v>
      </x:c>
    </x:row>
    <x:row r="19" ht="22" customHeight="1">
      <x:c r="A19" s="90" t="str">
        <x:v>CL-CP-003</x:v>
      </x:c>
      <x:c r="B19" s="90" t="str">
        <x:v>Physician Orders &amp; Order Management</x:v>
      </x:c>
      <x:c r="C19" s="94" t="str">
        <x:f>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c>
      <x:c r="D19" s="94" t="str">
        <x:f>IF(COUNTIFS('Policy Assignments'!$C$5:$C$868,$A19,'Policy Assignments'!$B$5:$B$868,D$4,'Policy Assignments'!$E$5:$E$868,"Hold")&gt;0,"H",IF(COUNTIFS('Policy Assignments'!$C$5:$C$868,$A19,'Policy Assignments'!$B$5:$B$868,D$4,'Policy Assignments'!$E$5:$E$868,"Core")&gt;0,"R",IF(COUNTIFS('Policy Assignments'!$C$5:$C$868,$A19,'Policy Assignments'!$B$5:$B$868,D$4,'Policy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v>R</x:v>
      </x:c>
      <x:c r="E19" s="94" t="str">
        <x:f>IF(COUNTIFS('Policy Assignments'!$C$5:$C$868,$A19,'Policy Assignments'!$B$5:$B$868,E$4,'Policy Assignments'!$E$5:$E$868,"Hold")&gt;0,"H",IF(COUNTIFS('Policy Assignments'!$C$5:$C$868,$A19,'Policy Assignments'!$B$5:$B$868,E$4,'Policy Assignments'!$E$5:$E$868,"Core")&gt;0,"R",IF(COUNTIFS('Policy Assignments'!$C$5:$C$868,$A19,'Policy Assignments'!$B$5:$B$868,E$4,'Policy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v>R</x:v>
      </x:c>
      <x:c r="F19" s="94" t="str">
        <x:f>IF(COUNTIFS('Policy Assignments'!$C$5:$C$868,$A19,'Policy Assignments'!$B$5:$B$868,F$4,'Policy Assignments'!$E$5:$E$868,"Hold")&gt;0,"H",IF(COUNTIFS('Policy Assignments'!$C$5:$C$868,$A19,'Policy Assignments'!$B$5:$B$868,F$4,'Policy Assignments'!$E$5:$E$868,"Core")&gt;0,"R",IF(COUNTIFS('Policy Assignments'!$C$5:$C$868,$A19,'Policy Assignments'!$B$5:$B$868,F$4,'Policy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c>
      <x:c r="G19" s="94" t="str">
        <x:f>IF(COUNTIFS('Policy Assignments'!$C$5:$C$868,$A19,'Policy Assignments'!$B$5:$B$868,G$4,'Policy Assignments'!$E$5:$E$868,"Hold")&gt;0,"H",IF(COUNTIFS('Policy Assignments'!$C$5:$C$868,$A19,'Policy Assignments'!$B$5:$B$868,G$4,'Policy Assignments'!$E$5:$E$868,"Core")&gt;0,"R",IF(COUNTIFS('Policy Assignments'!$C$5:$C$868,$A19,'Policy Assignments'!$B$5:$B$868,G$4,'Policy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v>R</x:v>
      </x:c>
      <x:c r="H19" s="94" t="str">
        <x:f>IF(COUNTIFS('Policy Assignments'!$C$5:$C$868,$A19,'Policy Assignments'!$B$5:$B$868,H$4,'Policy Assignments'!$E$5:$E$868,"Hold")&gt;0,"H",IF(COUNTIFS('Policy Assignments'!$C$5:$C$868,$A19,'Policy Assignments'!$B$5:$B$868,H$4,'Policy Assignments'!$E$5:$E$868,"Core")&gt;0,"R",IF(COUNTIFS('Policy Assignments'!$C$5:$C$868,$A19,'Policy Assignments'!$B$5:$B$868,H$4,'Policy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c>
      <x:c r="I19" s="94" t="str">
        <x:f>IF(COUNTIFS('Policy Assignments'!$C$5:$C$868,$A19,'Policy Assignments'!$B$5:$B$868,I$4,'Policy Assignments'!$E$5:$E$868,"Hold")&gt;0,"H",IF(COUNTIFS('Policy Assignments'!$C$5:$C$868,$A19,'Policy Assignments'!$B$5:$B$868,I$4,'Policy Assignments'!$E$5:$E$868,"Core")&gt;0,"R",IF(COUNTIFS('Policy Assignments'!$C$5:$C$868,$A19,'Policy Assignments'!$B$5:$B$868,I$4,'Policy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v>R</x:v>
      </x:c>
      <x:c r="J19" s="94" t="str">
        <x:f>IF(COUNTIFS('Policy Assignments'!$C$5:$C$868,$A19,'Policy Assignments'!$B$5:$B$868,J$4,'Policy Assignments'!$E$5:$E$868,"Hold")&gt;0,"H",IF(COUNTIFS('Policy Assignments'!$C$5:$C$868,$A19,'Policy Assignments'!$B$5:$B$868,J$4,'Policy Assignments'!$E$5:$E$868,"Core")&gt;0,"R",IF(COUNTIFS('Policy Assignments'!$C$5:$C$868,$A19,'Policy Assignments'!$B$5:$B$868,J$4,'Policy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c>
      <x:c r="K19" s="94" t="str">
        <x:f>IF(COUNTIFS('Policy Assignments'!$C$5:$C$868,$A19,'Policy Assignments'!$B$5:$B$868,K$4,'Policy Assignments'!$E$5:$E$868,"Hold")&gt;0,"H",IF(COUNTIFS('Policy Assignments'!$C$5:$C$868,$A19,'Policy Assignments'!$B$5:$B$868,K$4,'Policy Assignments'!$E$5:$E$868,"Core")&gt;0,"R",IF(COUNTIFS('Policy Assignments'!$C$5:$C$868,$A19,'Policy Assignments'!$B$5:$B$868,K$4,'Policy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v>R</x:v>
      </x:c>
      <x:c r="L19" s="94" t="str">
        <x:f>IF(COUNTIFS('Policy Assignments'!$C$5:$C$868,$A19,'Policy Assignments'!$B$5:$B$868,L$4,'Policy Assignments'!$E$5:$E$868,"Hold")&gt;0,"H",IF(COUNTIFS('Policy Assignments'!$C$5:$C$868,$A19,'Policy Assignments'!$B$5:$B$868,L$4,'Policy Assignments'!$E$5:$E$868,"Core")&gt;0,"R",IF(COUNTIFS('Policy Assignments'!$C$5:$C$868,$A19,'Policy Assignments'!$B$5:$B$868,L$4,'Policy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v>R</x:v>
      </x:c>
      <x:c r="M19" s="94" t="str">
        <x:f>IF(COUNTIFS('Policy Assignments'!$C$5:$C$868,$A19,'Policy Assignments'!$B$5:$B$868,M$4,'Policy Assignments'!$E$5:$E$868,"Hold")&gt;0,"H",IF(COUNTIFS('Policy Assignments'!$C$5:$C$868,$A19,'Policy Assignments'!$B$5:$B$868,M$4,'Policy Assignments'!$E$5:$E$868,"Core")&gt;0,"R",IF(COUNTIFS('Policy Assignments'!$C$5:$C$868,$A19,'Policy Assignments'!$B$5:$B$868,M$4,'Policy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c>
      <x:c r="N19" s="94" t="str">
        <x:f>IF(COUNTIFS('Policy Assignments'!$C$5:$C$868,$A19,'Policy Assignments'!$B$5:$B$868,N$4,'Policy Assignments'!$E$5:$E$868,"Hold")&gt;0,"H",IF(COUNTIFS('Policy Assignments'!$C$5:$C$868,$A19,'Policy Assignments'!$B$5:$B$868,N$4,'Policy Assignments'!$E$5:$E$868,"Core")&gt;0,"R",IF(COUNTIFS('Policy Assignments'!$C$5:$C$868,$A19,'Policy Assignments'!$B$5:$B$868,N$4,'Policy Assignments'!$E$5:$E$868,"Conditional")&gt;0,"C",IF(COUNTIFS('Policy Assignments'!$C$5:$C$868,$A19,'Policy Assignments'!$B$5:$B$868,"General",'Policy Assignments'!$E$5:$E$868,"Hold")&gt;0,"H",IF(COUNTIFS('Policy Assignments'!$C$5:$C$868,$A19,'Policy Assignments'!$B$5:$B$868,"General",'Policy Assignments'!$E$5:$E$868,"Conditional")&gt;0,"C",IF(COUNTIFS('Policy Assignments'!$C$5:$C$868,$A19,'Policy Assignments'!$B$5:$B$868,"General")&gt;0,"G",""))))))</x:f>
        <x:v>R</x:v>
      </x:c>
      <x:c r="O19" s="94" t="str">
        <x:f>IF(COUNTIFS('Policy Assignments'!$C$5:$C$868,$A19,'Policy Assignments'!$B$5:$B$868,O$4,'Policy Assignments'!$E$5:$E$868,"Hold")&gt;0,"H",IF(COUNTIFS('Policy Assignments'!$C$5:$C$868,$A19,'Policy Assignments'!$B$5:$B$868,O$4,'Policy Assignments'!$E$5:$E$868,"Core")&gt;0,"R",IF(COUNTIFS('Policy Assignments'!$C$5:$C$868,$A19,'Policy Assignments'!$B$5:$B$868,O$4,'Policy Assignments'!$E$5:$E$868,"Conditional")&gt;0,"C","")))</x:f>
      </x:c>
      <x:c r="P19" s="90" t="str">
        <x:v>Mapped</x:v>
      </x:c>
    </x:row>
    <x:row r="20" ht="22" customHeight="1">
      <x:c r="A20" s="90" t="str">
        <x:v>CL-CP-004</x:v>
      </x:c>
      <x:c r="B20" s="90" t="str">
        <x:v>Verbal Order Receipt &amp; Authentication</x:v>
      </x:c>
      <x:c r="C20" s="94" t="str">
        <x:f>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D20" s="94" t="str">
        <x:f>IF(COUNTIFS('Policy Assignments'!$C$5:$C$868,$A20,'Policy Assignments'!$B$5:$B$868,D$4,'Policy Assignments'!$E$5:$E$868,"Hold")&gt;0,"H",IF(COUNTIFS('Policy Assignments'!$C$5:$C$868,$A20,'Policy Assignments'!$B$5:$B$868,D$4,'Policy Assignments'!$E$5:$E$868,"Core")&gt;0,"R",IF(COUNTIFS('Policy Assignments'!$C$5:$C$868,$A20,'Policy Assignments'!$B$5:$B$868,D$4,'Policy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v>R</x:v>
      </x:c>
      <x:c r="E20" s="94" t="str">
        <x:f>IF(COUNTIFS('Policy Assignments'!$C$5:$C$868,$A20,'Policy Assignments'!$B$5:$B$868,E$4,'Policy Assignments'!$E$5:$E$868,"Hold")&gt;0,"H",IF(COUNTIFS('Policy Assignments'!$C$5:$C$868,$A20,'Policy Assignments'!$B$5:$B$868,E$4,'Policy Assignments'!$E$5:$E$868,"Core")&gt;0,"R",IF(COUNTIFS('Policy Assignments'!$C$5:$C$868,$A20,'Policy Assignments'!$B$5:$B$868,E$4,'Policy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v>R</x:v>
      </x:c>
      <x:c r="F20" s="94" t="str">
        <x:f>IF(COUNTIFS('Policy Assignments'!$C$5:$C$868,$A20,'Policy Assignments'!$B$5:$B$868,F$4,'Policy Assignments'!$E$5:$E$868,"Hold")&gt;0,"H",IF(COUNTIFS('Policy Assignments'!$C$5:$C$868,$A20,'Policy Assignments'!$B$5:$B$868,F$4,'Policy Assignments'!$E$5:$E$868,"Core")&gt;0,"R",IF(COUNTIFS('Policy Assignments'!$C$5:$C$868,$A20,'Policy Assignments'!$B$5:$B$868,F$4,'Policy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G20" s="94" t="str">
        <x:f>IF(COUNTIFS('Policy Assignments'!$C$5:$C$868,$A20,'Policy Assignments'!$B$5:$B$868,G$4,'Policy Assignments'!$E$5:$E$868,"Hold")&gt;0,"H",IF(COUNTIFS('Policy Assignments'!$C$5:$C$868,$A20,'Policy Assignments'!$B$5:$B$868,G$4,'Policy Assignments'!$E$5:$E$868,"Core")&gt;0,"R",IF(COUNTIFS('Policy Assignments'!$C$5:$C$868,$A20,'Policy Assignments'!$B$5:$B$868,G$4,'Policy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H20" s="94" t="str">
        <x:f>IF(COUNTIFS('Policy Assignments'!$C$5:$C$868,$A20,'Policy Assignments'!$B$5:$B$868,H$4,'Policy Assignments'!$E$5:$E$868,"Hold")&gt;0,"H",IF(COUNTIFS('Policy Assignments'!$C$5:$C$868,$A20,'Policy Assignments'!$B$5:$B$868,H$4,'Policy Assignments'!$E$5:$E$868,"Core")&gt;0,"R",IF(COUNTIFS('Policy Assignments'!$C$5:$C$868,$A20,'Policy Assignments'!$B$5:$B$868,H$4,'Policy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I20" s="94" t="str">
        <x:f>IF(COUNTIFS('Policy Assignments'!$C$5:$C$868,$A20,'Policy Assignments'!$B$5:$B$868,I$4,'Policy Assignments'!$E$5:$E$868,"Hold")&gt;0,"H",IF(COUNTIFS('Policy Assignments'!$C$5:$C$868,$A20,'Policy Assignments'!$B$5:$B$868,I$4,'Policy Assignments'!$E$5:$E$868,"Core")&gt;0,"R",IF(COUNTIFS('Policy Assignments'!$C$5:$C$868,$A20,'Policy Assignments'!$B$5:$B$868,I$4,'Policy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J20" s="94" t="str">
        <x:f>IF(COUNTIFS('Policy Assignments'!$C$5:$C$868,$A20,'Policy Assignments'!$B$5:$B$868,J$4,'Policy Assignments'!$E$5:$E$868,"Hold")&gt;0,"H",IF(COUNTIFS('Policy Assignments'!$C$5:$C$868,$A20,'Policy Assignments'!$B$5:$B$868,J$4,'Policy Assignments'!$E$5:$E$868,"Core")&gt;0,"R",IF(COUNTIFS('Policy Assignments'!$C$5:$C$868,$A20,'Policy Assignments'!$B$5:$B$868,J$4,'Policy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K20" s="94" t="str">
        <x:f>IF(COUNTIFS('Policy Assignments'!$C$5:$C$868,$A20,'Policy Assignments'!$B$5:$B$868,K$4,'Policy Assignments'!$E$5:$E$868,"Hold")&gt;0,"H",IF(COUNTIFS('Policy Assignments'!$C$5:$C$868,$A20,'Policy Assignments'!$B$5:$B$868,K$4,'Policy Assignments'!$E$5:$E$868,"Core")&gt;0,"R",IF(COUNTIFS('Policy Assignments'!$C$5:$C$868,$A20,'Policy Assignments'!$B$5:$B$868,K$4,'Policy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L20" s="94" t="str">
        <x:f>IF(COUNTIFS('Policy Assignments'!$C$5:$C$868,$A20,'Policy Assignments'!$B$5:$B$868,L$4,'Policy Assignments'!$E$5:$E$868,"Hold")&gt;0,"H",IF(COUNTIFS('Policy Assignments'!$C$5:$C$868,$A20,'Policy Assignments'!$B$5:$B$868,L$4,'Policy Assignments'!$E$5:$E$868,"Core")&gt;0,"R",IF(COUNTIFS('Policy Assignments'!$C$5:$C$868,$A20,'Policy Assignments'!$B$5:$B$868,L$4,'Policy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M20" s="94" t="str">
        <x:f>IF(COUNTIFS('Policy Assignments'!$C$5:$C$868,$A20,'Policy Assignments'!$B$5:$B$868,M$4,'Policy Assignments'!$E$5:$E$868,"Hold")&gt;0,"H",IF(COUNTIFS('Policy Assignments'!$C$5:$C$868,$A20,'Policy Assignments'!$B$5:$B$868,M$4,'Policy Assignments'!$E$5:$E$868,"Core")&gt;0,"R",IF(COUNTIFS('Policy Assignments'!$C$5:$C$868,$A20,'Policy Assignments'!$B$5:$B$868,M$4,'Policy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c>
      <x:c r="N20" s="94" t="str">
        <x:f>IF(COUNTIFS('Policy Assignments'!$C$5:$C$868,$A20,'Policy Assignments'!$B$5:$B$868,N$4,'Policy Assignments'!$E$5:$E$868,"Hold")&gt;0,"H",IF(COUNTIFS('Policy Assignments'!$C$5:$C$868,$A20,'Policy Assignments'!$B$5:$B$868,N$4,'Policy Assignments'!$E$5:$E$868,"Core")&gt;0,"R",IF(COUNTIFS('Policy Assignments'!$C$5:$C$868,$A20,'Policy Assignments'!$B$5:$B$868,N$4,'Policy Assignments'!$E$5:$E$868,"Conditional")&gt;0,"C",IF(COUNTIFS('Policy Assignments'!$C$5:$C$868,$A20,'Policy Assignments'!$B$5:$B$868,"General",'Policy Assignments'!$E$5:$E$868,"Hold")&gt;0,"H",IF(COUNTIFS('Policy Assignments'!$C$5:$C$868,$A20,'Policy Assignments'!$B$5:$B$868,"General",'Policy Assignments'!$E$5:$E$868,"Conditional")&gt;0,"C",IF(COUNTIFS('Policy Assignments'!$C$5:$C$868,$A20,'Policy Assignments'!$B$5:$B$868,"General")&gt;0,"G",""))))))</x:f>
        <x:v>R</x:v>
      </x:c>
      <x:c r="O20" s="94" t="str">
        <x:f>IF(COUNTIFS('Policy Assignments'!$C$5:$C$868,$A20,'Policy Assignments'!$B$5:$B$868,O$4,'Policy Assignments'!$E$5:$E$868,"Hold")&gt;0,"H",IF(COUNTIFS('Policy Assignments'!$C$5:$C$868,$A20,'Policy Assignments'!$B$5:$B$868,O$4,'Policy Assignments'!$E$5:$E$868,"Core")&gt;0,"R",IF(COUNTIFS('Policy Assignments'!$C$5:$C$868,$A20,'Policy Assignments'!$B$5:$B$868,O$4,'Policy Assignments'!$E$5:$E$868,"Conditional")&gt;0,"C","")))</x:f>
      </x:c>
      <x:c r="P20" s="90" t="str">
        <x:v>Mapped</x:v>
      </x:c>
    </x:row>
    <x:row r="21" ht="22" customHeight="1">
      <x:c r="A21" s="90" t="str">
        <x:v>CL-CP-005</x:v>
      </x:c>
      <x:c r="B21" s="90" t="str">
        <x:v>Coordination of Care</x:v>
      </x:c>
      <x:c r="C21" s="94" t="str">
        <x:f>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c>
      <x:c r="D21" s="94" t="str">
        <x:f>IF(COUNTIFS('Policy Assignments'!$C$5:$C$868,$A21,'Policy Assignments'!$B$5:$B$868,D$4,'Policy Assignments'!$E$5:$E$868,"Hold")&gt;0,"H",IF(COUNTIFS('Policy Assignments'!$C$5:$C$868,$A21,'Policy Assignments'!$B$5:$B$868,D$4,'Policy Assignments'!$E$5:$E$868,"Core")&gt;0,"R",IF(COUNTIFS('Policy Assignments'!$C$5:$C$868,$A21,'Policy Assignments'!$B$5:$B$868,D$4,'Policy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E21" s="94" t="str">
        <x:f>IF(COUNTIFS('Policy Assignments'!$C$5:$C$868,$A21,'Policy Assignments'!$B$5:$B$868,E$4,'Policy Assignments'!$E$5:$E$868,"Hold")&gt;0,"H",IF(COUNTIFS('Policy Assignments'!$C$5:$C$868,$A21,'Policy Assignments'!$B$5:$B$868,E$4,'Policy Assignments'!$E$5:$E$868,"Core")&gt;0,"R",IF(COUNTIFS('Policy Assignments'!$C$5:$C$868,$A21,'Policy Assignments'!$B$5:$B$868,E$4,'Policy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F21" s="94" t="str">
        <x:f>IF(COUNTIFS('Policy Assignments'!$C$5:$C$868,$A21,'Policy Assignments'!$B$5:$B$868,F$4,'Policy Assignments'!$E$5:$E$868,"Hold")&gt;0,"H",IF(COUNTIFS('Policy Assignments'!$C$5:$C$868,$A21,'Policy Assignments'!$B$5:$B$868,F$4,'Policy Assignments'!$E$5:$E$868,"Core")&gt;0,"R",IF(COUNTIFS('Policy Assignments'!$C$5:$C$868,$A21,'Policy Assignments'!$B$5:$B$868,F$4,'Policy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G21" s="94" t="str">
        <x:f>IF(COUNTIFS('Policy Assignments'!$C$5:$C$868,$A21,'Policy Assignments'!$B$5:$B$868,G$4,'Policy Assignments'!$E$5:$E$868,"Hold")&gt;0,"H",IF(COUNTIFS('Policy Assignments'!$C$5:$C$868,$A21,'Policy Assignments'!$B$5:$B$868,G$4,'Policy Assignments'!$E$5:$E$868,"Core")&gt;0,"R",IF(COUNTIFS('Policy Assignments'!$C$5:$C$868,$A21,'Policy Assignments'!$B$5:$B$868,G$4,'Policy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H21" s="94" t="str">
        <x:f>IF(COUNTIFS('Policy Assignments'!$C$5:$C$868,$A21,'Policy Assignments'!$B$5:$B$868,H$4,'Policy Assignments'!$E$5:$E$868,"Hold")&gt;0,"H",IF(COUNTIFS('Policy Assignments'!$C$5:$C$868,$A21,'Policy Assignments'!$B$5:$B$868,H$4,'Policy Assignments'!$E$5:$E$868,"Core")&gt;0,"R",IF(COUNTIFS('Policy Assignments'!$C$5:$C$868,$A21,'Policy Assignments'!$B$5:$B$868,H$4,'Policy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I21" s="94" t="str">
        <x:f>IF(COUNTIFS('Policy Assignments'!$C$5:$C$868,$A21,'Policy Assignments'!$B$5:$B$868,I$4,'Policy Assignments'!$E$5:$E$868,"Hold")&gt;0,"H",IF(COUNTIFS('Policy Assignments'!$C$5:$C$868,$A21,'Policy Assignments'!$B$5:$B$868,I$4,'Policy Assignments'!$E$5:$E$868,"Core")&gt;0,"R",IF(COUNTIFS('Policy Assignments'!$C$5:$C$868,$A21,'Policy Assignments'!$B$5:$B$868,I$4,'Policy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J21" s="94" t="str">
        <x:f>IF(COUNTIFS('Policy Assignments'!$C$5:$C$868,$A21,'Policy Assignments'!$B$5:$B$868,J$4,'Policy Assignments'!$E$5:$E$868,"Hold")&gt;0,"H",IF(COUNTIFS('Policy Assignments'!$C$5:$C$868,$A21,'Policy Assignments'!$B$5:$B$868,J$4,'Policy Assignments'!$E$5:$E$868,"Core")&gt;0,"R",IF(COUNTIFS('Policy Assignments'!$C$5:$C$868,$A21,'Policy Assignments'!$B$5:$B$868,J$4,'Policy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K21" s="94" t="str">
        <x:f>IF(COUNTIFS('Policy Assignments'!$C$5:$C$868,$A21,'Policy Assignments'!$B$5:$B$868,K$4,'Policy Assignments'!$E$5:$E$868,"Hold")&gt;0,"H",IF(COUNTIFS('Policy Assignments'!$C$5:$C$868,$A21,'Policy Assignments'!$B$5:$B$868,K$4,'Policy Assignments'!$E$5:$E$868,"Core")&gt;0,"R",IF(COUNTIFS('Policy Assignments'!$C$5:$C$868,$A21,'Policy Assignments'!$B$5:$B$868,K$4,'Policy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L21" s="94" t="str">
        <x:f>IF(COUNTIFS('Policy Assignments'!$C$5:$C$868,$A21,'Policy Assignments'!$B$5:$B$868,L$4,'Policy Assignments'!$E$5:$E$868,"Hold")&gt;0,"H",IF(COUNTIFS('Policy Assignments'!$C$5:$C$868,$A21,'Policy Assignments'!$B$5:$B$868,L$4,'Policy Assignments'!$E$5:$E$868,"Core")&gt;0,"R",IF(COUNTIFS('Policy Assignments'!$C$5:$C$868,$A21,'Policy Assignments'!$B$5:$B$868,L$4,'Policy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M21" s="94" t="str">
        <x:f>IF(COUNTIFS('Policy Assignments'!$C$5:$C$868,$A21,'Policy Assignments'!$B$5:$B$868,M$4,'Policy Assignments'!$E$5:$E$868,"Hold")&gt;0,"H",IF(COUNTIFS('Policy Assignments'!$C$5:$C$868,$A21,'Policy Assignments'!$B$5:$B$868,M$4,'Policy Assignments'!$E$5:$E$868,"Core")&gt;0,"R",IF(COUNTIFS('Policy Assignments'!$C$5:$C$868,$A21,'Policy Assignments'!$B$5:$B$868,M$4,'Policy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c>
      <x:c r="N21" s="94" t="str">
        <x:f>IF(COUNTIFS('Policy Assignments'!$C$5:$C$868,$A21,'Policy Assignments'!$B$5:$B$868,N$4,'Policy Assignments'!$E$5:$E$868,"Hold")&gt;0,"H",IF(COUNTIFS('Policy Assignments'!$C$5:$C$868,$A21,'Policy Assignments'!$B$5:$B$868,N$4,'Policy Assignments'!$E$5:$E$868,"Core")&gt;0,"R",IF(COUNTIFS('Policy Assignments'!$C$5:$C$868,$A21,'Policy Assignments'!$B$5:$B$868,N$4,'Policy Assignments'!$E$5:$E$868,"Conditional")&gt;0,"C",IF(COUNTIFS('Policy Assignments'!$C$5:$C$868,$A21,'Policy Assignments'!$B$5:$B$868,"General",'Policy Assignments'!$E$5:$E$868,"Hold")&gt;0,"H",IF(COUNTIFS('Policy Assignments'!$C$5:$C$868,$A21,'Policy Assignments'!$B$5:$B$868,"General",'Policy Assignments'!$E$5:$E$868,"Conditional")&gt;0,"C",IF(COUNTIFS('Policy Assignments'!$C$5:$C$868,$A21,'Policy Assignments'!$B$5:$B$868,"General")&gt;0,"G",""))))))</x:f>
        <x:v>R</x:v>
      </x:c>
      <x:c r="O21" s="94" t="str">
        <x:f>IF(COUNTIFS('Policy Assignments'!$C$5:$C$868,$A21,'Policy Assignments'!$B$5:$B$868,O$4,'Policy Assignments'!$E$5:$E$868,"Hold")&gt;0,"H",IF(COUNTIFS('Policy Assignments'!$C$5:$C$868,$A21,'Policy Assignments'!$B$5:$B$868,O$4,'Policy Assignments'!$E$5:$E$868,"Core")&gt;0,"R",IF(COUNTIFS('Policy Assignments'!$C$5:$C$868,$A21,'Policy Assignments'!$B$5:$B$868,O$4,'Policy Assignments'!$E$5:$E$868,"Conditional")&gt;0,"C","")))</x:f>
      </x:c>
      <x:c r="P21" s="90" t="str">
        <x:v>Mapped</x:v>
      </x:c>
    </x:row>
    <x:row r="22" ht="22" customHeight="1">
      <x:c r="A22" s="90" t="str">
        <x:v>CL-CP-006</x:v>
      </x:c>
      <x:c r="B22" s="90" t="str">
        <x:v>Discharge Planning &amp; Criteria</x:v>
      </x:c>
      <x:c r="C22" s="94" t="str">
        <x:f>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c>
      <x:c r="D22" s="94" t="str">
        <x:f>IF(COUNTIFS('Policy Assignments'!$C$5:$C$868,$A22,'Policy Assignments'!$B$5:$B$868,D$4,'Policy Assignments'!$E$5:$E$868,"Hold")&gt;0,"H",IF(COUNTIFS('Policy Assignments'!$C$5:$C$868,$A22,'Policy Assignments'!$B$5:$B$868,D$4,'Policy Assignments'!$E$5:$E$868,"Core")&gt;0,"R",IF(COUNTIFS('Policy Assignments'!$C$5:$C$868,$A22,'Policy Assignments'!$B$5:$B$868,D$4,'Policy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E22" s="94" t="str">
        <x:f>IF(COUNTIFS('Policy Assignments'!$C$5:$C$868,$A22,'Policy Assignments'!$B$5:$B$868,E$4,'Policy Assignments'!$E$5:$E$868,"Hold")&gt;0,"H",IF(COUNTIFS('Policy Assignments'!$C$5:$C$868,$A22,'Policy Assignments'!$B$5:$B$868,E$4,'Policy Assignments'!$E$5:$E$868,"Core")&gt;0,"R",IF(COUNTIFS('Policy Assignments'!$C$5:$C$868,$A22,'Policy Assignments'!$B$5:$B$868,E$4,'Policy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F22" s="94" t="str">
        <x:f>IF(COUNTIFS('Policy Assignments'!$C$5:$C$868,$A22,'Policy Assignments'!$B$5:$B$868,F$4,'Policy Assignments'!$E$5:$E$868,"Hold")&gt;0,"H",IF(COUNTIFS('Policy Assignments'!$C$5:$C$868,$A22,'Policy Assignments'!$B$5:$B$868,F$4,'Policy Assignments'!$E$5:$E$868,"Core")&gt;0,"R",IF(COUNTIFS('Policy Assignments'!$C$5:$C$868,$A22,'Policy Assignments'!$B$5:$B$868,F$4,'Policy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c>
      <x:c r="G22" s="94" t="str">
        <x:f>IF(COUNTIFS('Policy Assignments'!$C$5:$C$868,$A22,'Policy Assignments'!$B$5:$B$868,G$4,'Policy Assignments'!$E$5:$E$868,"Hold")&gt;0,"H",IF(COUNTIFS('Policy Assignments'!$C$5:$C$868,$A22,'Policy Assignments'!$B$5:$B$868,G$4,'Policy Assignments'!$E$5:$E$868,"Core")&gt;0,"R",IF(COUNTIFS('Policy Assignments'!$C$5:$C$868,$A22,'Policy Assignments'!$B$5:$B$868,G$4,'Policy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H22" s="94" t="str">
        <x:f>IF(COUNTIFS('Policy Assignments'!$C$5:$C$868,$A22,'Policy Assignments'!$B$5:$B$868,H$4,'Policy Assignments'!$E$5:$E$868,"Hold")&gt;0,"H",IF(COUNTIFS('Policy Assignments'!$C$5:$C$868,$A22,'Policy Assignments'!$B$5:$B$868,H$4,'Policy Assignments'!$E$5:$E$868,"Core")&gt;0,"R",IF(COUNTIFS('Policy Assignments'!$C$5:$C$868,$A22,'Policy Assignments'!$B$5:$B$868,H$4,'Policy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I22" s="94" t="str">
        <x:f>IF(COUNTIFS('Policy Assignments'!$C$5:$C$868,$A22,'Policy Assignments'!$B$5:$B$868,I$4,'Policy Assignments'!$E$5:$E$868,"Hold")&gt;0,"H",IF(COUNTIFS('Policy Assignments'!$C$5:$C$868,$A22,'Policy Assignments'!$B$5:$B$868,I$4,'Policy Assignments'!$E$5:$E$868,"Core")&gt;0,"R",IF(COUNTIFS('Policy Assignments'!$C$5:$C$868,$A22,'Policy Assignments'!$B$5:$B$868,I$4,'Policy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J22" s="94" t="str">
        <x:f>IF(COUNTIFS('Policy Assignments'!$C$5:$C$868,$A22,'Policy Assignments'!$B$5:$B$868,J$4,'Policy Assignments'!$E$5:$E$868,"Hold")&gt;0,"H",IF(COUNTIFS('Policy Assignments'!$C$5:$C$868,$A22,'Policy Assignments'!$B$5:$B$868,J$4,'Policy Assignments'!$E$5:$E$868,"Core")&gt;0,"R",IF(COUNTIFS('Policy Assignments'!$C$5:$C$868,$A22,'Policy Assignments'!$B$5:$B$868,J$4,'Policy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K22" s="94" t="str">
        <x:f>IF(COUNTIFS('Policy Assignments'!$C$5:$C$868,$A22,'Policy Assignments'!$B$5:$B$868,K$4,'Policy Assignments'!$E$5:$E$868,"Hold")&gt;0,"H",IF(COUNTIFS('Policy Assignments'!$C$5:$C$868,$A22,'Policy Assignments'!$B$5:$B$868,K$4,'Policy Assignments'!$E$5:$E$868,"Core")&gt;0,"R",IF(COUNTIFS('Policy Assignments'!$C$5:$C$868,$A22,'Policy Assignments'!$B$5:$B$868,K$4,'Policy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L22" s="94" t="str">
        <x:f>IF(COUNTIFS('Policy Assignments'!$C$5:$C$868,$A22,'Policy Assignments'!$B$5:$B$868,L$4,'Policy Assignments'!$E$5:$E$868,"Hold")&gt;0,"H",IF(COUNTIFS('Policy Assignments'!$C$5:$C$868,$A22,'Policy Assignments'!$B$5:$B$868,L$4,'Policy Assignments'!$E$5:$E$868,"Core")&gt;0,"R",IF(COUNTIFS('Policy Assignments'!$C$5:$C$868,$A22,'Policy Assignments'!$B$5:$B$868,L$4,'Policy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M22" s="94" t="str">
        <x:f>IF(COUNTIFS('Policy Assignments'!$C$5:$C$868,$A22,'Policy Assignments'!$B$5:$B$868,M$4,'Policy Assignments'!$E$5:$E$868,"Hold")&gt;0,"H",IF(COUNTIFS('Policy Assignments'!$C$5:$C$868,$A22,'Policy Assignments'!$B$5:$B$868,M$4,'Policy Assignments'!$E$5:$E$868,"Core")&gt;0,"R",IF(COUNTIFS('Policy Assignments'!$C$5:$C$868,$A22,'Policy Assignments'!$B$5:$B$868,M$4,'Policy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c>
      <x:c r="N22" s="94" t="str">
        <x:f>IF(COUNTIFS('Policy Assignments'!$C$5:$C$868,$A22,'Policy Assignments'!$B$5:$B$868,N$4,'Policy Assignments'!$E$5:$E$868,"Hold")&gt;0,"H",IF(COUNTIFS('Policy Assignments'!$C$5:$C$868,$A22,'Policy Assignments'!$B$5:$B$868,N$4,'Policy Assignments'!$E$5:$E$868,"Core")&gt;0,"R",IF(COUNTIFS('Policy Assignments'!$C$5:$C$868,$A22,'Policy Assignments'!$B$5:$B$868,N$4,'Policy Assignments'!$E$5:$E$868,"Conditional")&gt;0,"C",IF(COUNTIFS('Policy Assignments'!$C$5:$C$868,$A22,'Policy Assignments'!$B$5:$B$868,"General",'Policy Assignments'!$E$5:$E$868,"Hold")&gt;0,"H",IF(COUNTIFS('Policy Assignments'!$C$5:$C$868,$A22,'Policy Assignments'!$B$5:$B$868,"General",'Policy Assignments'!$E$5:$E$868,"Conditional")&gt;0,"C",IF(COUNTIFS('Policy Assignments'!$C$5:$C$868,$A22,'Policy Assignments'!$B$5:$B$868,"General")&gt;0,"G",""))))))</x:f>
        <x:v>R</x:v>
      </x:c>
      <x:c r="O22" s="94" t="str">
        <x:f>IF(COUNTIFS('Policy Assignments'!$C$5:$C$868,$A22,'Policy Assignments'!$B$5:$B$868,O$4,'Policy Assignments'!$E$5:$E$868,"Hold")&gt;0,"H",IF(COUNTIFS('Policy Assignments'!$C$5:$C$868,$A22,'Policy Assignments'!$B$5:$B$868,O$4,'Policy Assignments'!$E$5:$E$868,"Core")&gt;0,"R",IF(COUNTIFS('Policy Assignments'!$C$5:$C$868,$A22,'Policy Assignments'!$B$5:$B$868,O$4,'Policy Assignments'!$E$5:$E$868,"Conditional")&gt;0,"C","")))</x:f>
      </x:c>
      <x:c r="P22" s="90" t="str">
        <x:v>Mapped</x:v>
      </x:c>
    </x:row>
    <x:row r="23" ht="22" customHeight="1">
      <x:c r="A23" s="90" t="str">
        <x:v>CL-CP-007</x:v>
      </x:c>
      <x:c r="B23" s="90" t="str">
        <x:v>Transfer &amp; Referral Procedures</x:v>
      </x:c>
      <x:c r="C23" s="94" t="str">
        <x:f>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c>
      <x:c r="D23" s="94" t="str">
        <x:f>IF(COUNTIFS('Policy Assignments'!$C$5:$C$868,$A23,'Policy Assignments'!$B$5:$B$868,D$4,'Policy Assignments'!$E$5:$E$868,"Hold")&gt;0,"H",IF(COUNTIFS('Policy Assignments'!$C$5:$C$868,$A23,'Policy Assignments'!$B$5:$B$868,D$4,'Policy Assignments'!$E$5:$E$868,"Core")&gt;0,"R",IF(COUNTIFS('Policy Assignments'!$C$5:$C$868,$A23,'Policy Assignments'!$B$5:$B$868,D$4,'Policy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E23" s="94" t="str">
        <x:f>IF(COUNTIFS('Policy Assignments'!$C$5:$C$868,$A23,'Policy Assignments'!$B$5:$B$868,E$4,'Policy Assignments'!$E$5:$E$868,"Hold")&gt;0,"H",IF(COUNTIFS('Policy Assignments'!$C$5:$C$868,$A23,'Policy Assignments'!$B$5:$B$868,E$4,'Policy Assignments'!$E$5:$E$868,"Core")&gt;0,"R",IF(COUNTIFS('Policy Assignments'!$C$5:$C$868,$A23,'Policy Assignments'!$B$5:$B$868,E$4,'Policy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F23" s="94" t="str">
        <x:f>IF(COUNTIFS('Policy Assignments'!$C$5:$C$868,$A23,'Policy Assignments'!$B$5:$B$868,F$4,'Policy Assignments'!$E$5:$E$868,"Hold")&gt;0,"H",IF(COUNTIFS('Policy Assignments'!$C$5:$C$868,$A23,'Policy Assignments'!$B$5:$B$868,F$4,'Policy Assignments'!$E$5:$E$868,"Core")&gt;0,"R",IF(COUNTIFS('Policy Assignments'!$C$5:$C$868,$A23,'Policy Assignments'!$B$5:$B$868,F$4,'Policy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c>
      <x:c r="G23" s="94" t="str">
        <x:f>IF(COUNTIFS('Policy Assignments'!$C$5:$C$868,$A23,'Policy Assignments'!$B$5:$B$868,G$4,'Policy Assignments'!$E$5:$E$868,"Hold")&gt;0,"H",IF(COUNTIFS('Policy Assignments'!$C$5:$C$868,$A23,'Policy Assignments'!$B$5:$B$868,G$4,'Policy Assignments'!$E$5:$E$868,"Core")&gt;0,"R",IF(COUNTIFS('Policy Assignments'!$C$5:$C$868,$A23,'Policy Assignments'!$B$5:$B$868,G$4,'Policy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H23" s="94" t="str">
        <x:f>IF(COUNTIFS('Policy Assignments'!$C$5:$C$868,$A23,'Policy Assignments'!$B$5:$B$868,H$4,'Policy Assignments'!$E$5:$E$868,"Hold")&gt;0,"H",IF(COUNTIFS('Policy Assignments'!$C$5:$C$868,$A23,'Policy Assignments'!$B$5:$B$868,H$4,'Policy Assignments'!$E$5:$E$868,"Core")&gt;0,"R",IF(COUNTIFS('Policy Assignments'!$C$5:$C$868,$A23,'Policy Assignments'!$B$5:$B$868,H$4,'Policy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I23" s="94" t="str">
        <x:f>IF(COUNTIFS('Policy Assignments'!$C$5:$C$868,$A23,'Policy Assignments'!$B$5:$B$868,I$4,'Policy Assignments'!$E$5:$E$868,"Hold")&gt;0,"H",IF(COUNTIFS('Policy Assignments'!$C$5:$C$868,$A23,'Policy Assignments'!$B$5:$B$868,I$4,'Policy Assignments'!$E$5:$E$868,"Core")&gt;0,"R",IF(COUNTIFS('Policy Assignments'!$C$5:$C$868,$A23,'Policy Assignments'!$B$5:$B$868,I$4,'Policy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J23" s="94" t="str">
        <x:f>IF(COUNTIFS('Policy Assignments'!$C$5:$C$868,$A23,'Policy Assignments'!$B$5:$B$868,J$4,'Policy Assignments'!$E$5:$E$868,"Hold")&gt;0,"H",IF(COUNTIFS('Policy Assignments'!$C$5:$C$868,$A23,'Policy Assignments'!$B$5:$B$868,J$4,'Policy Assignments'!$E$5:$E$868,"Core")&gt;0,"R",IF(COUNTIFS('Policy Assignments'!$C$5:$C$868,$A23,'Policy Assignments'!$B$5:$B$868,J$4,'Policy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K23" s="94" t="str">
        <x:f>IF(COUNTIFS('Policy Assignments'!$C$5:$C$868,$A23,'Policy Assignments'!$B$5:$B$868,K$4,'Policy Assignments'!$E$5:$E$868,"Hold")&gt;0,"H",IF(COUNTIFS('Policy Assignments'!$C$5:$C$868,$A23,'Policy Assignments'!$B$5:$B$868,K$4,'Policy Assignments'!$E$5:$E$868,"Core")&gt;0,"R",IF(COUNTIFS('Policy Assignments'!$C$5:$C$868,$A23,'Policy Assignments'!$B$5:$B$868,K$4,'Policy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L23" s="94" t="str">
        <x:f>IF(COUNTIFS('Policy Assignments'!$C$5:$C$868,$A23,'Policy Assignments'!$B$5:$B$868,L$4,'Policy Assignments'!$E$5:$E$868,"Hold")&gt;0,"H",IF(COUNTIFS('Policy Assignments'!$C$5:$C$868,$A23,'Policy Assignments'!$B$5:$B$868,L$4,'Policy Assignments'!$E$5:$E$868,"Core")&gt;0,"R",IF(COUNTIFS('Policy Assignments'!$C$5:$C$868,$A23,'Policy Assignments'!$B$5:$B$868,L$4,'Policy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M23" s="94" t="str">
        <x:f>IF(COUNTIFS('Policy Assignments'!$C$5:$C$868,$A23,'Policy Assignments'!$B$5:$B$868,M$4,'Policy Assignments'!$E$5:$E$868,"Hold")&gt;0,"H",IF(COUNTIFS('Policy Assignments'!$C$5:$C$868,$A23,'Policy Assignments'!$B$5:$B$868,M$4,'Policy Assignments'!$E$5:$E$868,"Core")&gt;0,"R",IF(COUNTIFS('Policy Assignments'!$C$5:$C$868,$A23,'Policy Assignments'!$B$5:$B$868,M$4,'Policy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c>
      <x:c r="N23" s="94" t="str">
        <x:f>IF(COUNTIFS('Policy Assignments'!$C$5:$C$868,$A23,'Policy Assignments'!$B$5:$B$868,N$4,'Policy Assignments'!$E$5:$E$868,"Hold")&gt;0,"H",IF(COUNTIFS('Policy Assignments'!$C$5:$C$868,$A23,'Policy Assignments'!$B$5:$B$868,N$4,'Policy Assignments'!$E$5:$E$868,"Core")&gt;0,"R",IF(COUNTIFS('Policy Assignments'!$C$5:$C$868,$A23,'Policy Assignments'!$B$5:$B$868,N$4,'Policy Assignments'!$E$5:$E$868,"Conditional")&gt;0,"C",IF(COUNTIFS('Policy Assignments'!$C$5:$C$868,$A23,'Policy Assignments'!$B$5:$B$868,"General",'Policy Assignments'!$E$5:$E$868,"Hold")&gt;0,"H",IF(COUNTIFS('Policy Assignments'!$C$5:$C$868,$A23,'Policy Assignments'!$B$5:$B$868,"General",'Policy Assignments'!$E$5:$E$868,"Conditional")&gt;0,"C",IF(COUNTIFS('Policy Assignments'!$C$5:$C$868,$A23,'Policy Assignments'!$B$5:$B$868,"General")&gt;0,"G",""))))))</x:f>
        <x:v>R</x:v>
      </x:c>
      <x:c r="O23" s="94" t="str">
        <x:f>IF(COUNTIFS('Policy Assignments'!$C$5:$C$868,$A23,'Policy Assignments'!$B$5:$B$868,O$4,'Policy Assignments'!$E$5:$E$868,"Hold")&gt;0,"H",IF(COUNTIFS('Policy Assignments'!$C$5:$C$868,$A23,'Policy Assignments'!$B$5:$B$868,O$4,'Policy Assignments'!$E$5:$E$868,"Core")&gt;0,"R",IF(COUNTIFS('Policy Assignments'!$C$5:$C$868,$A23,'Policy Assignments'!$B$5:$B$868,O$4,'Policy Assignments'!$E$5:$E$868,"Conditional")&gt;0,"C","")))</x:f>
      </x:c>
      <x:c r="P23" s="90" t="str">
        <x:v>Mapped</x:v>
      </x:c>
    </x:row>
    <x:row r="24" ht="22" customHeight="1">
      <x:c r="A24" s="90" t="str">
        <x:v>CL-CP-008</x:v>
      </x:c>
      <x:c r="B24" s="90" t="str">
        <x:v>Physician Recertification Timing Compliance</x:v>
      </x:c>
      <x:c r="C24" s="94" t="str">
        <x:f>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D24" s="94" t="str">
        <x:f>IF(COUNTIFS('Policy Assignments'!$C$5:$C$868,$A24,'Policy Assignments'!$B$5:$B$868,D$4,'Policy Assignments'!$E$5:$E$868,"Hold")&gt;0,"H",IF(COUNTIFS('Policy Assignments'!$C$5:$C$868,$A24,'Policy Assignments'!$B$5:$B$868,D$4,'Policy Assignments'!$E$5:$E$868,"Core")&gt;0,"R",IF(COUNTIFS('Policy Assignments'!$C$5:$C$868,$A24,'Policy Assignments'!$B$5:$B$868,D$4,'Policy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E24" s="94" t="str">
        <x:f>IF(COUNTIFS('Policy Assignments'!$C$5:$C$868,$A24,'Policy Assignments'!$B$5:$B$868,E$4,'Policy Assignments'!$E$5:$E$868,"Hold")&gt;0,"H",IF(COUNTIFS('Policy Assignments'!$C$5:$C$868,$A24,'Policy Assignments'!$B$5:$B$868,E$4,'Policy Assignments'!$E$5:$E$868,"Core")&gt;0,"R",IF(COUNTIFS('Policy Assignments'!$C$5:$C$868,$A24,'Policy Assignments'!$B$5:$B$868,E$4,'Policy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v>R</x:v>
      </x:c>
      <x:c r="F24" s="94" t="str">
        <x:f>IF(COUNTIFS('Policy Assignments'!$C$5:$C$868,$A24,'Policy Assignments'!$B$5:$B$868,F$4,'Policy Assignments'!$E$5:$E$868,"Hold")&gt;0,"H",IF(COUNTIFS('Policy Assignments'!$C$5:$C$868,$A24,'Policy Assignments'!$B$5:$B$868,F$4,'Policy Assignments'!$E$5:$E$868,"Core")&gt;0,"R",IF(COUNTIFS('Policy Assignments'!$C$5:$C$868,$A24,'Policy Assignments'!$B$5:$B$868,F$4,'Policy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G24" s="94" t="str">
        <x:f>IF(COUNTIFS('Policy Assignments'!$C$5:$C$868,$A24,'Policy Assignments'!$B$5:$B$868,G$4,'Policy Assignments'!$E$5:$E$868,"Hold")&gt;0,"H",IF(COUNTIFS('Policy Assignments'!$C$5:$C$868,$A24,'Policy Assignments'!$B$5:$B$868,G$4,'Policy Assignments'!$E$5:$E$868,"Core")&gt;0,"R",IF(COUNTIFS('Policy Assignments'!$C$5:$C$868,$A24,'Policy Assignments'!$B$5:$B$868,G$4,'Policy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H24" s="94" t="str">
        <x:f>IF(COUNTIFS('Policy Assignments'!$C$5:$C$868,$A24,'Policy Assignments'!$B$5:$B$868,H$4,'Policy Assignments'!$E$5:$E$868,"Hold")&gt;0,"H",IF(COUNTIFS('Policy Assignments'!$C$5:$C$868,$A24,'Policy Assignments'!$B$5:$B$868,H$4,'Policy Assignments'!$E$5:$E$868,"Core")&gt;0,"R",IF(COUNTIFS('Policy Assignments'!$C$5:$C$868,$A24,'Policy Assignments'!$B$5:$B$868,H$4,'Policy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I24" s="94" t="str">
        <x:f>IF(COUNTIFS('Policy Assignments'!$C$5:$C$868,$A24,'Policy Assignments'!$B$5:$B$868,I$4,'Policy Assignments'!$E$5:$E$868,"Hold")&gt;0,"H",IF(COUNTIFS('Policy Assignments'!$C$5:$C$868,$A24,'Policy Assignments'!$B$5:$B$868,I$4,'Policy Assignments'!$E$5:$E$868,"Core")&gt;0,"R",IF(COUNTIFS('Policy Assignments'!$C$5:$C$868,$A24,'Policy Assignments'!$B$5:$B$868,I$4,'Policy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J24" s="94" t="str">
        <x:f>IF(COUNTIFS('Policy Assignments'!$C$5:$C$868,$A24,'Policy Assignments'!$B$5:$B$868,J$4,'Policy Assignments'!$E$5:$E$868,"Hold")&gt;0,"H",IF(COUNTIFS('Policy Assignments'!$C$5:$C$868,$A24,'Policy Assignments'!$B$5:$B$868,J$4,'Policy Assignments'!$E$5:$E$868,"Core")&gt;0,"R",IF(COUNTIFS('Policy Assignments'!$C$5:$C$868,$A24,'Policy Assignments'!$B$5:$B$868,J$4,'Policy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K24" s="94" t="str">
        <x:f>IF(COUNTIFS('Policy Assignments'!$C$5:$C$868,$A24,'Policy Assignments'!$B$5:$B$868,K$4,'Policy Assignments'!$E$5:$E$868,"Hold")&gt;0,"H",IF(COUNTIFS('Policy Assignments'!$C$5:$C$868,$A24,'Policy Assignments'!$B$5:$B$868,K$4,'Policy Assignments'!$E$5:$E$868,"Core")&gt;0,"R",IF(COUNTIFS('Policy Assignments'!$C$5:$C$868,$A24,'Policy Assignments'!$B$5:$B$868,K$4,'Policy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L24" s="94" t="str">
        <x:f>IF(COUNTIFS('Policy Assignments'!$C$5:$C$868,$A24,'Policy Assignments'!$B$5:$B$868,L$4,'Policy Assignments'!$E$5:$E$868,"Hold")&gt;0,"H",IF(COUNTIFS('Policy Assignments'!$C$5:$C$868,$A24,'Policy Assignments'!$B$5:$B$868,L$4,'Policy Assignments'!$E$5:$E$868,"Core")&gt;0,"R",IF(COUNTIFS('Policy Assignments'!$C$5:$C$868,$A24,'Policy Assignments'!$B$5:$B$868,L$4,'Policy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M24" s="94" t="str">
        <x:f>IF(COUNTIFS('Policy Assignments'!$C$5:$C$868,$A24,'Policy Assignments'!$B$5:$B$868,M$4,'Policy Assignments'!$E$5:$E$868,"Hold")&gt;0,"H",IF(COUNTIFS('Policy Assignments'!$C$5:$C$868,$A24,'Policy Assignments'!$B$5:$B$868,M$4,'Policy Assignments'!$E$5:$E$868,"Core")&gt;0,"R",IF(COUNTIFS('Policy Assignments'!$C$5:$C$868,$A24,'Policy Assignments'!$B$5:$B$868,M$4,'Policy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c>
      <x:c r="N24" s="94" t="str">
        <x:f>IF(COUNTIFS('Policy Assignments'!$C$5:$C$868,$A24,'Policy Assignments'!$B$5:$B$868,N$4,'Policy Assignments'!$E$5:$E$868,"Hold")&gt;0,"H",IF(COUNTIFS('Policy Assignments'!$C$5:$C$868,$A24,'Policy Assignments'!$B$5:$B$868,N$4,'Policy Assignments'!$E$5:$E$868,"Core")&gt;0,"R",IF(COUNTIFS('Policy Assignments'!$C$5:$C$868,$A24,'Policy Assignments'!$B$5:$B$868,N$4,'Policy Assignments'!$E$5:$E$868,"Conditional")&gt;0,"C",IF(COUNTIFS('Policy Assignments'!$C$5:$C$868,$A24,'Policy Assignments'!$B$5:$B$868,"General",'Policy Assignments'!$E$5:$E$868,"Hold")&gt;0,"H",IF(COUNTIFS('Policy Assignments'!$C$5:$C$868,$A24,'Policy Assignments'!$B$5:$B$868,"General",'Policy Assignments'!$E$5:$E$868,"Conditional")&gt;0,"C",IF(COUNTIFS('Policy Assignments'!$C$5:$C$868,$A24,'Policy Assignments'!$B$5:$B$868,"General")&gt;0,"G",""))))))</x:f>
        <x:v>R</x:v>
      </x:c>
      <x:c r="O24" s="94" t="str">
        <x:f>IF(COUNTIFS('Policy Assignments'!$C$5:$C$868,$A24,'Policy Assignments'!$B$5:$B$868,O$4,'Policy Assignments'!$E$5:$E$868,"Hold")&gt;0,"H",IF(COUNTIFS('Policy Assignments'!$C$5:$C$868,$A24,'Policy Assignments'!$B$5:$B$868,O$4,'Policy Assignments'!$E$5:$E$868,"Core")&gt;0,"R",IF(COUNTIFS('Policy Assignments'!$C$5:$C$868,$A24,'Policy Assignments'!$B$5:$B$868,O$4,'Policy Assignments'!$E$5:$E$868,"Conditional")&gt;0,"C","")))</x:f>
      </x:c>
      <x:c r="P24" s="90" t="str">
        <x:v>Mapped</x:v>
      </x:c>
    </x:row>
    <x:row r="25" ht="22" customHeight="1">
      <x:c r="A25" s="90" t="str">
        <x:v>CL-CP-009</x:v>
      </x:c>
      <x:c r="B25" s="90" t="str">
        <x:v>Physician Order Signature Tracking &amp; Escalation</x:v>
      </x:c>
      <x:c r="C25" s="94" t="str">
        <x:f>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D25" s="94" t="str">
        <x:f>IF(COUNTIFS('Policy Assignments'!$C$5:$C$868,$A25,'Policy Assignments'!$B$5:$B$868,D$4,'Policy Assignments'!$E$5:$E$868,"Hold")&gt;0,"H",IF(COUNTIFS('Policy Assignments'!$C$5:$C$868,$A25,'Policy Assignments'!$B$5:$B$868,D$4,'Policy Assignments'!$E$5:$E$868,"Core")&gt;0,"R",IF(COUNTIFS('Policy Assignments'!$C$5:$C$868,$A25,'Policy Assignments'!$B$5:$B$868,D$4,'Policy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E25" s="94" t="str">
        <x:f>IF(COUNTIFS('Policy Assignments'!$C$5:$C$868,$A25,'Policy Assignments'!$B$5:$B$868,E$4,'Policy Assignments'!$E$5:$E$868,"Hold")&gt;0,"H",IF(COUNTIFS('Policy Assignments'!$C$5:$C$868,$A25,'Policy Assignments'!$B$5:$B$868,E$4,'Policy Assignments'!$E$5:$E$868,"Core")&gt;0,"R",IF(COUNTIFS('Policy Assignments'!$C$5:$C$868,$A25,'Policy Assignments'!$B$5:$B$868,E$4,'Policy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v>R</x:v>
      </x:c>
      <x:c r="F25" s="94" t="str">
        <x:f>IF(COUNTIFS('Policy Assignments'!$C$5:$C$868,$A25,'Policy Assignments'!$B$5:$B$868,F$4,'Policy Assignments'!$E$5:$E$868,"Hold")&gt;0,"H",IF(COUNTIFS('Policy Assignments'!$C$5:$C$868,$A25,'Policy Assignments'!$B$5:$B$868,F$4,'Policy Assignments'!$E$5:$E$868,"Core")&gt;0,"R",IF(COUNTIFS('Policy Assignments'!$C$5:$C$868,$A25,'Policy Assignments'!$B$5:$B$868,F$4,'Policy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G25" s="94" t="str">
        <x:f>IF(COUNTIFS('Policy Assignments'!$C$5:$C$868,$A25,'Policy Assignments'!$B$5:$B$868,G$4,'Policy Assignments'!$E$5:$E$868,"Hold")&gt;0,"H",IF(COUNTIFS('Policy Assignments'!$C$5:$C$868,$A25,'Policy Assignments'!$B$5:$B$868,G$4,'Policy Assignments'!$E$5:$E$868,"Core")&gt;0,"R",IF(COUNTIFS('Policy Assignments'!$C$5:$C$868,$A25,'Policy Assignments'!$B$5:$B$868,G$4,'Policy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H25" s="94" t="str">
        <x:f>IF(COUNTIFS('Policy Assignments'!$C$5:$C$868,$A25,'Policy Assignments'!$B$5:$B$868,H$4,'Policy Assignments'!$E$5:$E$868,"Hold")&gt;0,"H",IF(COUNTIFS('Policy Assignments'!$C$5:$C$868,$A25,'Policy Assignments'!$B$5:$B$868,H$4,'Policy Assignments'!$E$5:$E$868,"Core")&gt;0,"R",IF(COUNTIFS('Policy Assignments'!$C$5:$C$868,$A25,'Policy Assignments'!$B$5:$B$868,H$4,'Policy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I25" s="94" t="str">
        <x:f>IF(COUNTIFS('Policy Assignments'!$C$5:$C$868,$A25,'Policy Assignments'!$B$5:$B$868,I$4,'Policy Assignments'!$E$5:$E$868,"Hold")&gt;0,"H",IF(COUNTIFS('Policy Assignments'!$C$5:$C$868,$A25,'Policy Assignments'!$B$5:$B$868,I$4,'Policy Assignments'!$E$5:$E$868,"Core")&gt;0,"R",IF(COUNTIFS('Policy Assignments'!$C$5:$C$868,$A25,'Policy Assignments'!$B$5:$B$868,I$4,'Policy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J25" s="94" t="str">
        <x:f>IF(COUNTIFS('Policy Assignments'!$C$5:$C$868,$A25,'Policy Assignments'!$B$5:$B$868,J$4,'Policy Assignments'!$E$5:$E$868,"Hold")&gt;0,"H",IF(COUNTIFS('Policy Assignments'!$C$5:$C$868,$A25,'Policy Assignments'!$B$5:$B$868,J$4,'Policy Assignments'!$E$5:$E$868,"Core")&gt;0,"R",IF(COUNTIFS('Policy Assignments'!$C$5:$C$868,$A25,'Policy Assignments'!$B$5:$B$868,J$4,'Policy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K25" s="94" t="str">
        <x:f>IF(COUNTIFS('Policy Assignments'!$C$5:$C$868,$A25,'Policy Assignments'!$B$5:$B$868,K$4,'Policy Assignments'!$E$5:$E$868,"Hold")&gt;0,"H",IF(COUNTIFS('Policy Assignments'!$C$5:$C$868,$A25,'Policy Assignments'!$B$5:$B$868,K$4,'Policy Assignments'!$E$5:$E$868,"Core")&gt;0,"R",IF(COUNTIFS('Policy Assignments'!$C$5:$C$868,$A25,'Policy Assignments'!$B$5:$B$868,K$4,'Policy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L25" s="94" t="str">
        <x:f>IF(COUNTIFS('Policy Assignments'!$C$5:$C$868,$A25,'Policy Assignments'!$B$5:$B$868,L$4,'Policy Assignments'!$E$5:$E$868,"Hold")&gt;0,"H",IF(COUNTIFS('Policy Assignments'!$C$5:$C$868,$A25,'Policy Assignments'!$B$5:$B$868,L$4,'Policy Assignments'!$E$5:$E$868,"Core")&gt;0,"R",IF(COUNTIFS('Policy Assignments'!$C$5:$C$868,$A25,'Policy Assignments'!$B$5:$B$868,L$4,'Policy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M25" s="94" t="str">
        <x:f>IF(COUNTIFS('Policy Assignments'!$C$5:$C$868,$A25,'Policy Assignments'!$B$5:$B$868,M$4,'Policy Assignments'!$E$5:$E$868,"Hold")&gt;0,"H",IF(COUNTIFS('Policy Assignments'!$C$5:$C$868,$A25,'Policy Assignments'!$B$5:$B$868,M$4,'Policy Assignments'!$E$5:$E$868,"Core")&gt;0,"R",IF(COUNTIFS('Policy Assignments'!$C$5:$C$868,$A25,'Policy Assignments'!$B$5:$B$868,M$4,'Policy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c>
      <x:c r="N25" s="94" t="str">
        <x:f>IF(COUNTIFS('Policy Assignments'!$C$5:$C$868,$A25,'Policy Assignments'!$B$5:$B$868,N$4,'Policy Assignments'!$E$5:$E$868,"Hold")&gt;0,"H",IF(COUNTIFS('Policy Assignments'!$C$5:$C$868,$A25,'Policy Assignments'!$B$5:$B$868,N$4,'Policy Assignments'!$E$5:$E$868,"Core")&gt;0,"R",IF(COUNTIFS('Policy Assignments'!$C$5:$C$868,$A25,'Policy Assignments'!$B$5:$B$868,N$4,'Policy Assignments'!$E$5:$E$868,"Conditional")&gt;0,"C",IF(COUNTIFS('Policy Assignments'!$C$5:$C$868,$A25,'Policy Assignments'!$B$5:$B$868,"General",'Policy Assignments'!$E$5:$E$868,"Hold")&gt;0,"H",IF(COUNTIFS('Policy Assignments'!$C$5:$C$868,$A25,'Policy Assignments'!$B$5:$B$868,"General",'Policy Assignments'!$E$5:$E$868,"Conditional")&gt;0,"C",IF(COUNTIFS('Policy Assignments'!$C$5:$C$868,$A25,'Policy Assignments'!$B$5:$B$868,"General")&gt;0,"G",""))))))</x:f>
        <x:v>R</x:v>
      </x:c>
      <x:c r="O25" s="94" t="str">
        <x:f>IF(COUNTIFS('Policy Assignments'!$C$5:$C$868,$A25,'Policy Assignments'!$B$5:$B$868,O$4,'Policy Assignments'!$E$5:$E$868,"Hold")&gt;0,"H",IF(COUNTIFS('Policy Assignments'!$C$5:$C$868,$A25,'Policy Assignments'!$B$5:$B$868,O$4,'Policy Assignments'!$E$5:$E$868,"Core")&gt;0,"R",IF(COUNTIFS('Policy Assignments'!$C$5:$C$868,$A25,'Policy Assignments'!$B$5:$B$868,O$4,'Policy Assignments'!$E$5:$E$868,"Conditional")&gt;0,"C","")))</x:f>
      </x:c>
      <x:c r="P25" s="90" t="str">
        <x:v>Mapped</x:v>
      </x:c>
    </x:row>
    <x:row r="26" ht="22" customHeight="1">
      <x:c r="A26" s="90" t="str">
        <x:v>CL-DC-101</x:v>
      </x:c>
      <x:c r="B26" s="90" t="str">
        <x:v>Clinical Documentation Integrity &amp; Authenticity</x:v>
      </x:c>
      <x:c r="C26" s="94" t="str">
        <x:f>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D26" s="94" t="str">
        <x:f>IF(COUNTIFS('Policy Assignments'!$C$5:$C$868,$A26,'Policy Assignments'!$B$5:$B$868,D$4,'Policy Assignments'!$E$5:$E$868,"Hold")&gt;0,"H",IF(COUNTIFS('Policy Assignments'!$C$5:$C$868,$A26,'Policy Assignments'!$B$5:$B$868,D$4,'Policy Assignments'!$E$5:$E$868,"Core")&gt;0,"R",IF(COUNTIFS('Policy Assignments'!$C$5:$C$868,$A26,'Policy Assignments'!$B$5:$B$868,D$4,'Policy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E26" s="94" t="str">
        <x:f>IF(COUNTIFS('Policy Assignments'!$C$5:$C$868,$A26,'Policy Assignments'!$B$5:$B$868,E$4,'Policy Assignments'!$E$5:$E$868,"Hold")&gt;0,"H",IF(COUNTIFS('Policy Assignments'!$C$5:$C$868,$A26,'Policy Assignments'!$B$5:$B$868,E$4,'Policy Assignments'!$E$5:$E$868,"Core")&gt;0,"R",IF(COUNTIFS('Policy Assignments'!$C$5:$C$868,$A26,'Policy Assignments'!$B$5:$B$868,E$4,'Policy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F26" s="94" t="str">
        <x:f>IF(COUNTIFS('Policy Assignments'!$C$5:$C$868,$A26,'Policy Assignments'!$B$5:$B$868,F$4,'Policy Assignments'!$E$5:$E$868,"Hold")&gt;0,"H",IF(COUNTIFS('Policy Assignments'!$C$5:$C$868,$A26,'Policy Assignments'!$B$5:$B$868,F$4,'Policy Assignments'!$E$5:$E$868,"Core")&gt;0,"R",IF(COUNTIFS('Policy Assignments'!$C$5:$C$868,$A26,'Policy Assignments'!$B$5:$B$868,F$4,'Policy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G26" s="94" t="str">
        <x:f>IF(COUNTIFS('Policy Assignments'!$C$5:$C$868,$A26,'Policy Assignments'!$B$5:$B$868,G$4,'Policy Assignments'!$E$5:$E$868,"Hold")&gt;0,"H",IF(COUNTIFS('Policy Assignments'!$C$5:$C$868,$A26,'Policy Assignments'!$B$5:$B$868,G$4,'Policy Assignments'!$E$5:$E$868,"Core")&gt;0,"R",IF(COUNTIFS('Policy Assignments'!$C$5:$C$868,$A26,'Policy Assignments'!$B$5:$B$868,G$4,'Policy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H26" s="94" t="str">
        <x:f>IF(COUNTIFS('Policy Assignments'!$C$5:$C$868,$A26,'Policy Assignments'!$B$5:$B$868,H$4,'Policy Assignments'!$E$5:$E$868,"Hold")&gt;0,"H",IF(COUNTIFS('Policy Assignments'!$C$5:$C$868,$A26,'Policy Assignments'!$B$5:$B$868,H$4,'Policy Assignments'!$E$5:$E$868,"Core")&gt;0,"R",IF(COUNTIFS('Policy Assignments'!$C$5:$C$868,$A26,'Policy Assignments'!$B$5:$B$868,H$4,'Policy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I26" s="94" t="str">
        <x:f>IF(COUNTIFS('Policy Assignments'!$C$5:$C$868,$A26,'Policy Assignments'!$B$5:$B$868,I$4,'Policy Assignments'!$E$5:$E$868,"Hold")&gt;0,"H",IF(COUNTIFS('Policy Assignments'!$C$5:$C$868,$A26,'Policy Assignments'!$B$5:$B$868,I$4,'Policy Assignments'!$E$5:$E$868,"Core")&gt;0,"R",IF(COUNTIFS('Policy Assignments'!$C$5:$C$868,$A26,'Policy Assignments'!$B$5:$B$868,I$4,'Policy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J26" s="94" t="str">
        <x:f>IF(COUNTIFS('Policy Assignments'!$C$5:$C$868,$A26,'Policy Assignments'!$B$5:$B$868,J$4,'Policy Assignments'!$E$5:$E$868,"Hold")&gt;0,"H",IF(COUNTIFS('Policy Assignments'!$C$5:$C$868,$A26,'Policy Assignments'!$B$5:$B$868,J$4,'Policy Assignments'!$E$5:$E$868,"Core")&gt;0,"R",IF(COUNTIFS('Policy Assignments'!$C$5:$C$868,$A26,'Policy Assignments'!$B$5:$B$868,J$4,'Policy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K26" s="94" t="str">
        <x:f>IF(COUNTIFS('Policy Assignments'!$C$5:$C$868,$A26,'Policy Assignments'!$B$5:$B$868,K$4,'Policy Assignments'!$E$5:$E$868,"Hold")&gt;0,"H",IF(COUNTIFS('Policy Assignments'!$C$5:$C$868,$A26,'Policy Assignments'!$B$5:$B$868,K$4,'Policy Assignments'!$E$5:$E$868,"Core")&gt;0,"R",IF(COUNTIFS('Policy Assignments'!$C$5:$C$868,$A26,'Policy Assignments'!$B$5:$B$868,K$4,'Policy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L26" s="94" t="str">
        <x:f>IF(COUNTIFS('Policy Assignments'!$C$5:$C$868,$A26,'Policy Assignments'!$B$5:$B$868,L$4,'Policy Assignments'!$E$5:$E$868,"Hold")&gt;0,"H",IF(COUNTIFS('Policy Assignments'!$C$5:$C$868,$A26,'Policy Assignments'!$B$5:$B$868,L$4,'Policy Assignments'!$E$5:$E$868,"Core")&gt;0,"R",IF(COUNTIFS('Policy Assignments'!$C$5:$C$868,$A26,'Policy Assignments'!$B$5:$B$868,L$4,'Policy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M26" s="94" t="str">
        <x:f>IF(COUNTIFS('Policy Assignments'!$C$5:$C$868,$A26,'Policy Assignments'!$B$5:$B$868,M$4,'Policy Assignments'!$E$5:$E$868,"Hold")&gt;0,"H",IF(COUNTIFS('Policy Assignments'!$C$5:$C$868,$A26,'Policy Assignments'!$B$5:$B$868,M$4,'Policy Assignments'!$E$5:$E$868,"Core")&gt;0,"R",IF(COUNTIFS('Policy Assignments'!$C$5:$C$868,$A26,'Policy Assignments'!$B$5:$B$868,M$4,'Policy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c>
      <x:c r="N26" s="94" t="str">
        <x:f>IF(COUNTIFS('Policy Assignments'!$C$5:$C$868,$A26,'Policy Assignments'!$B$5:$B$868,N$4,'Policy Assignments'!$E$5:$E$868,"Hold")&gt;0,"H",IF(COUNTIFS('Policy Assignments'!$C$5:$C$868,$A26,'Policy Assignments'!$B$5:$B$868,N$4,'Policy Assignments'!$E$5:$E$868,"Core")&gt;0,"R",IF(COUNTIFS('Policy Assignments'!$C$5:$C$868,$A26,'Policy Assignments'!$B$5:$B$868,N$4,'Policy Assignments'!$E$5:$E$868,"Conditional")&gt;0,"C",IF(COUNTIFS('Policy Assignments'!$C$5:$C$868,$A26,'Policy Assignments'!$B$5:$B$868,"General",'Policy Assignments'!$E$5:$E$868,"Hold")&gt;0,"H",IF(COUNTIFS('Policy Assignments'!$C$5:$C$868,$A26,'Policy Assignments'!$B$5:$B$868,"General",'Policy Assignments'!$E$5:$E$868,"Conditional")&gt;0,"C",IF(COUNTIFS('Policy Assignments'!$C$5:$C$868,$A26,'Policy Assignments'!$B$5:$B$868,"General")&gt;0,"G",""))))))</x:f>
        <x:v>R</x:v>
      </x:c>
      <x:c r="O26" s="94" t="str">
        <x:f>IF(COUNTIFS('Policy Assignments'!$C$5:$C$868,$A26,'Policy Assignments'!$B$5:$B$868,O$4,'Policy Assignments'!$E$5:$E$868,"Hold")&gt;0,"H",IF(COUNTIFS('Policy Assignments'!$C$5:$C$868,$A26,'Policy Assignments'!$B$5:$B$868,O$4,'Policy Assignments'!$E$5:$E$868,"Core")&gt;0,"R",IF(COUNTIFS('Policy Assignments'!$C$5:$C$868,$A26,'Policy Assignments'!$B$5:$B$868,O$4,'Policy Assignments'!$E$5:$E$868,"Conditional")&gt;0,"C","")))</x:f>
      </x:c>
      <x:c r="P26" s="90" t="str">
        <x:v>Mapped</x:v>
      </x:c>
    </x:row>
    <x:row r="27" ht="22" customHeight="1">
      <x:c r="A27" s="90" t="str">
        <x:v>CL-OA-001</x:v>
      </x:c>
      <x:c r="B27" s="90" t="str">
        <x:v>OASIS Completion Timeliness &amp; Accountability</x:v>
      </x:c>
      <x:c r="C27" s="94" t="str">
        <x:f>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c>
      <x:c r="D27" s="94" t="str">
        <x:f>IF(COUNTIFS('Policy Assignments'!$C$5:$C$868,$A27,'Policy Assignments'!$B$5:$B$868,D$4,'Policy Assignments'!$E$5:$E$868,"Hold")&gt;0,"H",IF(COUNTIFS('Policy Assignments'!$C$5:$C$868,$A27,'Policy Assignments'!$B$5:$B$868,D$4,'Policy Assignments'!$E$5:$E$868,"Core")&gt;0,"R",IF(COUNTIFS('Policy Assignments'!$C$5:$C$868,$A27,'Policy Assignments'!$B$5:$B$868,D$4,'Policy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c>
      <x:c r="E27" s="94" t="str">
        <x:f>IF(COUNTIFS('Policy Assignments'!$C$5:$C$868,$A27,'Policy Assignments'!$B$5:$B$868,E$4,'Policy Assignments'!$E$5:$E$868,"Hold")&gt;0,"H",IF(COUNTIFS('Policy Assignments'!$C$5:$C$868,$A27,'Policy Assignments'!$B$5:$B$868,E$4,'Policy Assignments'!$E$5:$E$868,"Core")&gt;0,"R",IF(COUNTIFS('Policy Assignments'!$C$5:$C$868,$A27,'Policy Assignments'!$B$5:$B$868,E$4,'Policy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v>H</x:v>
      </x:c>
      <x:c r="F27" s="94" t="str">
        <x:f>IF(COUNTIFS('Policy Assignments'!$C$5:$C$868,$A27,'Policy Assignments'!$B$5:$B$868,F$4,'Policy Assignments'!$E$5:$E$868,"Hold")&gt;0,"H",IF(COUNTIFS('Policy Assignments'!$C$5:$C$868,$A27,'Policy Assignments'!$B$5:$B$868,F$4,'Policy Assignments'!$E$5:$E$868,"Core")&gt;0,"R",IF(COUNTIFS('Policy Assignments'!$C$5:$C$868,$A27,'Policy Assignments'!$B$5:$B$868,F$4,'Policy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c>
      <x:c r="G27" s="94" t="str">
        <x:f>IF(COUNTIFS('Policy Assignments'!$C$5:$C$868,$A27,'Policy Assignments'!$B$5:$B$868,G$4,'Policy Assignments'!$E$5:$E$868,"Hold")&gt;0,"H",IF(COUNTIFS('Policy Assignments'!$C$5:$C$868,$A27,'Policy Assignments'!$B$5:$B$868,G$4,'Policy Assignments'!$E$5:$E$868,"Core")&gt;0,"R",IF(COUNTIFS('Policy Assignments'!$C$5:$C$868,$A27,'Policy Assignments'!$B$5:$B$868,G$4,'Policy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v>H</x:v>
      </x:c>
      <x:c r="H27" s="94" t="str">
        <x:f>IF(COUNTIFS('Policy Assignments'!$C$5:$C$868,$A27,'Policy Assignments'!$B$5:$B$868,H$4,'Policy Assignments'!$E$5:$E$868,"Hold")&gt;0,"H",IF(COUNTIFS('Policy Assignments'!$C$5:$C$868,$A27,'Policy Assignments'!$B$5:$B$868,H$4,'Policy Assignments'!$E$5:$E$868,"Core")&gt;0,"R",IF(COUNTIFS('Policy Assignments'!$C$5:$C$868,$A27,'Policy Assignments'!$B$5:$B$868,H$4,'Policy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c>
      <x:c r="I27" s="94" t="str">
        <x:f>IF(COUNTIFS('Policy Assignments'!$C$5:$C$868,$A27,'Policy Assignments'!$B$5:$B$868,I$4,'Policy Assignments'!$E$5:$E$868,"Hold")&gt;0,"H",IF(COUNTIFS('Policy Assignments'!$C$5:$C$868,$A27,'Policy Assignments'!$B$5:$B$868,I$4,'Policy Assignments'!$E$5:$E$868,"Core")&gt;0,"R",IF(COUNTIFS('Policy Assignments'!$C$5:$C$868,$A27,'Policy Assignments'!$B$5:$B$868,I$4,'Policy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v>H</x:v>
      </x:c>
      <x:c r="J27" s="94" t="str">
        <x:f>IF(COUNTIFS('Policy Assignments'!$C$5:$C$868,$A27,'Policy Assignments'!$B$5:$B$868,J$4,'Policy Assignments'!$E$5:$E$868,"Hold")&gt;0,"H",IF(COUNTIFS('Policy Assignments'!$C$5:$C$868,$A27,'Policy Assignments'!$B$5:$B$868,J$4,'Policy Assignments'!$E$5:$E$868,"Core")&gt;0,"R",IF(COUNTIFS('Policy Assignments'!$C$5:$C$868,$A27,'Policy Assignments'!$B$5:$B$868,J$4,'Policy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c>
      <x:c r="K27" s="94" t="str">
        <x:f>IF(COUNTIFS('Policy Assignments'!$C$5:$C$868,$A27,'Policy Assignments'!$B$5:$B$868,K$4,'Policy Assignments'!$E$5:$E$868,"Hold")&gt;0,"H",IF(COUNTIFS('Policy Assignments'!$C$5:$C$868,$A27,'Policy Assignments'!$B$5:$B$868,K$4,'Policy Assignments'!$E$5:$E$868,"Core")&gt;0,"R",IF(COUNTIFS('Policy Assignments'!$C$5:$C$868,$A27,'Policy Assignments'!$B$5:$B$868,K$4,'Policy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v>H</x:v>
      </x:c>
      <x:c r="L27" s="94" t="str">
        <x:f>IF(COUNTIFS('Policy Assignments'!$C$5:$C$868,$A27,'Policy Assignments'!$B$5:$B$868,L$4,'Policy Assignments'!$E$5:$E$868,"Hold")&gt;0,"H",IF(COUNTIFS('Policy Assignments'!$C$5:$C$868,$A27,'Policy Assignments'!$B$5:$B$868,L$4,'Policy Assignments'!$E$5:$E$868,"Core")&gt;0,"R",IF(COUNTIFS('Policy Assignments'!$C$5:$C$868,$A27,'Policy Assignments'!$B$5:$B$868,L$4,'Policy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c>
      <x:c r="M27" s="94" t="str">
        <x:f>IF(COUNTIFS('Policy Assignments'!$C$5:$C$868,$A27,'Policy Assignments'!$B$5:$B$868,M$4,'Policy Assignments'!$E$5:$E$868,"Hold")&gt;0,"H",IF(COUNTIFS('Policy Assignments'!$C$5:$C$868,$A27,'Policy Assignments'!$B$5:$B$868,M$4,'Policy Assignments'!$E$5:$E$868,"Core")&gt;0,"R",IF(COUNTIFS('Policy Assignments'!$C$5:$C$868,$A27,'Policy Assignments'!$B$5:$B$868,M$4,'Policy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c>
      <x:c r="N27" s="94" t="str">
        <x:f>IF(COUNTIFS('Policy Assignments'!$C$5:$C$868,$A27,'Policy Assignments'!$B$5:$B$868,N$4,'Policy Assignments'!$E$5:$E$868,"Hold")&gt;0,"H",IF(COUNTIFS('Policy Assignments'!$C$5:$C$868,$A27,'Policy Assignments'!$B$5:$B$868,N$4,'Policy Assignments'!$E$5:$E$868,"Core")&gt;0,"R",IF(COUNTIFS('Policy Assignments'!$C$5:$C$868,$A27,'Policy Assignments'!$B$5:$B$868,N$4,'Policy Assignments'!$E$5:$E$868,"Conditional")&gt;0,"C",IF(COUNTIFS('Policy Assignments'!$C$5:$C$868,$A27,'Policy Assignments'!$B$5:$B$868,"General",'Policy Assignments'!$E$5:$E$868,"Hold")&gt;0,"H",IF(COUNTIFS('Policy Assignments'!$C$5:$C$868,$A27,'Policy Assignments'!$B$5:$B$868,"General",'Policy Assignments'!$E$5:$E$868,"Conditional")&gt;0,"C",IF(COUNTIFS('Policy Assignments'!$C$5:$C$868,$A27,'Policy Assignments'!$B$5:$B$868,"General")&gt;0,"G",""))))))</x:f>
        <x:v>H</x:v>
      </x:c>
      <x:c r="O27" s="94" t="str">
        <x:f>IF(COUNTIFS('Policy Assignments'!$C$5:$C$868,$A27,'Policy Assignments'!$B$5:$B$868,O$4,'Policy Assignments'!$E$5:$E$868,"Hold")&gt;0,"H",IF(COUNTIFS('Policy Assignments'!$C$5:$C$868,$A27,'Policy Assignments'!$B$5:$B$868,O$4,'Policy Assignments'!$E$5:$E$868,"Core")&gt;0,"R",IF(COUNTIFS('Policy Assignments'!$C$5:$C$868,$A27,'Policy Assignments'!$B$5:$B$868,O$4,'Policy Assignments'!$E$5:$E$868,"Conditional")&gt;0,"C","")))</x:f>
      </x:c>
      <x:c r="P27" s="90" t="str">
        <x:v>Hold/correction required</x:v>
      </x:c>
    </x:row>
    <x:row r="28" ht="22" customHeight="1">
      <x:c r="A28" s="90" t="str">
        <x:v>CL-OA-002</x:v>
      </x:c>
      <x:c r="B28" s="90" t="str">
        <x:v>OASIS Quality Review &amp; Error Correction</x:v>
      </x:c>
      <x:c r="C28" s="94" t="str">
        <x:f>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c>
      <x:c r="D28" s="94" t="str">
        <x:f>IF(COUNTIFS('Policy Assignments'!$C$5:$C$868,$A28,'Policy Assignments'!$B$5:$B$868,D$4,'Policy Assignments'!$E$5:$E$868,"Hold")&gt;0,"H",IF(COUNTIFS('Policy Assignments'!$C$5:$C$868,$A28,'Policy Assignments'!$B$5:$B$868,D$4,'Policy Assignments'!$E$5:$E$868,"Core")&gt;0,"R",IF(COUNTIFS('Policy Assignments'!$C$5:$C$868,$A28,'Policy Assignments'!$B$5:$B$868,D$4,'Policy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c>
      <x:c r="E28" s="94" t="str">
        <x:f>IF(COUNTIFS('Policy Assignments'!$C$5:$C$868,$A28,'Policy Assignments'!$B$5:$B$868,E$4,'Policy Assignments'!$E$5:$E$868,"Hold")&gt;0,"H",IF(COUNTIFS('Policy Assignments'!$C$5:$C$868,$A28,'Policy Assignments'!$B$5:$B$868,E$4,'Policy Assignments'!$E$5:$E$868,"Core")&gt;0,"R",IF(COUNTIFS('Policy Assignments'!$C$5:$C$868,$A28,'Policy Assignments'!$B$5:$B$868,E$4,'Policy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v>H</x:v>
      </x:c>
      <x:c r="F28" s="94" t="str">
        <x:f>IF(COUNTIFS('Policy Assignments'!$C$5:$C$868,$A28,'Policy Assignments'!$B$5:$B$868,F$4,'Policy Assignments'!$E$5:$E$868,"Hold")&gt;0,"H",IF(COUNTIFS('Policy Assignments'!$C$5:$C$868,$A28,'Policy Assignments'!$B$5:$B$868,F$4,'Policy Assignments'!$E$5:$E$868,"Core")&gt;0,"R",IF(COUNTIFS('Policy Assignments'!$C$5:$C$868,$A28,'Policy Assignments'!$B$5:$B$868,F$4,'Policy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c>
      <x:c r="G28" s="94" t="str">
        <x:f>IF(COUNTIFS('Policy Assignments'!$C$5:$C$868,$A28,'Policy Assignments'!$B$5:$B$868,G$4,'Policy Assignments'!$E$5:$E$868,"Hold")&gt;0,"H",IF(COUNTIFS('Policy Assignments'!$C$5:$C$868,$A28,'Policy Assignments'!$B$5:$B$868,G$4,'Policy Assignments'!$E$5:$E$868,"Core")&gt;0,"R",IF(COUNTIFS('Policy Assignments'!$C$5:$C$868,$A28,'Policy Assignments'!$B$5:$B$868,G$4,'Policy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v>H</x:v>
      </x:c>
      <x:c r="H28" s="94" t="str">
        <x:f>IF(COUNTIFS('Policy Assignments'!$C$5:$C$868,$A28,'Policy Assignments'!$B$5:$B$868,H$4,'Policy Assignments'!$E$5:$E$868,"Hold")&gt;0,"H",IF(COUNTIFS('Policy Assignments'!$C$5:$C$868,$A28,'Policy Assignments'!$B$5:$B$868,H$4,'Policy Assignments'!$E$5:$E$868,"Core")&gt;0,"R",IF(COUNTIFS('Policy Assignments'!$C$5:$C$868,$A28,'Policy Assignments'!$B$5:$B$868,H$4,'Policy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c>
      <x:c r="I28" s="94" t="str">
        <x:f>IF(COUNTIFS('Policy Assignments'!$C$5:$C$868,$A28,'Policy Assignments'!$B$5:$B$868,I$4,'Policy Assignments'!$E$5:$E$868,"Hold")&gt;0,"H",IF(COUNTIFS('Policy Assignments'!$C$5:$C$868,$A28,'Policy Assignments'!$B$5:$B$868,I$4,'Policy Assignments'!$E$5:$E$868,"Core")&gt;0,"R",IF(COUNTIFS('Policy Assignments'!$C$5:$C$868,$A28,'Policy Assignments'!$B$5:$B$868,I$4,'Policy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v>H</x:v>
      </x:c>
      <x:c r="J28" s="94" t="str">
        <x:f>IF(COUNTIFS('Policy Assignments'!$C$5:$C$868,$A28,'Policy Assignments'!$B$5:$B$868,J$4,'Policy Assignments'!$E$5:$E$868,"Hold")&gt;0,"H",IF(COUNTIFS('Policy Assignments'!$C$5:$C$868,$A28,'Policy Assignments'!$B$5:$B$868,J$4,'Policy Assignments'!$E$5:$E$868,"Core")&gt;0,"R",IF(COUNTIFS('Policy Assignments'!$C$5:$C$868,$A28,'Policy Assignments'!$B$5:$B$868,J$4,'Policy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c>
      <x:c r="K28" s="94" t="str">
        <x:f>IF(COUNTIFS('Policy Assignments'!$C$5:$C$868,$A28,'Policy Assignments'!$B$5:$B$868,K$4,'Policy Assignments'!$E$5:$E$868,"Hold")&gt;0,"H",IF(COUNTIFS('Policy Assignments'!$C$5:$C$868,$A28,'Policy Assignments'!$B$5:$B$868,K$4,'Policy Assignments'!$E$5:$E$868,"Core")&gt;0,"R",IF(COUNTIFS('Policy Assignments'!$C$5:$C$868,$A28,'Policy Assignments'!$B$5:$B$868,K$4,'Policy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v>H</x:v>
      </x:c>
      <x:c r="L28" s="94" t="str">
        <x:f>IF(COUNTIFS('Policy Assignments'!$C$5:$C$868,$A28,'Policy Assignments'!$B$5:$B$868,L$4,'Policy Assignments'!$E$5:$E$868,"Hold")&gt;0,"H",IF(COUNTIFS('Policy Assignments'!$C$5:$C$868,$A28,'Policy Assignments'!$B$5:$B$868,L$4,'Policy Assignments'!$E$5:$E$868,"Core")&gt;0,"R",IF(COUNTIFS('Policy Assignments'!$C$5:$C$868,$A28,'Policy Assignments'!$B$5:$B$868,L$4,'Policy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c>
      <x:c r="M28" s="94" t="str">
        <x:f>IF(COUNTIFS('Policy Assignments'!$C$5:$C$868,$A28,'Policy Assignments'!$B$5:$B$868,M$4,'Policy Assignments'!$E$5:$E$868,"Hold")&gt;0,"H",IF(COUNTIFS('Policy Assignments'!$C$5:$C$868,$A28,'Policy Assignments'!$B$5:$B$868,M$4,'Policy Assignments'!$E$5:$E$868,"Core")&gt;0,"R",IF(COUNTIFS('Policy Assignments'!$C$5:$C$868,$A28,'Policy Assignments'!$B$5:$B$868,M$4,'Policy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c>
      <x:c r="N28" s="94" t="str">
        <x:f>IF(COUNTIFS('Policy Assignments'!$C$5:$C$868,$A28,'Policy Assignments'!$B$5:$B$868,N$4,'Policy Assignments'!$E$5:$E$868,"Hold")&gt;0,"H",IF(COUNTIFS('Policy Assignments'!$C$5:$C$868,$A28,'Policy Assignments'!$B$5:$B$868,N$4,'Policy Assignments'!$E$5:$E$868,"Core")&gt;0,"R",IF(COUNTIFS('Policy Assignments'!$C$5:$C$868,$A28,'Policy Assignments'!$B$5:$B$868,N$4,'Policy Assignments'!$E$5:$E$868,"Conditional")&gt;0,"C",IF(COUNTIFS('Policy Assignments'!$C$5:$C$868,$A28,'Policy Assignments'!$B$5:$B$868,"General",'Policy Assignments'!$E$5:$E$868,"Hold")&gt;0,"H",IF(COUNTIFS('Policy Assignments'!$C$5:$C$868,$A28,'Policy Assignments'!$B$5:$B$868,"General",'Policy Assignments'!$E$5:$E$868,"Conditional")&gt;0,"C",IF(COUNTIFS('Policy Assignments'!$C$5:$C$868,$A28,'Policy Assignments'!$B$5:$B$868,"General")&gt;0,"G",""))))))</x:f>
        <x:v>H</x:v>
      </x:c>
      <x:c r="O28" s="94" t="str">
        <x:f>IF(COUNTIFS('Policy Assignments'!$C$5:$C$868,$A28,'Policy Assignments'!$B$5:$B$868,O$4,'Policy Assignments'!$E$5:$E$868,"Hold")&gt;0,"H",IF(COUNTIFS('Policy Assignments'!$C$5:$C$868,$A28,'Policy Assignments'!$B$5:$B$868,O$4,'Policy Assignments'!$E$5:$E$868,"Core")&gt;0,"R",IF(COUNTIFS('Policy Assignments'!$C$5:$C$868,$A28,'Policy Assignments'!$B$5:$B$868,O$4,'Policy Assignments'!$E$5:$E$868,"Conditional")&gt;0,"C","")))</x:f>
      </x:c>
      <x:c r="P28" s="90" t="str">
        <x:v>Hold/correction required</x:v>
      </x:c>
    </x:row>
    <x:row r="29" ht="22" customHeight="1">
      <x:c r="A29" s="90" t="str">
        <x:v>CL-OA-003</x:v>
      </x:c>
      <x:c r="B29" s="90" t="str">
        <x:v>OASIS Clinician Authorization &amp; Competency</x:v>
      </x:c>
      <x:c r="C29" s="94" t="str">
        <x:f>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c>
      <x:c r="D29" s="94" t="str">
        <x:f>IF(COUNTIFS('Policy Assignments'!$C$5:$C$868,$A29,'Policy Assignments'!$B$5:$B$868,D$4,'Policy Assignments'!$E$5:$E$868,"Hold")&gt;0,"H",IF(COUNTIFS('Policy Assignments'!$C$5:$C$868,$A29,'Policy Assignments'!$B$5:$B$868,D$4,'Policy Assignments'!$E$5:$E$868,"Core")&gt;0,"R",IF(COUNTIFS('Policy Assignments'!$C$5:$C$868,$A29,'Policy Assignments'!$B$5:$B$868,D$4,'Policy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c>
      <x:c r="E29" s="94" t="str">
        <x:f>IF(COUNTIFS('Policy Assignments'!$C$5:$C$868,$A29,'Policy Assignments'!$B$5:$B$868,E$4,'Policy Assignments'!$E$5:$E$868,"Hold")&gt;0,"H",IF(COUNTIFS('Policy Assignments'!$C$5:$C$868,$A29,'Policy Assignments'!$B$5:$B$868,E$4,'Policy Assignments'!$E$5:$E$868,"Core")&gt;0,"R",IF(COUNTIFS('Policy Assignments'!$C$5:$C$868,$A29,'Policy Assignments'!$B$5:$B$868,E$4,'Policy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v>H</x:v>
      </x:c>
      <x:c r="F29" s="94" t="str">
        <x:f>IF(COUNTIFS('Policy Assignments'!$C$5:$C$868,$A29,'Policy Assignments'!$B$5:$B$868,F$4,'Policy Assignments'!$E$5:$E$868,"Hold")&gt;0,"H",IF(COUNTIFS('Policy Assignments'!$C$5:$C$868,$A29,'Policy Assignments'!$B$5:$B$868,F$4,'Policy Assignments'!$E$5:$E$868,"Core")&gt;0,"R",IF(COUNTIFS('Policy Assignments'!$C$5:$C$868,$A29,'Policy Assignments'!$B$5:$B$868,F$4,'Policy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c>
      <x:c r="G29" s="94" t="str">
        <x:f>IF(COUNTIFS('Policy Assignments'!$C$5:$C$868,$A29,'Policy Assignments'!$B$5:$B$868,G$4,'Policy Assignments'!$E$5:$E$868,"Hold")&gt;0,"H",IF(COUNTIFS('Policy Assignments'!$C$5:$C$868,$A29,'Policy Assignments'!$B$5:$B$868,G$4,'Policy Assignments'!$E$5:$E$868,"Core")&gt;0,"R",IF(COUNTIFS('Policy Assignments'!$C$5:$C$868,$A29,'Policy Assignments'!$B$5:$B$868,G$4,'Policy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v>H</x:v>
      </x:c>
      <x:c r="H29" s="94" t="str">
        <x:f>IF(COUNTIFS('Policy Assignments'!$C$5:$C$868,$A29,'Policy Assignments'!$B$5:$B$868,H$4,'Policy Assignments'!$E$5:$E$868,"Hold")&gt;0,"H",IF(COUNTIFS('Policy Assignments'!$C$5:$C$868,$A29,'Policy Assignments'!$B$5:$B$868,H$4,'Policy Assignments'!$E$5:$E$868,"Core")&gt;0,"R",IF(COUNTIFS('Policy Assignments'!$C$5:$C$868,$A29,'Policy Assignments'!$B$5:$B$868,H$4,'Policy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c>
      <x:c r="I29" s="94" t="str">
        <x:f>IF(COUNTIFS('Policy Assignments'!$C$5:$C$868,$A29,'Policy Assignments'!$B$5:$B$868,I$4,'Policy Assignments'!$E$5:$E$868,"Hold")&gt;0,"H",IF(COUNTIFS('Policy Assignments'!$C$5:$C$868,$A29,'Policy Assignments'!$B$5:$B$868,I$4,'Policy Assignments'!$E$5:$E$868,"Core")&gt;0,"R",IF(COUNTIFS('Policy Assignments'!$C$5:$C$868,$A29,'Policy Assignments'!$B$5:$B$868,I$4,'Policy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v>H</x:v>
      </x:c>
      <x:c r="J29" s="94" t="str">
        <x:f>IF(COUNTIFS('Policy Assignments'!$C$5:$C$868,$A29,'Policy Assignments'!$B$5:$B$868,J$4,'Policy Assignments'!$E$5:$E$868,"Hold")&gt;0,"H",IF(COUNTIFS('Policy Assignments'!$C$5:$C$868,$A29,'Policy Assignments'!$B$5:$B$868,J$4,'Policy Assignments'!$E$5:$E$868,"Core")&gt;0,"R",IF(COUNTIFS('Policy Assignments'!$C$5:$C$868,$A29,'Policy Assignments'!$B$5:$B$868,J$4,'Policy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c>
      <x:c r="K29" s="94" t="str">
        <x:f>IF(COUNTIFS('Policy Assignments'!$C$5:$C$868,$A29,'Policy Assignments'!$B$5:$B$868,K$4,'Policy Assignments'!$E$5:$E$868,"Hold")&gt;0,"H",IF(COUNTIFS('Policy Assignments'!$C$5:$C$868,$A29,'Policy Assignments'!$B$5:$B$868,K$4,'Policy Assignments'!$E$5:$E$868,"Core")&gt;0,"R",IF(COUNTIFS('Policy Assignments'!$C$5:$C$868,$A29,'Policy Assignments'!$B$5:$B$868,K$4,'Policy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v>H</x:v>
      </x:c>
      <x:c r="L29" s="94" t="str">
        <x:f>IF(COUNTIFS('Policy Assignments'!$C$5:$C$868,$A29,'Policy Assignments'!$B$5:$B$868,L$4,'Policy Assignments'!$E$5:$E$868,"Hold")&gt;0,"H",IF(COUNTIFS('Policy Assignments'!$C$5:$C$868,$A29,'Policy Assignments'!$B$5:$B$868,L$4,'Policy Assignments'!$E$5:$E$868,"Core")&gt;0,"R",IF(COUNTIFS('Policy Assignments'!$C$5:$C$868,$A29,'Policy Assignments'!$B$5:$B$868,L$4,'Policy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c>
      <x:c r="M29" s="94" t="str">
        <x:f>IF(COUNTIFS('Policy Assignments'!$C$5:$C$868,$A29,'Policy Assignments'!$B$5:$B$868,M$4,'Policy Assignments'!$E$5:$E$868,"Hold")&gt;0,"H",IF(COUNTIFS('Policy Assignments'!$C$5:$C$868,$A29,'Policy Assignments'!$B$5:$B$868,M$4,'Policy Assignments'!$E$5:$E$868,"Core")&gt;0,"R",IF(COUNTIFS('Policy Assignments'!$C$5:$C$868,$A29,'Policy Assignments'!$B$5:$B$868,M$4,'Policy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c>
      <x:c r="N29" s="94" t="str">
        <x:f>IF(COUNTIFS('Policy Assignments'!$C$5:$C$868,$A29,'Policy Assignments'!$B$5:$B$868,N$4,'Policy Assignments'!$E$5:$E$868,"Hold")&gt;0,"H",IF(COUNTIFS('Policy Assignments'!$C$5:$C$868,$A29,'Policy Assignments'!$B$5:$B$868,N$4,'Policy Assignments'!$E$5:$E$868,"Core")&gt;0,"R",IF(COUNTIFS('Policy Assignments'!$C$5:$C$868,$A29,'Policy Assignments'!$B$5:$B$868,N$4,'Policy Assignments'!$E$5:$E$868,"Conditional")&gt;0,"C",IF(COUNTIFS('Policy Assignments'!$C$5:$C$868,$A29,'Policy Assignments'!$B$5:$B$868,"General",'Policy Assignments'!$E$5:$E$868,"Hold")&gt;0,"H",IF(COUNTIFS('Policy Assignments'!$C$5:$C$868,$A29,'Policy Assignments'!$B$5:$B$868,"General",'Policy Assignments'!$E$5:$E$868,"Conditional")&gt;0,"C",IF(COUNTIFS('Policy Assignments'!$C$5:$C$868,$A29,'Policy Assignments'!$B$5:$B$868,"General")&gt;0,"G",""))))))</x:f>
        <x:v>H</x:v>
      </x:c>
      <x:c r="O29" s="94" t="str">
        <x:f>IF(COUNTIFS('Policy Assignments'!$C$5:$C$868,$A29,'Policy Assignments'!$B$5:$B$868,O$4,'Policy Assignments'!$E$5:$E$868,"Hold")&gt;0,"H",IF(COUNTIFS('Policy Assignments'!$C$5:$C$868,$A29,'Policy Assignments'!$B$5:$B$868,O$4,'Policy Assignments'!$E$5:$E$868,"Core")&gt;0,"R",IF(COUNTIFS('Policy Assignments'!$C$5:$C$868,$A29,'Policy Assignments'!$B$5:$B$868,O$4,'Policy Assignments'!$E$5:$E$868,"Conditional")&gt;0,"C","")))</x:f>
      </x:c>
      <x:c r="P29" s="90" t="str">
        <x:v>Hold/correction required</x:v>
      </x:c>
    </x:row>
    <x:row r="30" ht="22" customHeight="1">
      <x:c r="A30" s="90" t="str">
        <x:v>CL-OA-004</x:v>
      </x:c>
      <x:c r="B30" s="90" t="str">
        <x:v>OASIS Item-Level Guidance Compliance</x:v>
      </x:c>
      <x:c r="C30" s="94" t="str">
        <x:f>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c>
      <x:c r="D30" s="94" t="str">
        <x:f>IF(COUNTIFS('Policy Assignments'!$C$5:$C$868,$A30,'Policy Assignments'!$B$5:$B$868,D$4,'Policy Assignments'!$E$5:$E$868,"Hold")&gt;0,"H",IF(COUNTIFS('Policy Assignments'!$C$5:$C$868,$A30,'Policy Assignments'!$B$5:$B$868,D$4,'Policy Assignments'!$E$5:$E$868,"Core")&gt;0,"R",IF(COUNTIFS('Policy Assignments'!$C$5:$C$868,$A30,'Policy Assignments'!$B$5:$B$868,D$4,'Policy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c>
      <x:c r="E30" s="94" t="str">
        <x:f>IF(COUNTIFS('Policy Assignments'!$C$5:$C$868,$A30,'Policy Assignments'!$B$5:$B$868,E$4,'Policy Assignments'!$E$5:$E$868,"Hold")&gt;0,"H",IF(COUNTIFS('Policy Assignments'!$C$5:$C$868,$A30,'Policy Assignments'!$B$5:$B$868,E$4,'Policy Assignments'!$E$5:$E$868,"Core")&gt;0,"R",IF(COUNTIFS('Policy Assignments'!$C$5:$C$868,$A30,'Policy Assignments'!$B$5:$B$868,E$4,'Policy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v>H</x:v>
      </x:c>
      <x:c r="F30" s="94" t="str">
        <x:f>IF(COUNTIFS('Policy Assignments'!$C$5:$C$868,$A30,'Policy Assignments'!$B$5:$B$868,F$4,'Policy Assignments'!$E$5:$E$868,"Hold")&gt;0,"H",IF(COUNTIFS('Policy Assignments'!$C$5:$C$868,$A30,'Policy Assignments'!$B$5:$B$868,F$4,'Policy Assignments'!$E$5:$E$868,"Core")&gt;0,"R",IF(COUNTIFS('Policy Assignments'!$C$5:$C$868,$A30,'Policy Assignments'!$B$5:$B$868,F$4,'Policy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c>
      <x:c r="G30" s="94" t="str">
        <x:f>IF(COUNTIFS('Policy Assignments'!$C$5:$C$868,$A30,'Policy Assignments'!$B$5:$B$868,G$4,'Policy Assignments'!$E$5:$E$868,"Hold")&gt;0,"H",IF(COUNTIFS('Policy Assignments'!$C$5:$C$868,$A30,'Policy Assignments'!$B$5:$B$868,G$4,'Policy Assignments'!$E$5:$E$868,"Core")&gt;0,"R",IF(COUNTIFS('Policy Assignments'!$C$5:$C$868,$A30,'Policy Assignments'!$B$5:$B$868,G$4,'Policy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v>H</x:v>
      </x:c>
      <x:c r="H30" s="94" t="str">
        <x:f>IF(COUNTIFS('Policy Assignments'!$C$5:$C$868,$A30,'Policy Assignments'!$B$5:$B$868,H$4,'Policy Assignments'!$E$5:$E$868,"Hold")&gt;0,"H",IF(COUNTIFS('Policy Assignments'!$C$5:$C$868,$A30,'Policy Assignments'!$B$5:$B$868,H$4,'Policy Assignments'!$E$5:$E$868,"Core")&gt;0,"R",IF(COUNTIFS('Policy Assignments'!$C$5:$C$868,$A30,'Policy Assignments'!$B$5:$B$868,H$4,'Policy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c>
      <x:c r="I30" s="94" t="str">
        <x:f>IF(COUNTIFS('Policy Assignments'!$C$5:$C$868,$A30,'Policy Assignments'!$B$5:$B$868,I$4,'Policy Assignments'!$E$5:$E$868,"Hold")&gt;0,"H",IF(COUNTIFS('Policy Assignments'!$C$5:$C$868,$A30,'Policy Assignments'!$B$5:$B$868,I$4,'Policy Assignments'!$E$5:$E$868,"Core")&gt;0,"R",IF(COUNTIFS('Policy Assignments'!$C$5:$C$868,$A30,'Policy Assignments'!$B$5:$B$868,I$4,'Policy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v>H</x:v>
      </x:c>
      <x:c r="J30" s="94" t="str">
        <x:f>IF(COUNTIFS('Policy Assignments'!$C$5:$C$868,$A30,'Policy Assignments'!$B$5:$B$868,J$4,'Policy Assignments'!$E$5:$E$868,"Hold")&gt;0,"H",IF(COUNTIFS('Policy Assignments'!$C$5:$C$868,$A30,'Policy Assignments'!$B$5:$B$868,J$4,'Policy Assignments'!$E$5:$E$868,"Core")&gt;0,"R",IF(COUNTIFS('Policy Assignments'!$C$5:$C$868,$A30,'Policy Assignments'!$B$5:$B$868,J$4,'Policy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c>
      <x:c r="K30" s="94" t="str">
        <x:f>IF(COUNTIFS('Policy Assignments'!$C$5:$C$868,$A30,'Policy Assignments'!$B$5:$B$868,K$4,'Policy Assignments'!$E$5:$E$868,"Hold")&gt;0,"H",IF(COUNTIFS('Policy Assignments'!$C$5:$C$868,$A30,'Policy Assignments'!$B$5:$B$868,K$4,'Policy Assignments'!$E$5:$E$868,"Core")&gt;0,"R",IF(COUNTIFS('Policy Assignments'!$C$5:$C$868,$A30,'Policy Assignments'!$B$5:$B$868,K$4,'Policy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v>H</x:v>
      </x:c>
      <x:c r="L30" s="94" t="str">
        <x:f>IF(COUNTIFS('Policy Assignments'!$C$5:$C$868,$A30,'Policy Assignments'!$B$5:$B$868,L$4,'Policy Assignments'!$E$5:$E$868,"Hold")&gt;0,"H",IF(COUNTIFS('Policy Assignments'!$C$5:$C$868,$A30,'Policy Assignments'!$B$5:$B$868,L$4,'Policy Assignments'!$E$5:$E$868,"Core")&gt;0,"R",IF(COUNTIFS('Policy Assignments'!$C$5:$C$868,$A30,'Policy Assignments'!$B$5:$B$868,L$4,'Policy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c>
      <x:c r="M30" s="94" t="str">
        <x:f>IF(COUNTIFS('Policy Assignments'!$C$5:$C$868,$A30,'Policy Assignments'!$B$5:$B$868,M$4,'Policy Assignments'!$E$5:$E$868,"Hold")&gt;0,"H",IF(COUNTIFS('Policy Assignments'!$C$5:$C$868,$A30,'Policy Assignments'!$B$5:$B$868,M$4,'Policy Assignments'!$E$5:$E$868,"Core")&gt;0,"R",IF(COUNTIFS('Policy Assignments'!$C$5:$C$868,$A30,'Policy Assignments'!$B$5:$B$868,M$4,'Policy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c>
      <x:c r="N30" s="94" t="str">
        <x:f>IF(COUNTIFS('Policy Assignments'!$C$5:$C$868,$A30,'Policy Assignments'!$B$5:$B$868,N$4,'Policy Assignments'!$E$5:$E$868,"Hold")&gt;0,"H",IF(COUNTIFS('Policy Assignments'!$C$5:$C$868,$A30,'Policy Assignments'!$B$5:$B$868,N$4,'Policy Assignments'!$E$5:$E$868,"Core")&gt;0,"R",IF(COUNTIFS('Policy Assignments'!$C$5:$C$868,$A30,'Policy Assignments'!$B$5:$B$868,N$4,'Policy Assignments'!$E$5:$E$868,"Conditional")&gt;0,"C",IF(COUNTIFS('Policy Assignments'!$C$5:$C$868,$A30,'Policy Assignments'!$B$5:$B$868,"General",'Policy Assignments'!$E$5:$E$868,"Hold")&gt;0,"H",IF(COUNTIFS('Policy Assignments'!$C$5:$C$868,$A30,'Policy Assignments'!$B$5:$B$868,"General",'Policy Assignments'!$E$5:$E$868,"Conditional")&gt;0,"C",IF(COUNTIFS('Policy Assignments'!$C$5:$C$868,$A30,'Policy Assignments'!$B$5:$B$868,"General")&gt;0,"G",""))))))</x:f>
        <x:v>H</x:v>
      </x:c>
      <x:c r="O30" s="94" t="str">
        <x:f>IF(COUNTIFS('Policy Assignments'!$C$5:$C$868,$A30,'Policy Assignments'!$B$5:$B$868,O$4,'Policy Assignments'!$E$5:$E$868,"Hold")&gt;0,"H",IF(COUNTIFS('Policy Assignments'!$C$5:$C$868,$A30,'Policy Assignments'!$B$5:$B$868,O$4,'Policy Assignments'!$E$5:$E$868,"Core")&gt;0,"R",IF(COUNTIFS('Policy Assignments'!$C$5:$C$868,$A30,'Policy Assignments'!$B$5:$B$868,O$4,'Policy Assignments'!$E$5:$E$868,"Conditional")&gt;0,"C","")))</x:f>
      </x:c>
      <x:c r="P30" s="90" t="str">
        <x:v>Hold/correction required</x:v>
      </x:c>
    </x:row>
    <x:row r="31" ht="22" customHeight="1">
      <x:c r="A31" s="90" t="str">
        <x:v>CL-OA-005</x:v>
      </x:c>
      <x:c r="B31" s="90" t="str">
        <x:v>OASIS Data Integrity &amp; Security</x:v>
      </x:c>
      <x:c r="C31" s="94" t="str">
        <x:f>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c>
      <x:c r="D31" s="94" t="str">
        <x:f>IF(COUNTIFS('Policy Assignments'!$C$5:$C$868,$A31,'Policy Assignments'!$B$5:$B$868,D$4,'Policy Assignments'!$E$5:$E$868,"Hold")&gt;0,"H",IF(COUNTIFS('Policy Assignments'!$C$5:$C$868,$A31,'Policy Assignments'!$B$5:$B$868,D$4,'Policy Assignments'!$E$5:$E$868,"Core")&gt;0,"R",IF(COUNTIFS('Policy Assignments'!$C$5:$C$868,$A31,'Policy Assignments'!$B$5:$B$868,D$4,'Policy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c>
      <x:c r="E31" s="94" t="str">
        <x:f>IF(COUNTIFS('Policy Assignments'!$C$5:$C$868,$A31,'Policy Assignments'!$B$5:$B$868,E$4,'Policy Assignments'!$E$5:$E$868,"Hold")&gt;0,"H",IF(COUNTIFS('Policy Assignments'!$C$5:$C$868,$A31,'Policy Assignments'!$B$5:$B$868,E$4,'Policy Assignments'!$E$5:$E$868,"Core")&gt;0,"R",IF(COUNTIFS('Policy Assignments'!$C$5:$C$868,$A31,'Policy Assignments'!$B$5:$B$868,E$4,'Policy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v>H</x:v>
      </x:c>
      <x:c r="F31" s="94" t="str">
        <x:f>IF(COUNTIFS('Policy Assignments'!$C$5:$C$868,$A31,'Policy Assignments'!$B$5:$B$868,F$4,'Policy Assignments'!$E$5:$E$868,"Hold")&gt;0,"H",IF(COUNTIFS('Policy Assignments'!$C$5:$C$868,$A31,'Policy Assignments'!$B$5:$B$868,F$4,'Policy Assignments'!$E$5:$E$868,"Core")&gt;0,"R",IF(COUNTIFS('Policy Assignments'!$C$5:$C$868,$A31,'Policy Assignments'!$B$5:$B$868,F$4,'Policy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c>
      <x:c r="G31" s="94" t="str">
        <x:f>IF(COUNTIFS('Policy Assignments'!$C$5:$C$868,$A31,'Policy Assignments'!$B$5:$B$868,G$4,'Policy Assignments'!$E$5:$E$868,"Hold")&gt;0,"H",IF(COUNTIFS('Policy Assignments'!$C$5:$C$868,$A31,'Policy Assignments'!$B$5:$B$868,G$4,'Policy Assignments'!$E$5:$E$868,"Core")&gt;0,"R",IF(COUNTIFS('Policy Assignments'!$C$5:$C$868,$A31,'Policy Assignments'!$B$5:$B$868,G$4,'Policy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v>H</x:v>
      </x:c>
      <x:c r="H31" s="94" t="str">
        <x:f>IF(COUNTIFS('Policy Assignments'!$C$5:$C$868,$A31,'Policy Assignments'!$B$5:$B$868,H$4,'Policy Assignments'!$E$5:$E$868,"Hold")&gt;0,"H",IF(COUNTIFS('Policy Assignments'!$C$5:$C$868,$A31,'Policy Assignments'!$B$5:$B$868,H$4,'Policy Assignments'!$E$5:$E$868,"Core")&gt;0,"R",IF(COUNTIFS('Policy Assignments'!$C$5:$C$868,$A31,'Policy Assignments'!$B$5:$B$868,H$4,'Policy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c>
      <x:c r="I31" s="94" t="str">
        <x:f>IF(COUNTIFS('Policy Assignments'!$C$5:$C$868,$A31,'Policy Assignments'!$B$5:$B$868,I$4,'Policy Assignments'!$E$5:$E$868,"Hold")&gt;0,"H",IF(COUNTIFS('Policy Assignments'!$C$5:$C$868,$A31,'Policy Assignments'!$B$5:$B$868,I$4,'Policy Assignments'!$E$5:$E$868,"Core")&gt;0,"R",IF(COUNTIFS('Policy Assignments'!$C$5:$C$868,$A31,'Policy Assignments'!$B$5:$B$868,I$4,'Policy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v>H</x:v>
      </x:c>
      <x:c r="J31" s="94" t="str">
        <x:f>IF(COUNTIFS('Policy Assignments'!$C$5:$C$868,$A31,'Policy Assignments'!$B$5:$B$868,J$4,'Policy Assignments'!$E$5:$E$868,"Hold")&gt;0,"H",IF(COUNTIFS('Policy Assignments'!$C$5:$C$868,$A31,'Policy Assignments'!$B$5:$B$868,J$4,'Policy Assignments'!$E$5:$E$868,"Core")&gt;0,"R",IF(COUNTIFS('Policy Assignments'!$C$5:$C$868,$A31,'Policy Assignments'!$B$5:$B$868,J$4,'Policy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c>
      <x:c r="K31" s="94" t="str">
        <x:f>IF(COUNTIFS('Policy Assignments'!$C$5:$C$868,$A31,'Policy Assignments'!$B$5:$B$868,K$4,'Policy Assignments'!$E$5:$E$868,"Hold")&gt;0,"H",IF(COUNTIFS('Policy Assignments'!$C$5:$C$868,$A31,'Policy Assignments'!$B$5:$B$868,K$4,'Policy Assignments'!$E$5:$E$868,"Core")&gt;0,"R",IF(COUNTIFS('Policy Assignments'!$C$5:$C$868,$A31,'Policy Assignments'!$B$5:$B$868,K$4,'Policy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v>H</x:v>
      </x:c>
      <x:c r="L31" s="94" t="str">
        <x:f>IF(COUNTIFS('Policy Assignments'!$C$5:$C$868,$A31,'Policy Assignments'!$B$5:$B$868,L$4,'Policy Assignments'!$E$5:$E$868,"Hold")&gt;0,"H",IF(COUNTIFS('Policy Assignments'!$C$5:$C$868,$A31,'Policy Assignments'!$B$5:$B$868,L$4,'Policy Assignments'!$E$5:$E$868,"Core")&gt;0,"R",IF(COUNTIFS('Policy Assignments'!$C$5:$C$868,$A31,'Policy Assignments'!$B$5:$B$868,L$4,'Policy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c>
      <x:c r="M31" s="94" t="str">
        <x:f>IF(COUNTIFS('Policy Assignments'!$C$5:$C$868,$A31,'Policy Assignments'!$B$5:$B$868,M$4,'Policy Assignments'!$E$5:$E$868,"Hold")&gt;0,"H",IF(COUNTIFS('Policy Assignments'!$C$5:$C$868,$A31,'Policy Assignments'!$B$5:$B$868,M$4,'Policy Assignments'!$E$5:$E$868,"Core")&gt;0,"R",IF(COUNTIFS('Policy Assignments'!$C$5:$C$868,$A31,'Policy Assignments'!$B$5:$B$868,M$4,'Policy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c>
      <x:c r="N31" s="94" t="str">
        <x:f>IF(COUNTIFS('Policy Assignments'!$C$5:$C$868,$A31,'Policy Assignments'!$B$5:$B$868,N$4,'Policy Assignments'!$E$5:$E$868,"Hold")&gt;0,"H",IF(COUNTIFS('Policy Assignments'!$C$5:$C$868,$A31,'Policy Assignments'!$B$5:$B$868,N$4,'Policy Assignments'!$E$5:$E$868,"Core")&gt;0,"R",IF(COUNTIFS('Policy Assignments'!$C$5:$C$868,$A31,'Policy Assignments'!$B$5:$B$868,N$4,'Policy Assignments'!$E$5:$E$868,"Conditional")&gt;0,"C",IF(COUNTIFS('Policy Assignments'!$C$5:$C$868,$A31,'Policy Assignments'!$B$5:$B$868,"General",'Policy Assignments'!$E$5:$E$868,"Hold")&gt;0,"H",IF(COUNTIFS('Policy Assignments'!$C$5:$C$868,$A31,'Policy Assignments'!$B$5:$B$868,"General",'Policy Assignments'!$E$5:$E$868,"Conditional")&gt;0,"C",IF(COUNTIFS('Policy Assignments'!$C$5:$C$868,$A31,'Policy Assignments'!$B$5:$B$868,"General")&gt;0,"G",""))))))</x:f>
        <x:v>H</x:v>
      </x:c>
      <x:c r="O31" s="94" t="str">
        <x:f>IF(COUNTIFS('Policy Assignments'!$C$5:$C$868,$A31,'Policy Assignments'!$B$5:$B$868,O$4,'Policy Assignments'!$E$5:$E$868,"Hold")&gt;0,"H",IF(COUNTIFS('Policy Assignments'!$C$5:$C$868,$A31,'Policy Assignments'!$B$5:$B$868,O$4,'Policy Assignments'!$E$5:$E$868,"Core")&gt;0,"R",IF(COUNTIFS('Policy Assignments'!$C$5:$C$868,$A31,'Policy Assignments'!$B$5:$B$868,O$4,'Policy Assignments'!$E$5:$E$868,"Conditional")&gt;0,"C","")))</x:f>
      </x:c>
      <x:c r="P31" s="90" t="str">
        <x:v>Hold/correction required</x:v>
      </x:c>
    </x:row>
    <x:row r="32" ht="22" customHeight="1">
      <x:c r="A32" s="90" t="str">
        <x:v>CL-OA-006</x:v>
      </x:c>
      <x:c r="B32" s="90" t="str">
        <x:v>Documentation Hierarchy and Evidence Source Prioritization</x:v>
      </x:c>
      <x:c r="C32" s="94" t="str">
        <x:f>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c>
      <x:c r="D32" s="94" t="str">
        <x:f>IF(COUNTIFS('Policy Assignments'!$C$5:$C$868,$A32,'Policy Assignments'!$B$5:$B$868,D$4,'Policy Assignments'!$E$5:$E$868,"Hold")&gt;0,"H",IF(COUNTIFS('Policy Assignments'!$C$5:$C$868,$A32,'Policy Assignments'!$B$5:$B$868,D$4,'Policy Assignments'!$E$5:$E$868,"Core")&gt;0,"R",IF(COUNTIFS('Policy Assignments'!$C$5:$C$868,$A32,'Policy Assignments'!$B$5:$B$868,D$4,'Policy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c>
      <x:c r="E32" s="94" t="str">
        <x:f>IF(COUNTIFS('Policy Assignments'!$C$5:$C$868,$A32,'Policy Assignments'!$B$5:$B$868,E$4,'Policy Assignments'!$E$5:$E$868,"Hold")&gt;0,"H",IF(COUNTIFS('Policy Assignments'!$C$5:$C$868,$A32,'Policy Assignments'!$B$5:$B$868,E$4,'Policy Assignments'!$E$5:$E$868,"Core")&gt;0,"R",IF(COUNTIFS('Policy Assignments'!$C$5:$C$868,$A32,'Policy Assignments'!$B$5:$B$868,E$4,'Policy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v>H</x:v>
      </x:c>
      <x:c r="F32" s="94" t="str">
        <x:f>IF(COUNTIFS('Policy Assignments'!$C$5:$C$868,$A32,'Policy Assignments'!$B$5:$B$868,F$4,'Policy Assignments'!$E$5:$E$868,"Hold")&gt;0,"H",IF(COUNTIFS('Policy Assignments'!$C$5:$C$868,$A32,'Policy Assignments'!$B$5:$B$868,F$4,'Policy Assignments'!$E$5:$E$868,"Core")&gt;0,"R",IF(COUNTIFS('Policy Assignments'!$C$5:$C$868,$A32,'Policy Assignments'!$B$5:$B$868,F$4,'Policy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c>
      <x:c r="G32" s="94" t="str">
        <x:f>IF(COUNTIFS('Policy Assignments'!$C$5:$C$868,$A32,'Policy Assignments'!$B$5:$B$868,G$4,'Policy Assignments'!$E$5:$E$868,"Hold")&gt;0,"H",IF(COUNTIFS('Policy Assignments'!$C$5:$C$868,$A32,'Policy Assignments'!$B$5:$B$868,G$4,'Policy Assignments'!$E$5:$E$868,"Core")&gt;0,"R",IF(COUNTIFS('Policy Assignments'!$C$5:$C$868,$A32,'Policy Assignments'!$B$5:$B$868,G$4,'Policy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v>H</x:v>
      </x:c>
      <x:c r="H32" s="94" t="str">
        <x:f>IF(COUNTIFS('Policy Assignments'!$C$5:$C$868,$A32,'Policy Assignments'!$B$5:$B$868,H$4,'Policy Assignments'!$E$5:$E$868,"Hold")&gt;0,"H",IF(COUNTIFS('Policy Assignments'!$C$5:$C$868,$A32,'Policy Assignments'!$B$5:$B$868,H$4,'Policy Assignments'!$E$5:$E$868,"Core")&gt;0,"R",IF(COUNTIFS('Policy Assignments'!$C$5:$C$868,$A32,'Policy Assignments'!$B$5:$B$868,H$4,'Policy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c>
      <x:c r="I32" s="94" t="str">
        <x:f>IF(COUNTIFS('Policy Assignments'!$C$5:$C$868,$A32,'Policy Assignments'!$B$5:$B$868,I$4,'Policy Assignments'!$E$5:$E$868,"Hold")&gt;0,"H",IF(COUNTIFS('Policy Assignments'!$C$5:$C$868,$A32,'Policy Assignments'!$B$5:$B$868,I$4,'Policy Assignments'!$E$5:$E$868,"Core")&gt;0,"R",IF(COUNTIFS('Policy Assignments'!$C$5:$C$868,$A32,'Policy Assignments'!$B$5:$B$868,I$4,'Policy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v>H</x:v>
      </x:c>
      <x:c r="J32" s="94" t="str">
        <x:f>IF(COUNTIFS('Policy Assignments'!$C$5:$C$868,$A32,'Policy Assignments'!$B$5:$B$868,J$4,'Policy Assignments'!$E$5:$E$868,"Hold")&gt;0,"H",IF(COUNTIFS('Policy Assignments'!$C$5:$C$868,$A32,'Policy Assignments'!$B$5:$B$868,J$4,'Policy Assignments'!$E$5:$E$868,"Core")&gt;0,"R",IF(COUNTIFS('Policy Assignments'!$C$5:$C$868,$A32,'Policy Assignments'!$B$5:$B$868,J$4,'Policy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c>
      <x:c r="K32" s="94" t="str">
        <x:f>IF(COUNTIFS('Policy Assignments'!$C$5:$C$868,$A32,'Policy Assignments'!$B$5:$B$868,K$4,'Policy Assignments'!$E$5:$E$868,"Hold")&gt;0,"H",IF(COUNTIFS('Policy Assignments'!$C$5:$C$868,$A32,'Policy Assignments'!$B$5:$B$868,K$4,'Policy Assignments'!$E$5:$E$868,"Core")&gt;0,"R",IF(COUNTIFS('Policy Assignments'!$C$5:$C$868,$A32,'Policy Assignments'!$B$5:$B$868,K$4,'Policy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v>H</x:v>
      </x:c>
      <x:c r="L32" s="94" t="str">
        <x:f>IF(COUNTIFS('Policy Assignments'!$C$5:$C$868,$A32,'Policy Assignments'!$B$5:$B$868,L$4,'Policy Assignments'!$E$5:$E$868,"Hold")&gt;0,"H",IF(COUNTIFS('Policy Assignments'!$C$5:$C$868,$A32,'Policy Assignments'!$B$5:$B$868,L$4,'Policy Assignments'!$E$5:$E$868,"Core")&gt;0,"R",IF(COUNTIFS('Policy Assignments'!$C$5:$C$868,$A32,'Policy Assignments'!$B$5:$B$868,L$4,'Policy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c>
      <x:c r="M32" s="94" t="str">
        <x:f>IF(COUNTIFS('Policy Assignments'!$C$5:$C$868,$A32,'Policy Assignments'!$B$5:$B$868,M$4,'Policy Assignments'!$E$5:$E$868,"Hold")&gt;0,"H",IF(COUNTIFS('Policy Assignments'!$C$5:$C$868,$A32,'Policy Assignments'!$B$5:$B$868,M$4,'Policy Assignments'!$E$5:$E$868,"Core")&gt;0,"R",IF(COUNTIFS('Policy Assignments'!$C$5:$C$868,$A32,'Policy Assignments'!$B$5:$B$868,M$4,'Policy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c>
      <x:c r="N32" s="94" t="str">
        <x:f>IF(COUNTIFS('Policy Assignments'!$C$5:$C$868,$A32,'Policy Assignments'!$B$5:$B$868,N$4,'Policy Assignments'!$E$5:$E$868,"Hold")&gt;0,"H",IF(COUNTIFS('Policy Assignments'!$C$5:$C$868,$A32,'Policy Assignments'!$B$5:$B$868,N$4,'Policy Assignments'!$E$5:$E$868,"Core")&gt;0,"R",IF(COUNTIFS('Policy Assignments'!$C$5:$C$868,$A32,'Policy Assignments'!$B$5:$B$868,N$4,'Policy Assignments'!$E$5:$E$868,"Conditional")&gt;0,"C",IF(COUNTIFS('Policy Assignments'!$C$5:$C$868,$A32,'Policy Assignments'!$B$5:$B$868,"General",'Policy Assignments'!$E$5:$E$868,"Hold")&gt;0,"H",IF(COUNTIFS('Policy Assignments'!$C$5:$C$868,$A32,'Policy Assignments'!$B$5:$B$868,"General",'Policy Assignments'!$E$5:$E$868,"Conditional")&gt;0,"C",IF(COUNTIFS('Policy Assignments'!$C$5:$C$868,$A32,'Policy Assignments'!$B$5:$B$868,"General")&gt;0,"G",""))))))</x:f>
        <x:v>H</x:v>
      </x:c>
      <x:c r="O32" s="94" t="str">
        <x:f>IF(COUNTIFS('Policy Assignments'!$C$5:$C$868,$A32,'Policy Assignments'!$B$5:$B$868,O$4,'Policy Assignments'!$E$5:$E$868,"Hold")&gt;0,"H",IF(COUNTIFS('Policy Assignments'!$C$5:$C$868,$A32,'Policy Assignments'!$B$5:$B$868,O$4,'Policy Assignments'!$E$5:$E$868,"Core")&gt;0,"R",IF(COUNTIFS('Policy Assignments'!$C$5:$C$868,$A32,'Policy Assignments'!$B$5:$B$868,O$4,'Policy Assignments'!$E$5:$E$868,"Conditional")&gt;0,"C","")))</x:f>
      </x:c>
      <x:c r="P32" s="90" t="str">
        <x:v>Hold/correction required</x:v>
      </x:c>
    </x:row>
    <x:row r="33" ht="22" customHeight="1">
      <x:c r="A33" s="90" t="str">
        <x:v>CL-OA-007</x:v>
      </x:c>
      <x:c r="B33" s="90" t="str">
        <x:v>Evidence-Based OASIS Coding Substantiation</x:v>
      </x:c>
      <x:c r="C33" s="94" t="str">
        <x:f>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c>
      <x:c r="D33" s="94" t="str">
        <x:f>IF(COUNTIFS('Policy Assignments'!$C$5:$C$868,$A33,'Policy Assignments'!$B$5:$B$868,D$4,'Policy Assignments'!$E$5:$E$868,"Hold")&gt;0,"H",IF(COUNTIFS('Policy Assignments'!$C$5:$C$868,$A33,'Policy Assignments'!$B$5:$B$868,D$4,'Policy Assignments'!$E$5:$E$868,"Core")&gt;0,"R",IF(COUNTIFS('Policy Assignments'!$C$5:$C$868,$A33,'Policy Assignments'!$B$5:$B$868,D$4,'Policy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c>
      <x:c r="E33" s="94" t="str">
        <x:f>IF(COUNTIFS('Policy Assignments'!$C$5:$C$868,$A33,'Policy Assignments'!$B$5:$B$868,E$4,'Policy Assignments'!$E$5:$E$868,"Hold")&gt;0,"H",IF(COUNTIFS('Policy Assignments'!$C$5:$C$868,$A33,'Policy Assignments'!$B$5:$B$868,E$4,'Policy Assignments'!$E$5:$E$868,"Core")&gt;0,"R",IF(COUNTIFS('Policy Assignments'!$C$5:$C$868,$A33,'Policy Assignments'!$B$5:$B$868,E$4,'Policy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v>H</x:v>
      </x:c>
      <x:c r="F33" s="94" t="str">
        <x:f>IF(COUNTIFS('Policy Assignments'!$C$5:$C$868,$A33,'Policy Assignments'!$B$5:$B$868,F$4,'Policy Assignments'!$E$5:$E$868,"Hold")&gt;0,"H",IF(COUNTIFS('Policy Assignments'!$C$5:$C$868,$A33,'Policy Assignments'!$B$5:$B$868,F$4,'Policy Assignments'!$E$5:$E$868,"Core")&gt;0,"R",IF(COUNTIFS('Policy Assignments'!$C$5:$C$868,$A33,'Policy Assignments'!$B$5:$B$868,F$4,'Policy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c>
      <x:c r="G33" s="94" t="str">
        <x:f>IF(COUNTIFS('Policy Assignments'!$C$5:$C$868,$A33,'Policy Assignments'!$B$5:$B$868,G$4,'Policy Assignments'!$E$5:$E$868,"Hold")&gt;0,"H",IF(COUNTIFS('Policy Assignments'!$C$5:$C$868,$A33,'Policy Assignments'!$B$5:$B$868,G$4,'Policy Assignments'!$E$5:$E$868,"Core")&gt;0,"R",IF(COUNTIFS('Policy Assignments'!$C$5:$C$868,$A33,'Policy Assignments'!$B$5:$B$868,G$4,'Policy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v>H</x:v>
      </x:c>
      <x:c r="H33" s="94" t="str">
        <x:f>IF(COUNTIFS('Policy Assignments'!$C$5:$C$868,$A33,'Policy Assignments'!$B$5:$B$868,H$4,'Policy Assignments'!$E$5:$E$868,"Hold")&gt;0,"H",IF(COUNTIFS('Policy Assignments'!$C$5:$C$868,$A33,'Policy Assignments'!$B$5:$B$868,H$4,'Policy Assignments'!$E$5:$E$868,"Core")&gt;0,"R",IF(COUNTIFS('Policy Assignments'!$C$5:$C$868,$A33,'Policy Assignments'!$B$5:$B$868,H$4,'Policy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c>
      <x:c r="I33" s="94" t="str">
        <x:f>IF(COUNTIFS('Policy Assignments'!$C$5:$C$868,$A33,'Policy Assignments'!$B$5:$B$868,I$4,'Policy Assignments'!$E$5:$E$868,"Hold")&gt;0,"H",IF(COUNTIFS('Policy Assignments'!$C$5:$C$868,$A33,'Policy Assignments'!$B$5:$B$868,I$4,'Policy Assignments'!$E$5:$E$868,"Core")&gt;0,"R",IF(COUNTIFS('Policy Assignments'!$C$5:$C$868,$A33,'Policy Assignments'!$B$5:$B$868,I$4,'Policy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v>H</x:v>
      </x:c>
      <x:c r="J33" s="94" t="str">
        <x:f>IF(COUNTIFS('Policy Assignments'!$C$5:$C$868,$A33,'Policy Assignments'!$B$5:$B$868,J$4,'Policy Assignments'!$E$5:$E$868,"Hold")&gt;0,"H",IF(COUNTIFS('Policy Assignments'!$C$5:$C$868,$A33,'Policy Assignments'!$B$5:$B$868,J$4,'Policy Assignments'!$E$5:$E$868,"Core")&gt;0,"R",IF(COUNTIFS('Policy Assignments'!$C$5:$C$868,$A33,'Policy Assignments'!$B$5:$B$868,J$4,'Policy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c>
      <x:c r="K33" s="94" t="str">
        <x:f>IF(COUNTIFS('Policy Assignments'!$C$5:$C$868,$A33,'Policy Assignments'!$B$5:$B$868,K$4,'Policy Assignments'!$E$5:$E$868,"Hold")&gt;0,"H",IF(COUNTIFS('Policy Assignments'!$C$5:$C$868,$A33,'Policy Assignments'!$B$5:$B$868,K$4,'Policy Assignments'!$E$5:$E$868,"Core")&gt;0,"R",IF(COUNTIFS('Policy Assignments'!$C$5:$C$868,$A33,'Policy Assignments'!$B$5:$B$868,K$4,'Policy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v>H</x:v>
      </x:c>
      <x:c r="L33" s="94" t="str">
        <x:f>IF(COUNTIFS('Policy Assignments'!$C$5:$C$868,$A33,'Policy Assignments'!$B$5:$B$868,L$4,'Policy Assignments'!$E$5:$E$868,"Hold")&gt;0,"H",IF(COUNTIFS('Policy Assignments'!$C$5:$C$868,$A33,'Policy Assignments'!$B$5:$B$868,L$4,'Policy Assignments'!$E$5:$E$868,"Core")&gt;0,"R",IF(COUNTIFS('Policy Assignments'!$C$5:$C$868,$A33,'Policy Assignments'!$B$5:$B$868,L$4,'Policy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c>
      <x:c r="M33" s="94" t="str">
        <x:f>IF(COUNTIFS('Policy Assignments'!$C$5:$C$868,$A33,'Policy Assignments'!$B$5:$B$868,M$4,'Policy Assignments'!$E$5:$E$868,"Hold")&gt;0,"H",IF(COUNTIFS('Policy Assignments'!$C$5:$C$868,$A33,'Policy Assignments'!$B$5:$B$868,M$4,'Policy Assignments'!$E$5:$E$868,"Core")&gt;0,"R",IF(COUNTIFS('Policy Assignments'!$C$5:$C$868,$A33,'Policy Assignments'!$B$5:$B$868,M$4,'Policy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c>
      <x:c r="N33" s="94" t="str">
        <x:f>IF(COUNTIFS('Policy Assignments'!$C$5:$C$868,$A33,'Policy Assignments'!$B$5:$B$868,N$4,'Policy Assignments'!$E$5:$E$868,"Hold")&gt;0,"H",IF(COUNTIFS('Policy Assignments'!$C$5:$C$868,$A33,'Policy Assignments'!$B$5:$B$868,N$4,'Policy Assignments'!$E$5:$E$868,"Core")&gt;0,"R",IF(COUNTIFS('Policy Assignments'!$C$5:$C$868,$A33,'Policy Assignments'!$B$5:$B$868,N$4,'Policy Assignments'!$E$5:$E$868,"Conditional")&gt;0,"C",IF(COUNTIFS('Policy Assignments'!$C$5:$C$868,$A33,'Policy Assignments'!$B$5:$B$868,"General",'Policy Assignments'!$E$5:$E$868,"Hold")&gt;0,"H",IF(COUNTIFS('Policy Assignments'!$C$5:$C$868,$A33,'Policy Assignments'!$B$5:$B$868,"General",'Policy Assignments'!$E$5:$E$868,"Conditional")&gt;0,"C",IF(COUNTIFS('Policy Assignments'!$C$5:$C$868,$A33,'Policy Assignments'!$B$5:$B$868,"General")&gt;0,"G",""))))))</x:f>
        <x:v>H</x:v>
      </x:c>
      <x:c r="O33" s="94" t="str">
        <x:f>IF(COUNTIFS('Policy Assignments'!$C$5:$C$868,$A33,'Policy Assignments'!$B$5:$B$868,O$4,'Policy Assignments'!$E$5:$E$868,"Hold")&gt;0,"H",IF(COUNTIFS('Policy Assignments'!$C$5:$C$868,$A33,'Policy Assignments'!$B$5:$B$868,O$4,'Policy Assignments'!$E$5:$E$868,"Core")&gt;0,"R",IF(COUNTIFS('Policy Assignments'!$C$5:$C$868,$A33,'Policy Assignments'!$B$5:$B$868,O$4,'Policy Assignments'!$E$5:$E$868,"Conditional")&gt;0,"C","")))</x:f>
      </x:c>
      <x:c r="P33" s="90" t="str">
        <x:v>Hold/correction required</x:v>
      </x:c>
    </x:row>
    <x:row r="34" ht="22" customHeight="1">
      <x:c r="A34" s="90" t="str">
        <x:v>CL-OA-008</x:v>
      </x:c>
      <x:c r="B34" s="90" t="str">
        <x:v>Conflicting Documentation Source Resolution</x:v>
      </x:c>
      <x:c r="C34" s="94" t="str">
        <x:f>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c>
      <x:c r="D34" s="94" t="str">
        <x:f>IF(COUNTIFS('Policy Assignments'!$C$5:$C$868,$A34,'Policy Assignments'!$B$5:$B$868,D$4,'Policy Assignments'!$E$5:$E$868,"Hold")&gt;0,"H",IF(COUNTIFS('Policy Assignments'!$C$5:$C$868,$A34,'Policy Assignments'!$B$5:$B$868,D$4,'Policy Assignments'!$E$5:$E$868,"Core")&gt;0,"R",IF(COUNTIFS('Policy Assignments'!$C$5:$C$868,$A34,'Policy Assignments'!$B$5:$B$868,D$4,'Policy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c>
      <x:c r="E34" s="94" t="str">
        <x:f>IF(COUNTIFS('Policy Assignments'!$C$5:$C$868,$A34,'Policy Assignments'!$B$5:$B$868,E$4,'Policy Assignments'!$E$5:$E$868,"Hold")&gt;0,"H",IF(COUNTIFS('Policy Assignments'!$C$5:$C$868,$A34,'Policy Assignments'!$B$5:$B$868,E$4,'Policy Assignments'!$E$5:$E$868,"Core")&gt;0,"R",IF(COUNTIFS('Policy Assignments'!$C$5:$C$868,$A34,'Policy Assignments'!$B$5:$B$868,E$4,'Policy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v>H</x:v>
      </x:c>
      <x:c r="F34" s="94" t="str">
        <x:f>IF(COUNTIFS('Policy Assignments'!$C$5:$C$868,$A34,'Policy Assignments'!$B$5:$B$868,F$4,'Policy Assignments'!$E$5:$E$868,"Hold")&gt;0,"H",IF(COUNTIFS('Policy Assignments'!$C$5:$C$868,$A34,'Policy Assignments'!$B$5:$B$868,F$4,'Policy Assignments'!$E$5:$E$868,"Core")&gt;0,"R",IF(COUNTIFS('Policy Assignments'!$C$5:$C$868,$A34,'Policy Assignments'!$B$5:$B$868,F$4,'Policy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c>
      <x:c r="G34" s="94" t="str">
        <x:f>IF(COUNTIFS('Policy Assignments'!$C$5:$C$868,$A34,'Policy Assignments'!$B$5:$B$868,G$4,'Policy Assignments'!$E$5:$E$868,"Hold")&gt;0,"H",IF(COUNTIFS('Policy Assignments'!$C$5:$C$868,$A34,'Policy Assignments'!$B$5:$B$868,G$4,'Policy Assignments'!$E$5:$E$868,"Core")&gt;0,"R",IF(COUNTIFS('Policy Assignments'!$C$5:$C$868,$A34,'Policy Assignments'!$B$5:$B$868,G$4,'Policy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v>H</x:v>
      </x:c>
      <x:c r="H34" s="94" t="str">
        <x:f>IF(COUNTIFS('Policy Assignments'!$C$5:$C$868,$A34,'Policy Assignments'!$B$5:$B$868,H$4,'Policy Assignments'!$E$5:$E$868,"Hold")&gt;0,"H",IF(COUNTIFS('Policy Assignments'!$C$5:$C$868,$A34,'Policy Assignments'!$B$5:$B$868,H$4,'Policy Assignments'!$E$5:$E$868,"Core")&gt;0,"R",IF(COUNTIFS('Policy Assignments'!$C$5:$C$868,$A34,'Policy Assignments'!$B$5:$B$868,H$4,'Policy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c>
      <x:c r="I34" s="94" t="str">
        <x:f>IF(COUNTIFS('Policy Assignments'!$C$5:$C$868,$A34,'Policy Assignments'!$B$5:$B$868,I$4,'Policy Assignments'!$E$5:$E$868,"Hold")&gt;0,"H",IF(COUNTIFS('Policy Assignments'!$C$5:$C$868,$A34,'Policy Assignments'!$B$5:$B$868,I$4,'Policy Assignments'!$E$5:$E$868,"Core")&gt;0,"R",IF(COUNTIFS('Policy Assignments'!$C$5:$C$868,$A34,'Policy Assignments'!$B$5:$B$868,I$4,'Policy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v>H</x:v>
      </x:c>
      <x:c r="J34" s="94" t="str">
        <x:f>IF(COUNTIFS('Policy Assignments'!$C$5:$C$868,$A34,'Policy Assignments'!$B$5:$B$868,J$4,'Policy Assignments'!$E$5:$E$868,"Hold")&gt;0,"H",IF(COUNTIFS('Policy Assignments'!$C$5:$C$868,$A34,'Policy Assignments'!$B$5:$B$868,J$4,'Policy Assignments'!$E$5:$E$868,"Core")&gt;0,"R",IF(COUNTIFS('Policy Assignments'!$C$5:$C$868,$A34,'Policy Assignments'!$B$5:$B$868,J$4,'Policy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c>
      <x:c r="K34" s="94" t="str">
        <x:f>IF(COUNTIFS('Policy Assignments'!$C$5:$C$868,$A34,'Policy Assignments'!$B$5:$B$868,K$4,'Policy Assignments'!$E$5:$E$868,"Hold")&gt;0,"H",IF(COUNTIFS('Policy Assignments'!$C$5:$C$868,$A34,'Policy Assignments'!$B$5:$B$868,K$4,'Policy Assignments'!$E$5:$E$868,"Core")&gt;0,"R",IF(COUNTIFS('Policy Assignments'!$C$5:$C$868,$A34,'Policy Assignments'!$B$5:$B$868,K$4,'Policy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v>H</x:v>
      </x:c>
      <x:c r="L34" s="94" t="str">
        <x:f>IF(COUNTIFS('Policy Assignments'!$C$5:$C$868,$A34,'Policy Assignments'!$B$5:$B$868,L$4,'Policy Assignments'!$E$5:$E$868,"Hold")&gt;0,"H",IF(COUNTIFS('Policy Assignments'!$C$5:$C$868,$A34,'Policy Assignments'!$B$5:$B$868,L$4,'Policy Assignments'!$E$5:$E$868,"Core")&gt;0,"R",IF(COUNTIFS('Policy Assignments'!$C$5:$C$868,$A34,'Policy Assignments'!$B$5:$B$868,L$4,'Policy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c>
      <x:c r="M34" s="94" t="str">
        <x:f>IF(COUNTIFS('Policy Assignments'!$C$5:$C$868,$A34,'Policy Assignments'!$B$5:$B$868,M$4,'Policy Assignments'!$E$5:$E$868,"Hold")&gt;0,"H",IF(COUNTIFS('Policy Assignments'!$C$5:$C$868,$A34,'Policy Assignments'!$B$5:$B$868,M$4,'Policy Assignments'!$E$5:$E$868,"Core")&gt;0,"R",IF(COUNTIFS('Policy Assignments'!$C$5:$C$868,$A34,'Policy Assignments'!$B$5:$B$868,M$4,'Policy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c>
      <x:c r="N34" s="94" t="str">
        <x:f>IF(COUNTIFS('Policy Assignments'!$C$5:$C$868,$A34,'Policy Assignments'!$B$5:$B$868,N$4,'Policy Assignments'!$E$5:$E$868,"Hold")&gt;0,"H",IF(COUNTIFS('Policy Assignments'!$C$5:$C$868,$A34,'Policy Assignments'!$B$5:$B$868,N$4,'Policy Assignments'!$E$5:$E$868,"Core")&gt;0,"R",IF(COUNTIFS('Policy Assignments'!$C$5:$C$868,$A34,'Policy Assignments'!$B$5:$B$868,N$4,'Policy Assignments'!$E$5:$E$868,"Conditional")&gt;0,"C",IF(COUNTIFS('Policy Assignments'!$C$5:$C$868,$A34,'Policy Assignments'!$B$5:$B$868,"General",'Policy Assignments'!$E$5:$E$868,"Hold")&gt;0,"H",IF(COUNTIFS('Policy Assignments'!$C$5:$C$868,$A34,'Policy Assignments'!$B$5:$B$868,"General",'Policy Assignments'!$E$5:$E$868,"Conditional")&gt;0,"C",IF(COUNTIFS('Policy Assignments'!$C$5:$C$868,$A34,'Policy Assignments'!$B$5:$B$868,"General")&gt;0,"G",""))))))</x:f>
        <x:v>H</x:v>
      </x:c>
      <x:c r="O34" s="94" t="str">
        <x:f>IF(COUNTIFS('Policy Assignments'!$C$5:$C$868,$A34,'Policy Assignments'!$B$5:$B$868,O$4,'Policy Assignments'!$E$5:$E$868,"Hold")&gt;0,"H",IF(COUNTIFS('Policy Assignments'!$C$5:$C$868,$A34,'Policy Assignments'!$B$5:$B$868,O$4,'Policy Assignments'!$E$5:$E$868,"Core")&gt;0,"R",IF(COUNTIFS('Policy Assignments'!$C$5:$C$868,$A34,'Policy Assignments'!$B$5:$B$868,O$4,'Policy Assignments'!$E$5:$E$868,"Conditional")&gt;0,"C","")))</x:f>
      </x:c>
      <x:c r="P34" s="90" t="str">
        <x:v>Hold/correction required</x:v>
      </x:c>
    </x:row>
    <x:row r="35" ht="22" customHeight="1">
      <x:c r="A35" s="90" t="str">
        <x:v>CL-OA-009</x:v>
      </x:c>
      <x:c r="B35" s="90" t="str">
        <x:v>Point-in-Time Assessment at Start of Care</x:v>
      </x:c>
      <x:c r="C35" s="94" t="str">
        <x:f>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c>
      <x:c r="D35" s="94" t="str">
        <x:f>IF(COUNTIFS('Policy Assignments'!$C$5:$C$868,$A35,'Policy Assignments'!$B$5:$B$868,D$4,'Policy Assignments'!$E$5:$E$868,"Hold")&gt;0,"H",IF(COUNTIFS('Policy Assignments'!$C$5:$C$868,$A35,'Policy Assignments'!$B$5:$B$868,D$4,'Policy Assignments'!$E$5:$E$868,"Core")&gt;0,"R",IF(COUNTIFS('Policy Assignments'!$C$5:$C$868,$A35,'Policy Assignments'!$B$5:$B$868,D$4,'Policy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c>
      <x:c r="E35" s="94" t="str">
        <x:f>IF(COUNTIFS('Policy Assignments'!$C$5:$C$868,$A35,'Policy Assignments'!$B$5:$B$868,E$4,'Policy Assignments'!$E$5:$E$868,"Hold")&gt;0,"H",IF(COUNTIFS('Policy Assignments'!$C$5:$C$868,$A35,'Policy Assignments'!$B$5:$B$868,E$4,'Policy Assignments'!$E$5:$E$868,"Core")&gt;0,"R",IF(COUNTIFS('Policy Assignments'!$C$5:$C$868,$A35,'Policy Assignments'!$B$5:$B$868,E$4,'Policy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v>H</x:v>
      </x:c>
      <x:c r="F35" s="94" t="str">
        <x:f>IF(COUNTIFS('Policy Assignments'!$C$5:$C$868,$A35,'Policy Assignments'!$B$5:$B$868,F$4,'Policy Assignments'!$E$5:$E$868,"Hold")&gt;0,"H",IF(COUNTIFS('Policy Assignments'!$C$5:$C$868,$A35,'Policy Assignments'!$B$5:$B$868,F$4,'Policy Assignments'!$E$5:$E$868,"Core")&gt;0,"R",IF(COUNTIFS('Policy Assignments'!$C$5:$C$868,$A35,'Policy Assignments'!$B$5:$B$868,F$4,'Policy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c>
      <x:c r="G35" s="94" t="str">
        <x:f>IF(COUNTIFS('Policy Assignments'!$C$5:$C$868,$A35,'Policy Assignments'!$B$5:$B$868,G$4,'Policy Assignments'!$E$5:$E$868,"Hold")&gt;0,"H",IF(COUNTIFS('Policy Assignments'!$C$5:$C$868,$A35,'Policy Assignments'!$B$5:$B$868,G$4,'Policy Assignments'!$E$5:$E$868,"Core")&gt;0,"R",IF(COUNTIFS('Policy Assignments'!$C$5:$C$868,$A35,'Policy Assignments'!$B$5:$B$868,G$4,'Policy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v>H</x:v>
      </x:c>
      <x:c r="H35" s="94" t="str">
        <x:f>IF(COUNTIFS('Policy Assignments'!$C$5:$C$868,$A35,'Policy Assignments'!$B$5:$B$868,H$4,'Policy Assignments'!$E$5:$E$868,"Hold")&gt;0,"H",IF(COUNTIFS('Policy Assignments'!$C$5:$C$868,$A35,'Policy Assignments'!$B$5:$B$868,H$4,'Policy Assignments'!$E$5:$E$868,"Core")&gt;0,"R",IF(COUNTIFS('Policy Assignments'!$C$5:$C$868,$A35,'Policy Assignments'!$B$5:$B$868,H$4,'Policy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c>
      <x:c r="I35" s="94" t="str">
        <x:f>IF(COUNTIFS('Policy Assignments'!$C$5:$C$868,$A35,'Policy Assignments'!$B$5:$B$868,I$4,'Policy Assignments'!$E$5:$E$868,"Hold")&gt;0,"H",IF(COUNTIFS('Policy Assignments'!$C$5:$C$868,$A35,'Policy Assignments'!$B$5:$B$868,I$4,'Policy Assignments'!$E$5:$E$868,"Core")&gt;0,"R",IF(COUNTIFS('Policy Assignments'!$C$5:$C$868,$A35,'Policy Assignments'!$B$5:$B$868,I$4,'Policy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v>H</x:v>
      </x:c>
      <x:c r="J35" s="94" t="str">
        <x:f>IF(COUNTIFS('Policy Assignments'!$C$5:$C$868,$A35,'Policy Assignments'!$B$5:$B$868,J$4,'Policy Assignments'!$E$5:$E$868,"Hold")&gt;0,"H",IF(COUNTIFS('Policy Assignments'!$C$5:$C$868,$A35,'Policy Assignments'!$B$5:$B$868,J$4,'Policy Assignments'!$E$5:$E$868,"Core")&gt;0,"R",IF(COUNTIFS('Policy Assignments'!$C$5:$C$868,$A35,'Policy Assignments'!$B$5:$B$868,J$4,'Policy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c>
      <x:c r="K35" s="94" t="str">
        <x:f>IF(COUNTIFS('Policy Assignments'!$C$5:$C$868,$A35,'Policy Assignments'!$B$5:$B$868,K$4,'Policy Assignments'!$E$5:$E$868,"Hold")&gt;0,"H",IF(COUNTIFS('Policy Assignments'!$C$5:$C$868,$A35,'Policy Assignments'!$B$5:$B$868,K$4,'Policy Assignments'!$E$5:$E$868,"Core")&gt;0,"R",IF(COUNTIFS('Policy Assignments'!$C$5:$C$868,$A35,'Policy Assignments'!$B$5:$B$868,K$4,'Policy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v>H</x:v>
      </x:c>
      <x:c r="L35" s="94" t="str">
        <x:f>IF(COUNTIFS('Policy Assignments'!$C$5:$C$868,$A35,'Policy Assignments'!$B$5:$B$868,L$4,'Policy Assignments'!$E$5:$E$868,"Hold")&gt;0,"H",IF(COUNTIFS('Policy Assignments'!$C$5:$C$868,$A35,'Policy Assignments'!$B$5:$B$868,L$4,'Policy Assignments'!$E$5:$E$868,"Core")&gt;0,"R",IF(COUNTIFS('Policy Assignments'!$C$5:$C$868,$A35,'Policy Assignments'!$B$5:$B$868,L$4,'Policy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c>
      <x:c r="M35" s="94" t="str">
        <x:f>IF(COUNTIFS('Policy Assignments'!$C$5:$C$868,$A35,'Policy Assignments'!$B$5:$B$868,M$4,'Policy Assignments'!$E$5:$E$868,"Hold")&gt;0,"H",IF(COUNTIFS('Policy Assignments'!$C$5:$C$868,$A35,'Policy Assignments'!$B$5:$B$868,M$4,'Policy Assignments'!$E$5:$E$868,"Core")&gt;0,"R",IF(COUNTIFS('Policy Assignments'!$C$5:$C$868,$A35,'Policy Assignments'!$B$5:$B$868,M$4,'Policy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c>
      <x:c r="N35" s="94" t="str">
        <x:f>IF(COUNTIFS('Policy Assignments'!$C$5:$C$868,$A35,'Policy Assignments'!$B$5:$B$868,N$4,'Policy Assignments'!$E$5:$E$868,"Hold")&gt;0,"H",IF(COUNTIFS('Policy Assignments'!$C$5:$C$868,$A35,'Policy Assignments'!$B$5:$B$868,N$4,'Policy Assignments'!$E$5:$E$868,"Core")&gt;0,"R",IF(COUNTIFS('Policy Assignments'!$C$5:$C$868,$A35,'Policy Assignments'!$B$5:$B$868,N$4,'Policy Assignments'!$E$5:$E$868,"Conditional")&gt;0,"C",IF(COUNTIFS('Policy Assignments'!$C$5:$C$868,$A35,'Policy Assignments'!$B$5:$B$868,"General",'Policy Assignments'!$E$5:$E$868,"Hold")&gt;0,"H",IF(COUNTIFS('Policy Assignments'!$C$5:$C$868,$A35,'Policy Assignments'!$B$5:$B$868,"General",'Policy Assignments'!$E$5:$E$868,"Conditional")&gt;0,"C",IF(COUNTIFS('Policy Assignments'!$C$5:$C$868,$A35,'Policy Assignments'!$B$5:$B$868,"General")&gt;0,"G",""))))))</x:f>
        <x:v>H</x:v>
      </x:c>
      <x:c r="O35" s="94" t="str">
        <x:f>IF(COUNTIFS('Policy Assignments'!$C$5:$C$868,$A35,'Policy Assignments'!$B$5:$B$868,O$4,'Policy Assignments'!$E$5:$E$868,"Hold")&gt;0,"H",IF(COUNTIFS('Policy Assignments'!$C$5:$C$868,$A35,'Policy Assignments'!$B$5:$B$868,O$4,'Policy Assignments'!$E$5:$E$868,"Core")&gt;0,"R",IF(COUNTIFS('Policy Assignments'!$C$5:$C$868,$A35,'Policy Assignments'!$B$5:$B$868,O$4,'Policy Assignments'!$E$5:$E$868,"Conditional")&gt;0,"C","")))</x:f>
      </x:c>
      <x:c r="P35" s="90" t="str">
        <x:v>Hold/correction required</x:v>
      </x:c>
    </x:row>
    <x:row r="36" ht="22" customHeight="1">
      <x:c r="A36" s="90" t="str">
        <x:v>CL-OA-010</x:v>
      </x:c>
      <x:c r="B36" s="90" t="str">
        <x:v>CMS Look-Back Period Compliance for Assessment Items</x:v>
      </x:c>
      <x:c r="C36" s="94" t="str">
        <x:f>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c>
      <x:c r="D36" s="94" t="str">
        <x:f>IF(COUNTIFS('Policy Assignments'!$C$5:$C$868,$A36,'Policy Assignments'!$B$5:$B$868,D$4,'Policy Assignments'!$E$5:$E$868,"Hold")&gt;0,"H",IF(COUNTIFS('Policy Assignments'!$C$5:$C$868,$A36,'Policy Assignments'!$B$5:$B$868,D$4,'Policy Assignments'!$E$5:$E$868,"Core")&gt;0,"R",IF(COUNTIFS('Policy Assignments'!$C$5:$C$868,$A36,'Policy Assignments'!$B$5:$B$868,D$4,'Policy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c>
      <x:c r="E36" s="94" t="str">
        <x:f>IF(COUNTIFS('Policy Assignments'!$C$5:$C$868,$A36,'Policy Assignments'!$B$5:$B$868,E$4,'Policy Assignments'!$E$5:$E$868,"Hold")&gt;0,"H",IF(COUNTIFS('Policy Assignments'!$C$5:$C$868,$A36,'Policy Assignments'!$B$5:$B$868,E$4,'Policy Assignments'!$E$5:$E$868,"Core")&gt;0,"R",IF(COUNTIFS('Policy Assignments'!$C$5:$C$868,$A36,'Policy Assignments'!$B$5:$B$868,E$4,'Policy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v>H</x:v>
      </x:c>
      <x:c r="F36" s="94" t="str">
        <x:f>IF(COUNTIFS('Policy Assignments'!$C$5:$C$868,$A36,'Policy Assignments'!$B$5:$B$868,F$4,'Policy Assignments'!$E$5:$E$868,"Hold")&gt;0,"H",IF(COUNTIFS('Policy Assignments'!$C$5:$C$868,$A36,'Policy Assignments'!$B$5:$B$868,F$4,'Policy Assignments'!$E$5:$E$868,"Core")&gt;0,"R",IF(COUNTIFS('Policy Assignments'!$C$5:$C$868,$A36,'Policy Assignments'!$B$5:$B$868,F$4,'Policy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c>
      <x:c r="G36" s="94" t="str">
        <x:f>IF(COUNTIFS('Policy Assignments'!$C$5:$C$868,$A36,'Policy Assignments'!$B$5:$B$868,G$4,'Policy Assignments'!$E$5:$E$868,"Hold")&gt;0,"H",IF(COUNTIFS('Policy Assignments'!$C$5:$C$868,$A36,'Policy Assignments'!$B$5:$B$868,G$4,'Policy Assignments'!$E$5:$E$868,"Core")&gt;0,"R",IF(COUNTIFS('Policy Assignments'!$C$5:$C$868,$A36,'Policy Assignments'!$B$5:$B$868,G$4,'Policy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v>H</x:v>
      </x:c>
      <x:c r="H36" s="94" t="str">
        <x:f>IF(COUNTIFS('Policy Assignments'!$C$5:$C$868,$A36,'Policy Assignments'!$B$5:$B$868,H$4,'Policy Assignments'!$E$5:$E$868,"Hold")&gt;0,"H",IF(COUNTIFS('Policy Assignments'!$C$5:$C$868,$A36,'Policy Assignments'!$B$5:$B$868,H$4,'Policy Assignments'!$E$5:$E$868,"Core")&gt;0,"R",IF(COUNTIFS('Policy Assignments'!$C$5:$C$868,$A36,'Policy Assignments'!$B$5:$B$868,H$4,'Policy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c>
      <x:c r="I36" s="94" t="str">
        <x:f>IF(COUNTIFS('Policy Assignments'!$C$5:$C$868,$A36,'Policy Assignments'!$B$5:$B$868,I$4,'Policy Assignments'!$E$5:$E$868,"Hold")&gt;0,"H",IF(COUNTIFS('Policy Assignments'!$C$5:$C$868,$A36,'Policy Assignments'!$B$5:$B$868,I$4,'Policy Assignments'!$E$5:$E$868,"Core")&gt;0,"R",IF(COUNTIFS('Policy Assignments'!$C$5:$C$868,$A36,'Policy Assignments'!$B$5:$B$868,I$4,'Policy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v>H</x:v>
      </x:c>
      <x:c r="J36" s="94" t="str">
        <x:f>IF(COUNTIFS('Policy Assignments'!$C$5:$C$868,$A36,'Policy Assignments'!$B$5:$B$868,J$4,'Policy Assignments'!$E$5:$E$868,"Hold")&gt;0,"H",IF(COUNTIFS('Policy Assignments'!$C$5:$C$868,$A36,'Policy Assignments'!$B$5:$B$868,J$4,'Policy Assignments'!$E$5:$E$868,"Core")&gt;0,"R",IF(COUNTIFS('Policy Assignments'!$C$5:$C$868,$A36,'Policy Assignments'!$B$5:$B$868,J$4,'Policy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c>
      <x:c r="K36" s="94" t="str">
        <x:f>IF(COUNTIFS('Policy Assignments'!$C$5:$C$868,$A36,'Policy Assignments'!$B$5:$B$868,K$4,'Policy Assignments'!$E$5:$E$868,"Hold")&gt;0,"H",IF(COUNTIFS('Policy Assignments'!$C$5:$C$868,$A36,'Policy Assignments'!$B$5:$B$868,K$4,'Policy Assignments'!$E$5:$E$868,"Core")&gt;0,"R",IF(COUNTIFS('Policy Assignments'!$C$5:$C$868,$A36,'Policy Assignments'!$B$5:$B$868,K$4,'Policy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v>H</x:v>
      </x:c>
      <x:c r="L36" s="94" t="str">
        <x:f>IF(COUNTIFS('Policy Assignments'!$C$5:$C$868,$A36,'Policy Assignments'!$B$5:$B$868,L$4,'Policy Assignments'!$E$5:$E$868,"Hold")&gt;0,"H",IF(COUNTIFS('Policy Assignments'!$C$5:$C$868,$A36,'Policy Assignments'!$B$5:$B$868,L$4,'Policy Assignments'!$E$5:$E$868,"Core")&gt;0,"R",IF(COUNTIFS('Policy Assignments'!$C$5:$C$868,$A36,'Policy Assignments'!$B$5:$B$868,L$4,'Policy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c>
      <x:c r="M36" s="94" t="str">
        <x:f>IF(COUNTIFS('Policy Assignments'!$C$5:$C$868,$A36,'Policy Assignments'!$B$5:$B$868,M$4,'Policy Assignments'!$E$5:$E$868,"Hold")&gt;0,"H",IF(COUNTIFS('Policy Assignments'!$C$5:$C$868,$A36,'Policy Assignments'!$B$5:$B$868,M$4,'Policy Assignments'!$E$5:$E$868,"Core")&gt;0,"R",IF(COUNTIFS('Policy Assignments'!$C$5:$C$868,$A36,'Policy Assignments'!$B$5:$B$868,M$4,'Policy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c>
      <x:c r="N36" s="94" t="str">
        <x:f>IF(COUNTIFS('Policy Assignments'!$C$5:$C$868,$A36,'Policy Assignments'!$B$5:$B$868,N$4,'Policy Assignments'!$E$5:$E$868,"Hold")&gt;0,"H",IF(COUNTIFS('Policy Assignments'!$C$5:$C$868,$A36,'Policy Assignments'!$B$5:$B$868,N$4,'Policy Assignments'!$E$5:$E$868,"Core")&gt;0,"R",IF(COUNTIFS('Policy Assignments'!$C$5:$C$868,$A36,'Policy Assignments'!$B$5:$B$868,N$4,'Policy Assignments'!$E$5:$E$868,"Conditional")&gt;0,"C",IF(COUNTIFS('Policy Assignments'!$C$5:$C$868,$A36,'Policy Assignments'!$B$5:$B$868,"General",'Policy Assignments'!$E$5:$E$868,"Hold")&gt;0,"H",IF(COUNTIFS('Policy Assignments'!$C$5:$C$868,$A36,'Policy Assignments'!$B$5:$B$868,"General",'Policy Assignments'!$E$5:$E$868,"Conditional")&gt;0,"C",IF(COUNTIFS('Policy Assignments'!$C$5:$C$868,$A36,'Policy Assignments'!$B$5:$B$868,"General")&gt;0,"G",""))))))</x:f>
        <x:v>H</x:v>
      </x:c>
      <x:c r="O36" s="94" t="str">
        <x:f>IF(COUNTIFS('Policy Assignments'!$C$5:$C$868,$A36,'Policy Assignments'!$B$5:$B$868,O$4,'Policy Assignments'!$E$5:$E$868,"Hold")&gt;0,"H",IF(COUNTIFS('Policy Assignments'!$C$5:$C$868,$A36,'Policy Assignments'!$B$5:$B$868,O$4,'Policy Assignments'!$E$5:$E$868,"Core")&gt;0,"R",IF(COUNTIFS('Policy Assignments'!$C$5:$C$868,$A36,'Policy Assignments'!$B$5:$B$868,O$4,'Policy Assignments'!$E$5:$E$868,"Conditional")&gt;0,"C","")))</x:f>
      </x:c>
      <x:c r="P36" s="90" t="str">
        <x:v>Hold/correction required</x:v>
      </x:c>
    </x:row>
    <x:row r="37" ht="22" customHeight="1">
      <x:c r="A37" s="90" t="str">
        <x:v>CL-OA-011</x:v>
      </x:c>
      <x:c r="B37" s="90" t="str">
        <x:v>Standardized Assessment Tool Administration and Validity</x:v>
      </x:c>
      <x:c r="C37" s="94" t="str">
        <x:f>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c>
      <x:c r="D37" s="94" t="str">
        <x:f>IF(COUNTIFS('Policy Assignments'!$C$5:$C$868,$A37,'Policy Assignments'!$B$5:$B$868,D$4,'Policy Assignments'!$E$5:$E$868,"Hold")&gt;0,"H",IF(COUNTIFS('Policy Assignments'!$C$5:$C$868,$A37,'Policy Assignments'!$B$5:$B$868,D$4,'Policy Assignments'!$E$5:$E$868,"Core")&gt;0,"R",IF(COUNTIFS('Policy Assignments'!$C$5:$C$868,$A37,'Policy Assignments'!$B$5:$B$868,D$4,'Policy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c>
      <x:c r="E37" s="94" t="str">
        <x:f>IF(COUNTIFS('Policy Assignments'!$C$5:$C$868,$A37,'Policy Assignments'!$B$5:$B$868,E$4,'Policy Assignments'!$E$5:$E$868,"Hold")&gt;0,"H",IF(COUNTIFS('Policy Assignments'!$C$5:$C$868,$A37,'Policy Assignments'!$B$5:$B$868,E$4,'Policy Assignments'!$E$5:$E$868,"Core")&gt;0,"R",IF(COUNTIFS('Policy Assignments'!$C$5:$C$868,$A37,'Policy Assignments'!$B$5:$B$868,E$4,'Policy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v>H</x:v>
      </x:c>
      <x:c r="F37" s="94" t="str">
        <x:f>IF(COUNTIFS('Policy Assignments'!$C$5:$C$868,$A37,'Policy Assignments'!$B$5:$B$868,F$4,'Policy Assignments'!$E$5:$E$868,"Hold")&gt;0,"H",IF(COUNTIFS('Policy Assignments'!$C$5:$C$868,$A37,'Policy Assignments'!$B$5:$B$868,F$4,'Policy Assignments'!$E$5:$E$868,"Core")&gt;0,"R",IF(COUNTIFS('Policy Assignments'!$C$5:$C$868,$A37,'Policy Assignments'!$B$5:$B$868,F$4,'Policy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c>
      <x:c r="G37" s="94" t="str">
        <x:f>IF(COUNTIFS('Policy Assignments'!$C$5:$C$868,$A37,'Policy Assignments'!$B$5:$B$868,G$4,'Policy Assignments'!$E$5:$E$868,"Hold")&gt;0,"H",IF(COUNTIFS('Policy Assignments'!$C$5:$C$868,$A37,'Policy Assignments'!$B$5:$B$868,G$4,'Policy Assignments'!$E$5:$E$868,"Core")&gt;0,"R",IF(COUNTIFS('Policy Assignments'!$C$5:$C$868,$A37,'Policy Assignments'!$B$5:$B$868,G$4,'Policy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v>H</x:v>
      </x:c>
      <x:c r="H37" s="94" t="str">
        <x:f>IF(COUNTIFS('Policy Assignments'!$C$5:$C$868,$A37,'Policy Assignments'!$B$5:$B$868,H$4,'Policy Assignments'!$E$5:$E$868,"Hold")&gt;0,"H",IF(COUNTIFS('Policy Assignments'!$C$5:$C$868,$A37,'Policy Assignments'!$B$5:$B$868,H$4,'Policy Assignments'!$E$5:$E$868,"Core")&gt;0,"R",IF(COUNTIFS('Policy Assignments'!$C$5:$C$868,$A37,'Policy Assignments'!$B$5:$B$868,H$4,'Policy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c>
      <x:c r="I37" s="94" t="str">
        <x:f>IF(COUNTIFS('Policy Assignments'!$C$5:$C$868,$A37,'Policy Assignments'!$B$5:$B$868,I$4,'Policy Assignments'!$E$5:$E$868,"Hold")&gt;0,"H",IF(COUNTIFS('Policy Assignments'!$C$5:$C$868,$A37,'Policy Assignments'!$B$5:$B$868,I$4,'Policy Assignments'!$E$5:$E$868,"Core")&gt;0,"R",IF(COUNTIFS('Policy Assignments'!$C$5:$C$868,$A37,'Policy Assignments'!$B$5:$B$868,I$4,'Policy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v>H</x:v>
      </x:c>
      <x:c r="J37" s="94" t="str">
        <x:f>IF(COUNTIFS('Policy Assignments'!$C$5:$C$868,$A37,'Policy Assignments'!$B$5:$B$868,J$4,'Policy Assignments'!$E$5:$E$868,"Hold")&gt;0,"H",IF(COUNTIFS('Policy Assignments'!$C$5:$C$868,$A37,'Policy Assignments'!$B$5:$B$868,J$4,'Policy Assignments'!$E$5:$E$868,"Core")&gt;0,"R",IF(COUNTIFS('Policy Assignments'!$C$5:$C$868,$A37,'Policy Assignments'!$B$5:$B$868,J$4,'Policy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c>
      <x:c r="K37" s="94" t="str">
        <x:f>IF(COUNTIFS('Policy Assignments'!$C$5:$C$868,$A37,'Policy Assignments'!$B$5:$B$868,K$4,'Policy Assignments'!$E$5:$E$868,"Hold")&gt;0,"H",IF(COUNTIFS('Policy Assignments'!$C$5:$C$868,$A37,'Policy Assignments'!$B$5:$B$868,K$4,'Policy Assignments'!$E$5:$E$868,"Core")&gt;0,"R",IF(COUNTIFS('Policy Assignments'!$C$5:$C$868,$A37,'Policy Assignments'!$B$5:$B$868,K$4,'Policy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v>H</x:v>
      </x:c>
      <x:c r="L37" s="94" t="str">
        <x:f>IF(COUNTIFS('Policy Assignments'!$C$5:$C$868,$A37,'Policy Assignments'!$B$5:$B$868,L$4,'Policy Assignments'!$E$5:$E$868,"Hold")&gt;0,"H",IF(COUNTIFS('Policy Assignments'!$C$5:$C$868,$A37,'Policy Assignments'!$B$5:$B$868,L$4,'Policy Assignments'!$E$5:$E$868,"Core")&gt;0,"R",IF(COUNTIFS('Policy Assignments'!$C$5:$C$868,$A37,'Policy Assignments'!$B$5:$B$868,L$4,'Policy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c>
      <x:c r="M37" s="94" t="str">
        <x:f>IF(COUNTIFS('Policy Assignments'!$C$5:$C$868,$A37,'Policy Assignments'!$B$5:$B$868,M$4,'Policy Assignments'!$E$5:$E$868,"Hold")&gt;0,"H",IF(COUNTIFS('Policy Assignments'!$C$5:$C$868,$A37,'Policy Assignments'!$B$5:$B$868,M$4,'Policy Assignments'!$E$5:$E$868,"Core")&gt;0,"R",IF(COUNTIFS('Policy Assignments'!$C$5:$C$868,$A37,'Policy Assignments'!$B$5:$B$868,M$4,'Policy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c>
      <x:c r="N37" s="94" t="str">
        <x:f>IF(COUNTIFS('Policy Assignments'!$C$5:$C$868,$A37,'Policy Assignments'!$B$5:$B$868,N$4,'Policy Assignments'!$E$5:$E$868,"Hold")&gt;0,"H",IF(COUNTIFS('Policy Assignments'!$C$5:$C$868,$A37,'Policy Assignments'!$B$5:$B$868,N$4,'Policy Assignments'!$E$5:$E$868,"Core")&gt;0,"R",IF(COUNTIFS('Policy Assignments'!$C$5:$C$868,$A37,'Policy Assignments'!$B$5:$B$868,N$4,'Policy Assignments'!$E$5:$E$868,"Conditional")&gt;0,"C",IF(COUNTIFS('Policy Assignments'!$C$5:$C$868,$A37,'Policy Assignments'!$B$5:$B$868,"General",'Policy Assignments'!$E$5:$E$868,"Hold")&gt;0,"H",IF(COUNTIFS('Policy Assignments'!$C$5:$C$868,$A37,'Policy Assignments'!$B$5:$B$868,"General",'Policy Assignments'!$E$5:$E$868,"Conditional")&gt;0,"C",IF(COUNTIFS('Policy Assignments'!$C$5:$C$868,$A37,'Policy Assignments'!$B$5:$B$868,"General")&gt;0,"G",""))))))</x:f>
        <x:v>H</x:v>
      </x:c>
      <x:c r="O37" s="94" t="str">
        <x:f>IF(COUNTIFS('Policy Assignments'!$C$5:$C$868,$A37,'Policy Assignments'!$B$5:$B$868,O$4,'Policy Assignments'!$E$5:$E$868,"Hold")&gt;0,"H",IF(COUNTIFS('Policy Assignments'!$C$5:$C$868,$A37,'Policy Assignments'!$B$5:$B$868,O$4,'Policy Assignments'!$E$5:$E$868,"Core")&gt;0,"R",IF(COUNTIFS('Policy Assignments'!$C$5:$C$868,$A37,'Policy Assignments'!$B$5:$B$868,O$4,'Policy Assignments'!$E$5:$E$868,"Conditional")&gt;0,"C","")))</x:f>
      </x:c>
      <x:c r="P37" s="90" t="str">
        <x:v>Hold/correction required</x:v>
      </x:c>
    </x:row>
    <x:row r="38" ht="22" customHeight="1">
      <x:c r="A38" s="90" t="str">
        <x:v>CL-OA-012</x:v>
      </x:c>
      <x:c r="B38" s="90" t="str">
        <x:v>Clinical Reasoning Documentation for Coding Decisions</x:v>
      </x:c>
      <x:c r="C38" s="94" t="str">
        <x:f>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c>
      <x:c r="D38" s="94" t="str">
        <x:f>IF(COUNTIFS('Policy Assignments'!$C$5:$C$868,$A38,'Policy Assignments'!$B$5:$B$868,D$4,'Policy Assignments'!$E$5:$E$868,"Hold")&gt;0,"H",IF(COUNTIFS('Policy Assignments'!$C$5:$C$868,$A38,'Policy Assignments'!$B$5:$B$868,D$4,'Policy Assignments'!$E$5:$E$868,"Core")&gt;0,"R",IF(COUNTIFS('Policy Assignments'!$C$5:$C$868,$A38,'Policy Assignments'!$B$5:$B$868,D$4,'Policy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c>
      <x:c r="E38" s="94" t="str">
        <x:f>IF(COUNTIFS('Policy Assignments'!$C$5:$C$868,$A38,'Policy Assignments'!$B$5:$B$868,E$4,'Policy Assignments'!$E$5:$E$868,"Hold")&gt;0,"H",IF(COUNTIFS('Policy Assignments'!$C$5:$C$868,$A38,'Policy Assignments'!$B$5:$B$868,E$4,'Policy Assignments'!$E$5:$E$868,"Core")&gt;0,"R",IF(COUNTIFS('Policy Assignments'!$C$5:$C$868,$A38,'Policy Assignments'!$B$5:$B$868,E$4,'Policy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v>H</x:v>
      </x:c>
      <x:c r="F38" s="94" t="str">
        <x:f>IF(COUNTIFS('Policy Assignments'!$C$5:$C$868,$A38,'Policy Assignments'!$B$5:$B$868,F$4,'Policy Assignments'!$E$5:$E$868,"Hold")&gt;0,"H",IF(COUNTIFS('Policy Assignments'!$C$5:$C$868,$A38,'Policy Assignments'!$B$5:$B$868,F$4,'Policy Assignments'!$E$5:$E$868,"Core")&gt;0,"R",IF(COUNTIFS('Policy Assignments'!$C$5:$C$868,$A38,'Policy Assignments'!$B$5:$B$868,F$4,'Policy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c>
      <x:c r="G38" s="94" t="str">
        <x:f>IF(COUNTIFS('Policy Assignments'!$C$5:$C$868,$A38,'Policy Assignments'!$B$5:$B$868,G$4,'Policy Assignments'!$E$5:$E$868,"Hold")&gt;0,"H",IF(COUNTIFS('Policy Assignments'!$C$5:$C$868,$A38,'Policy Assignments'!$B$5:$B$868,G$4,'Policy Assignments'!$E$5:$E$868,"Core")&gt;0,"R",IF(COUNTIFS('Policy Assignments'!$C$5:$C$868,$A38,'Policy Assignments'!$B$5:$B$868,G$4,'Policy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v>H</x:v>
      </x:c>
      <x:c r="H38" s="94" t="str">
        <x:f>IF(COUNTIFS('Policy Assignments'!$C$5:$C$868,$A38,'Policy Assignments'!$B$5:$B$868,H$4,'Policy Assignments'!$E$5:$E$868,"Hold")&gt;0,"H",IF(COUNTIFS('Policy Assignments'!$C$5:$C$868,$A38,'Policy Assignments'!$B$5:$B$868,H$4,'Policy Assignments'!$E$5:$E$868,"Core")&gt;0,"R",IF(COUNTIFS('Policy Assignments'!$C$5:$C$868,$A38,'Policy Assignments'!$B$5:$B$868,H$4,'Policy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c>
      <x:c r="I38" s="94" t="str">
        <x:f>IF(COUNTIFS('Policy Assignments'!$C$5:$C$868,$A38,'Policy Assignments'!$B$5:$B$868,I$4,'Policy Assignments'!$E$5:$E$868,"Hold")&gt;0,"H",IF(COUNTIFS('Policy Assignments'!$C$5:$C$868,$A38,'Policy Assignments'!$B$5:$B$868,I$4,'Policy Assignments'!$E$5:$E$868,"Core")&gt;0,"R",IF(COUNTIFS('Policy Assignments'!$C$5:$C$868,$A38,'Policy Assignments'!$B$5:$B$868,I$4,'Policy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v>H</x:v>
      </x:c>
      <x:c r="J38" s="94" t="str">
        <x:f>IF(COUNTIFS('Policy Assignments'!$C$5:$C$868,$A38,'Policy Assignments'!$B$5:$B$868,J$4,'Policy Assignments'!$E$5:$E$868,"Hold")&gt;0,"H",IF(COUNTIFS('Policy Assignments'!$C$5:$C$868,$A38,'Policy Assignments'!$B$5:$B$868,J$4,'Policy Assignments'!$E$5:$E$868,"Core")&gt;0,"R",IF(COUNTIFS('Policy Assignments'!$C$5:$C$868,$A38,'Policy Assignments'!$B$5:$B$868,J$4,'Policy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c>
      <x:c r="K38" s="94" t="str">
        <x:f>IF(COUNTIFS('Policy Assignments'!$C$5:$C$868,$A38,'Policy Assignments'!$B$5:$B$868,K$4,'Policy Assignments'!$E$5:$E$868,"Hold")&gt;0,"H",IF(COUNTIFS('Policy Assignments'!$C$5:$C$868,$A38,'Policy Assignments'!$B$5:$B$868,K$4,'Policy Assignments'!$E$5:$E$868,"Core")&gt;0,"R",IF(COUNTIFS('Policy Assignments'!$C$5:$C$868,$A38,'Policy Assignments'!$B$5:$B$868,K$4,'Policy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v>H</x:v>
      </x:c>
      <x:c r="L38" s="94" t="str">
        <x:f>IF(COUNTIFS('Policy Assignments'!$C$5:$C$868,$A38,'Policy Assignments'!$B$5:$B$868,L$4,'Policy Assignments'!$E$5:$E$868,"Hold")&gt;0,"H",IF(COUNTIFS('Policy Assignments'!$C$5:$C$868,$A38,'Policy Assignments'!$B$5:$B$868,L$4,'Policy Assignments'!$E$5:$E$868,"Core")&gt;0,"R",IF(COUNTIFS('Policy Assignments'!$C$5:$C$868,$A38,'Policy Assignments'!$B$5:$B$868,L$4,'Policy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c>
      <x:c r="M38" s="94" t="str">
        <x:f>IF(COUNTIFS('Policy Assignments'!$C$5:$C$868,$A38,'Policy Assignments'!$B$5:$B$868,M$4,'Policy Assignments'!$E$5:$E$868,"Hold")&gt;0,"H",IF(COUNTIFS('Policy Assignments'!$C$5:$C$868,$A38,'Policy Assignments'!$B$5:$B$868,M$4,'Policy Assignments'!$E$5:$E$868,"Core")&gt;0,"R",IF(COUNTIFS('Policy Assignments'!$C$5:$C$868,$A38,'Policy Assignments'!$B$5:$B$868,M$4,'Policy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c>
      <x:c r="N38" s="94" t="str">
        <x:f>IF(COUNTIFS('Policy Assignments'!$C$5:$C$868,$A38,'Policy Assignments'!$B$5:$B$868,N$4,'Policy Assignments'!$E$5:$E$868,"Hold")&gt;0,"H",IF(COUNTIFS('Policy Assignments'!$C$5:$C$868,$A38,'Policy Assignments'!$B$5:$B$868,N$4,'Policy Assignments'!$E$5:$E$868,"Core")&gt;0,"R",IF(COUNTIFS('Policy Assignments'!$C$5:$C$868,$A38,'Policy Assignments'!$B$5:$B$868,N$4,'Policy Assignments'!$E$5:$E$868,"Conditional")&gt;0,"C",IF(COUNTIFS('Policy Assignments'!$C$5:$C$868,$A38,'Policy Assignments'!$B$5:$B$868,"General",'Policy Assignments'!$E$5:$E$868,"Hold")&gt;0,"H",IF(COUNTIFS('Policy Assignments'!$C$5:$C$868,$A38,'Policy Assignments'!$B$5:$B$868,"General",'Policy Assignments'!$E$5:$E$868,"Conditional")&gt;0,"C",IF(COUNTIFS('Policy Assignments'!$C$5:$C$868,$A38,'Policy Assignments'!$B$5:$B$868,"General")&gt;0,"G",""))))))</x:f>
        <x:v>H</x:v>
      </x:c>
      <x:c r="O38" s="94" t="str">
        <x:f>IF(COUNTIFS('Policy Assignments'!$C$5:$C$868,$A38,'Policy Assignments'!$B$5:$B$868,O$4,'Policy Assignments'!$E$5:$E$868,"Hold")&gt;0,"H",IF(COUNTIFS('Policy Assignments'!$C$5:$C$868,$A38,'Policy Assignments'!$B$5:$B$868,O$4,'Policy Assignments'!$E$5:$E$868,"Core")&gt;0,"R",IF(COUNTIFS('Policy Assignments'!$C$5:$C$868,$A38,'Policy Assignments'!$B$5:$B$868,O$4,'Policy Assignments'!$E$5:$E$868,"Conditional")&gt;0,"C","")))</x:f>
      </x:c>
      <x:c r="P38" s="90" t="str">
        <x:v>Hold/correction required</x:v>
      </x:c>
    </x:row>
    <x:row r="39" ht="22" customHeight="1">
      <x:c r="A39" s="90" t="str">
        <x:v>CL-OA-013</x:v>
      </x:c>
      <x:c r="B39" s="90" t="str">
        <x:v>Cross-Document Verification Prior to Assessment Finalization</x:v>
      </x:c>
      <x:c r="C39" s="94" t="str">
        <x:f>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c>
      <x:c r="D39" s="94" t="str">
        <x:f>IF(COUNTIFS('Policy Assignments'!$C$5:$C$868,$A39,'Policy Assignments'!$B$5:$B$868,D$4,'Policy Assignments'!$E$5:$E$868,"Hold")&gt;0,"H",IF(COUNTIFS('Policy Assignments'!$C$5:$C$868,$A39,'Policy Assignments'!$B$5:$B$868,D$4,'Policy Assignments'!$E$5:$E$868,"Core")&gt;0,"R",IF(COUNTIFS('Policy Assignments'!$C$5:$C$868,$A39,'Policy Assignments'!$B$5:$B$868,D$4,'Policy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c>
      <x:c r="E39" s="94" t="str">
        <x:f>IF(COUNTIFS('Policy Assignments'!$C$5:$C$868,$A39,'Policy Assignments'!$B$5:$B$868,E$4,'Policy Assignments'!$E$5:$E$868,"Hold")&gt;0,"H",IF(COUNTIFS('Policy Assignments'!$C$5:$C$868,$A39,'Policy Assignments'!$B$5:$B$868,E$4,'Policy Assignments'!$E$5:$E$868,"Core")&gt;0,"R",IF(COUNTIFS('Policy Assignments'!$C$5:$C$868,$A39,'Policy Assignments'!$B$5:$B$868,E$4,'Policy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v>H</x:v>
      </x:c>
      <x:c r="F39" s="94" t="str">
        <x:f>IF(COUNTIFS('Policy Assignments'!$C$5:$C$868,$A39,'Policy Assignments'!$B$5:$B$868,F$4,'Policy Assignments'!$E$5:$E$868,"Hold")&gt;0,"H",IF(COUNTIFS('Policy Assignments'!$C$5:$C$868,$A39,'Policy Assignments'!$B$5:$B$868,F$4,'Policy Assignments'!$E$5:$E$868,"Core")&gt;0,"R",IF(COUNTIFS('Policy Assignments'!$C$5:$C$868,$A39,'Policy Assignments'!$B$5:$B$868,F$4,'Policy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c>
      <x:c r="G39" s="94" t="str">
        <x:f>IF(COUNTIFS('Policy Assignments'!$C$5:$C$868,$A39,'Policy Assignments'!$B$5:$B$868,G$4,'Policy Assignments'!$E$5:$E$868,"Hold")&gt;0,"H",IF(COUNTIFS('Policy Assignments'!$C$5:$C$868,$A39,'Policy Assignments'!$B$5:$B$868,G$4,'Policy Assignments'!$E$5:$E$868,"Core")&gt;0,"R",IF(COUNTIFS('Policy Assignments'!$C$5:$C$868,$A39,'Policy Assignments'!$B$5:$B$868,G$4,'Policy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v>H</x:v>
      </x:c>
      <x:c r="H39" s="94" t="str">
        <x:f>IF(COUNTIFS('Policy Assignments'!$C$5:$C$868,$A39,'Policy Assignments'!$B$5:$B$868,H$4,'Policy Assignments'!$E$5:$E$868,"Hold")&gt;0,"H",IF(COUNTIFS('Policy Assignments'!$C$5:$C$868,$A39,'Policy Assignments'!$B$5:$B$868,H$4,'Policy Assignments'!$E$5:$E$868,"Core")&gt;0,"R",IF(COUNTIFS('Policy Assignments'!$C$5:$C$868,$A39,'Policy Assignments'!$B$5:$B$868,H$4,'Policy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c>
      <x:c r="I39" s="94" t="str">
        <x:f>IF(COUNTIFS('Policy Assignments'!$C$5:$C$868,$A39,'Policy Assignments'!$B$5:$B$868,I$4,'Policy Assignments'!$E$5:$E$868,"Hold")&gt;0,"H",IF(COUNTIFS('Policy Assignments'!$C$5:$C$868,$A39,'Policy Assignments'!$B$5:$B$868,I$4,'Policy Assignments'!$E$5:$E$868,"Core")&gt;0,"R",IF(COUNTIFS('Policy Assignments'!$C$5:$C$868,$A39,'Policy Assignments'!$B$5:$B$868,I$4,'Policy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v>H</x:v>
      </x:c>
      <x:c r="J39" s="94" t="str">
        <x:f>IF(COUNTIFS('Policy Assignments'!$C$5:$C$868,$A39,'Policy Assignments'!$B$5:$B$868,J$4,'Policy Assignments'!$E$5:$E$868,"Hold")&gt;0,"H",IF(COUNTIFS('Policy Assignments'!$C$5:$C$868,$A39,'Policy Assignments'!$B$5:$B$868,J$4,'Policy Assignments'!$E$5:$E$868,"Core")&gt;0,"R",IF(COUNTIFS('Policy Assignments'!$C$5:$C$868,$A39,'Policy Assignments'!$B$5:$B$868,J$4,'Policy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c>
      <x:c r="K39" s="94" t="str">
        <x:f>IF(COUNTIFS('Policy Assignments'!$C$5:$C$868,$A39,'Policy Assignments'!$B$5:$B$868,K$4,'Policy Assignments'!$E$5:$E$868,"Hold")&gt;0,"H",IF(COUNTIFS('Policy Assignments'!$C$5:$C$868,$A39,'Policy Assignments'!$B$5:$B$868,K$4,'Policy Assignments'!$E$5:$E$868,"Core")&gt;0,"R",IF(COUNTIFS('Policy Assignments'!$C$5:$C$868,$A39,'Policy Assignments'!$B$5:$B$868,K$4,'Policy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v>H</x:v>
      </x:c>
      <x:c r="L39" s="94" t="str">
        <x:f>IF(COUNTIFS('Policy Assignments'!$C$5:$C$868,$A39,'Policy Assignments'!$B$5:$B$868,L$4,'Policy Assignments'!$E$5:$E$868,"Hold")&gt;0,"H",IF(COUNTIFS('Policy Assignments'!$C$5:$C$868,$A39,'Policy Assignments'!$B$5:$B$868,L$4,'Policy Assignments'!$E$5:$E$868,"Core")&gt;0,"R",IF(COUNTIFS('Policy Assignments'!$C$5:$C$868,$A39,'Policy Assignments'!$B$5:$B$868,L$4,'Policy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c>
      <x:c r="M39" s="94" t="str">
        <x:f>IF(COUNTIFS('Policy Assignments'!$C$5:$C$868,$A39,'Policy Assignments'!$B$5:$B$868,M$4,'Policy Assignments'!$E$5:$E$868,"Hold")&gt;0,"H",IF(COUNTIFS('Policy Assignments'!$C$5:$C$868,$A39,'Policy Assignments'!$B$5:$B$868,M$4,'Policy Assignments'!$E$5:$E$868,"Core")&gt;0,"R",IF(COUNTIFS('Policy Assignments'!$C$5:$C$868,$A39,'Policy Assignments'!$B$5:$B$868,M$4,'Policy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c>
      <x:c r="N39" s="94" t="str">
        <x:f>IF(COUNTIFS('Policy Assignments'!$C$5:$C$868,$A39,'Policy Assignments'!$B$5:$B$868,N$4,'Policy Assignments'!$E$5:$E$868,"Hold")&gt;0,"H",IF(COUNTIFS('Policy Assignments'!$C$5:$C$868,$A39,'Policy Assignments'!$B$5:$B$868,N$4,'Policy Assignments'!$E$5:$E$868,"Core")&gt;0,"R",IF(COUNTIFS('Policy Assignments'!$C$5:$C$868,$A39,'Policy Assignments'!$B$5:$B$868,N$4,'Policy Assignments'!$E$5:$E$868,"Conditional")&gt;0,"C",IF(COUNTIFS('Policy Assignments'!$C$5:$C$868,$A39,'Policy Assignments'!$B$5:$B$868,"General",'Policy Assignments'!$E$5:$E$868,"Hold")&gt;0,"H",IF(COUNTIFS('Policy Assignments'!$C$5:$C$868,$A39,'Policy Assignments'!$B$5:$B$868,"General",'Policy Assignments'!$E$5:$E$868,"Conditional")&gt;0,"C",IF(COUNTIFS('Policy Assignments'!$C$5:$C$868,$A39,'Policy Assignments'!$B$5:$B$868,"General")&gt;0,"G",""))))))</x:f>
        <x:v>H</x:v>
      </x:c>
      <x:c r="O39" s="94" t="str">
        <x:f>IF(COUNTIFS('Policy Assignments'!$C$5:$C$868,$A39,'Policy Assignments'!$B$5:$B$868,O$4,'Policy Assignments'!$E$5:$E$868,"Hold")&gt;0,"H",IF(COUNTIFS('Policy Assignments'!$C$5:$C$868,$A39,'Policy Assignments'!$B$5:$B$868,O$4,'Policy Assignments'!$E$5:$E$868,"Core")&gt;0,"R",IF(COUNTIFS('Policy Assignments'!$C$5:$C$868,$A39,'Policy Assignments'!$B$5:$B$868,O$4,'Policy Assignments'!$E$5:$E$868,"Conditional")&gt;0,"C","")))</x:f>
      </x:c>
      <x:c r="P39" s="90" t="str">
        <x:v>Hold/correction required</x:v>
      </x:c>
    </x:row>
    <x:row r="40" ht="22" customHeight="1">
      <x:c r="A40" s="90" t="str">
        <x:v>CL-OA-014</x:v>
      </x:c>
      <x:c r="B40" s="90" t="str">
        <x:v>Medication Reconciliation — Prescribed Regimen vs. Actual Patient Behavior</x:v>
      </x:c>
      <x:c r="C40" s="94" t="str">
        <x:f>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c>
      <x:c r="D40" s="94" t="str">
        <x:f>IF(COUNTIFS('Policy Assignments'!$C$5:$C$868,$A40,'Policy Assignments'!$B$5:$B$868,D$4,'Policy Assignments'!$E$5:$E$868,"Hold")&gt;0,"H",IF(COUNTIFS('Policy Assignments'!$C$5:$C$868,$A40,'Policy Assignments'!$B$5:$B$868,D$4,'Policy Assignments'!$E$5:$E$868,"Core")&gt;0,"R",IF(COUNTIFS('Policy Assignments'!$C$5:$C$868,$A40,'Policy Assignments'!$B$5:$B$868,D$4,'Policy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c>
      <x:c r="E40" s="94" t="str">
        <x:f>IF(COUNTIFS('Policy Assignments'!$C$5:$C$868,$A40,'Policy Assignments'!$B$5:$B$868,E$4,'Policy Assignments'!$E$5:$E$868,"Hold")&gt;0,"H",IF(COUNTIFS('Policy Assignments'!$C$5:$C$868,$A40,'Policy Assignments'!$B$5:$B$868,E$4,'Policy Assignments'!$E$5:$E$868,"Core")&gt;0,"R",IF(COUNTIFS('Policy Assignments'!$C$5:$C$868,$A40,'Policy Assignments'!$B$5:$B$868,E$4,'Policy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v>H</x:v>
      </x:c>
      <x:c r="F40" s="94" t="str">
        <x:f>IF(COUNTIFS('Policy Assignments'!$C$5:$C$868,$A40,'Policy Assignments'!$B$5:$B$868,F$4,'Policy Assignments'!$E$5:$E$868,"Hold")&gt;0,"H",IF(COUNTIFS('Policy Assignments'!$C$5:$C$868,$A40,'Policy Assignments'!$B$5:$B$868,F$4,'Policy Assignments'!$E$5:$E$868,"Core")&gt;0,"R",IF(COUNTIFS('Policy Assignments'!$C$5:$C$868,$A40,'Policy Assignments'!$B$5:$B$868,F$4,'Policy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c>
      <x:c r="G40" s="94" t="str">
        <x:f>IF(COUNTIFS('Policy Assignments'!$C$5:$C$868,$A40,'Policy Assignments'!$B$5:$B$868,G$4,'Policy Assignments'!$E$5:$E$868,"Hold")&gt;0,"H",IF(COUNTIFS('Policy Assignments'!$C$5:$C$868,$A40,'Policy Assignments'!$B$5:$B$868,G$4,'Policy Assignments'!$E$5:$E$868,"Core")&gt;0,"R",IF(COUNTIFS('Policy Assignments'!$C$5:$C$868,$A40,'Policy Assignments'!$B$5:$B$868,G$4,'Policy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v>H</x:v>
      </x:c>
      <x:c r="H40" s="94" t="str">
        <x:f>IF(COUNTIFS('Policy Assignments'!$C$5:$C$868,$A40,'Policy Assignments'!$B$5:$B$868,H$4,'Policy Assignments'!$E$5:$E$868,"Hold")&gt;0,"H",IF(COUNTIFS('Policy Assignments'!$C$5:$C$868,$A40,'Policy Assignments'!$B$5:$B$868,H$4,'Policy Assignments'!$E$5:$E$868,"Core")&gt;0,"R",IF(COUNTIFS('Policy Assignments'!$C$5:$C$868,$A40,'Policy Assignments'!$B$5:$B$868,H$4,'Policy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c>
      <x:c r="I40" s="94" t="str">
        <x:f>IF(COUNTIFS('Policy Assignments'!$C$5:$C$868,$A40,'Policy Assignments'!$B$5:$B$868,I$4,'Policy Assignments'!$E$5:$E$868,"Hold")&gt;0,"H",IF(COUNTIFS('Policy Assignments'!$C$5:$C$868,$A40,'Policy Assignments'!$B$5:$B$868,I$4,'Policy Assignments'!$E$5:$E$868,"Core")&gt;0,"R",IF(COUNTIFS('Policy Assignments'!$C$5:$C$868,$A40,'Policy Assignments'!$B$5:$B$868,I$4,'Policy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v>H</x:v>
      </x:c>
      <x:c r="J40" s="94" t="str">
        <x:f>IF(COUNTIFS('Policy Assignments'!$C$5:$C$868,$A40,'Policy Assignments'!$B$5:$B$868,J$4,'Policy Assignments'!$E$5:$E$868,"Hold")&gt;0,"H",IF(COUNTIFS('Policy Assignments'!$C$5:$C$868,$A40,'Policy Assignments'!$B$5:$B$868,J$4,'Policy Assignments'!$E$5:$E$868,"Core")&gt;0,"R",IF(COUNTIFS('Policy Assignments'!$C$5:$C$868,$A40,'Policy Assignments'!$B$5:$B$868,J$4,'Policy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c>
      <x:c r="K40" s="94" t="str">
        <x:f>IF(COUNTIFS('Policy Assignments'!$C$5:$C$868,$A40,'Policy Assignments'!$B$5:$B$868,K$4,'Policy Assignments'!$E$5:$E$868,"Hold")&gt;0,"H",IF(COUNTIFS('Policy Assignments'!$C$5:$C$868,$A40,'Policy Assignments'!$B$5:$B$868,K$4,'Policy Assignments'!$E$5:$E$868,"Core")&gt;0,"R",IF(COUNTIFS('Policy Assignments'!$C$5:$C$868,$A40,'Policy Assignments'!$B$5:$B$868,K$4,'Policy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v>H</x:v>
      </x:c>
      <x:c r="L40" s="94" t="str">
        <x:f>IF(COUNTIFS('Policy Assignments'!$C$5:$C$868,$A40,'Policy Assignments'!$B$5:$B$868,L$4,'Policy Assignments'!$E$5:$E$868,"Hold")&gt;0,"H",IF(COUNTIFS('Policy Assignments'!$C$5:$C$868,$A40,'Policy Assignments'!$B$5:$B$868,L$4,'Policy Assignments'!$E$5:$E$868,"Core")&gt;0,"R",IF(COUNTIFS('Policy Assignments'!$C$5:$C$868,$A40,'Policy Assignments'!$B$5:$B$868,L$4,'Policy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c>
      <x:c r="M40" s="94" t="str">
        <x:f>IF(COUNTIFS('Policy Assignments'!$C$5:$C$868,$A40,'Policy Assignments'!$B$5:$B$868,M$4,'Policy Assignments'!$E$5:$E$868,"Hold")&gt;0,"H",IF(COUNTIFS('Policy Assignments'!$C$5:$C$868,$A40,'Policy Assignments'!$B$5:$B$868,M$4,'Policy Assignments'!$E$5:$E$868,"Core")&gt;0,"R",IF(COUNTIFS('Policy Assignments'!$C$5:$C$868,$A40,'Policy Assignments'!$B$5:$B$868,M$4,'Policy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c>
      <x:c r="N40" s="94" t="str">
        <x:f>IF(COUNTIFS('Policy Assignments'!$C$5:$C$868,$A40,'Policy Assignments'!$B$5:$B$868,N$4,'Policy Assignments'!$E$5:$E$868,"Hold")&gt;0,"H",IF(COUNTIFS('Policy Assignments'!$C$5:$C$868,$A40,'Policy Assignments'!$B$5:$B$868,N$4,'Policy Assignments'!$E$5:$E$868,"Core")&gt;0,"R",IF(COUNTIFS('Policy Assignments'!$C$5:$C$868,$A40,'Policy Assignments'!$B$5:$B$868,N$4,'Policy Assignments'!$E$5:$E$868,"Conditional")&gt;0,"C",IF(COUNTIFS('Policy Assignments'!$C$5:$C$868,$A40,'Policy Assignments'!$B$5:$B$868,"General",'Policy Assignments'!$E$5:$E$868,"Hold")&gt;0,"H",IF(COUNTIFS('Policy Assignments'!$C$5:$C$868,$A40,'Policy Assignments'!$B$5:$B$868,"General",'Policy Assignments'!$E$5:$E$868,"Conditional")&gt;0,"C",IF(COUNTIFS('Policy Assignments'!$C$5:$C$868,$A40,'Policy Assignments'!$B$5:$B$868,"General")&gt;0,"G",""))))))</x:f>
        <x:v>H</x:v>
      </x:c>
      <x:c r="O40" s="94" t="str">
        <x:f>IF(COUNTIFS('Policy Assignments'!$C$5:$C$868,$A40,'Policy Assignments'!$B$5:$B$868,O$4,'Policy Assignments'!$E$5:$E$868,"Hold")&gt;0,"H",IF(COUNTIFS('Policy Assignments'!$C$5:$C$868,$A40,'Policy Assignments'!$B$5:$B$868,O$4,'Policy Assignments'!$E$5:$E$868,"Core")&gt;0,"R",IF(COUNTIFS('Policy Assignments'!$C$5:$C$868,$A40,'Policy Assignments'!$B$5:$B$868,O$4,'Policy Assignments'!$E$5:$E$868,"Conditional")&gt;0,"C","")))</x:f>
      </x:c>
      <x:c r="P40" s="90" t="str">
        <x:v>Hold/correction required</x:v>
      </x:c>
    </x:row>
    <x:row r="41" ht="22" customHeight="1">
      <x:c r="A41" s="90" t="str">
        <x:v>CL-OA-015</x:v>
      </x:c>
      <x:c r="B41" s="90" t="str">
        <x:v>Assessment Completion Timeframe Compliance</x:v>
      </x:c>
      <x:c r="C41" s="94" t="str">
        <x:f>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c>
      <x:c r="D41" s="94" t="str">
        <x:f>IF(COUNTIFS('Policy Assignments'!$C$5:$C$868,$A41,'Policy Assignments'!$B$5:$B$868,D$4,'Policy Assignments'!$E$5:$E$868,"Hold")&gt;0,"H",IF(COUNTIFS('Policy Assignments'!$C$5:$C$868,$A41,'Policy Assignments'!$B$5:$B$868,D$4,'Policy Assignments'!$E$5:$E$868,"Core")&gt;0,"R",IF(COUNTIFS('Policy Assignments'!$C$5:$C$868,$A41,'Policy Assignments'!$B$5:$B$868,D$4,'Policy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c>
      <x:c r="E41" s="94" t="str">
        <x:f>IF(COUNTIFS('Policy Assignments'!$C$5:$C$868,$A41,'Policy Assignments'!$B$5:$B$868,E$4,'Policy Assignments'!$E$5:$E$868,"Hold")&gt;0,"H",IF(COUNTIFS('Policy Assignments'!$C$5:$C$868,$A41,'Policy Assignments'!$B$5:$B$868,E$4,'Policy Assignments'!$E$5:$E$868,"Core")&gt;0,"R",IF(COUNTIFS('Policy Assignments'!$C$5:$C$868,$A41,'Policy Assignments'!$B$5:$B$868,E$4,'Policy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v>H</x:v>
      </x:c>
      <x:c r="F41" s="94" t="str">
        <x:f>IF(COUNTIFS('Policy Assignments'!$C$5:$C$868,$A41,'Policy Assignments'!$B$5:$B$868,F$4,'Policy Assignments'!$E$5:$E$868,"Hold")&gt;0,"H",IF(COUNTIFS('Policy Assignments'!$C$5:$C$868,$A41,'Policy Assignments'!$B$5:$B$868,F$4,'Policy Assignments'!$E$5:$E$868,"Core")&gt;0,"R",IF(COUNTIFS('Policy Assignments'!$C$5:$C$868,$A41,'Policy Assignments'!$B$5:$B$868,F$4,'Policy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c>
      <x:c r="G41" s="94" t="str">
        <x:f>IF(COUNTIFS('Policy Assignments'!$C$5:$C$868,$A41,'Policy Assignments'!$B$5:$B$868,G$4,'Policy Assignments'!$E$5:$E$868,"Hold")&gt;0,"H",IF(COUNTIFS('Policy Assignments'!$C$5:$C$868,$A41,'Policy Assignments'!$B$5:$B$868,G$4,'Policy Assignments'!$E$5:$E$868,"Core")&gt;0,"R",IF(COUNTIFS('Policy Assignments'!$C$5:$C$868,$A41,'Policy Assignments'!$B$5:$B$868,G$4,'Policy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v>H</x:v>
      </x:c>
      <x:c r="H41" s="94" t="str">
        <x:f>IF(COUNTIFS('Policy Assignments'!$C$5:$C$868,$A41,'Policy Assignments'!$B$5:$B$868,H$4,'Policy Assignments'!$E$5:$E$868,"Hold")&gt;0,"H",IF(COUNTIFS('Policy Assignments'!$C$5:$C$868,$A41,'Policy Assignments'!$B$5:$B$868,H$4,'Policy Assignments'!$E$5:$E$868,"Core")&gt;0,"R",IF(COUNTIFS('Policy Assignments'!$C$5:$C$868,$A41,'Policy Assignments'!$B$5:$B$868,H$4,'Policy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c>
      <x:c r="I41" s="94" t="str">
        <x:f>IF(COUNTIFS('Policy Assignments'!$C$5:$C$868,$A41,'Policy Assignments'!$B$5:$B$868,I$4,'Policy Assignments'!$E$5:$E$868,"Hold")&gt;0,"H",IF(COUNTIFS('Policy Assignments'!$C$5:$C$868,$A41,'Policy Assignments'!$B$5:$B$868,I$4,'Policy Assignments'!$E$5:$E$868,"Core")&gt;0,"R",IF(COUNTIFS('Policy Assignments'!$C$5:$C$868,$A41,'Policy Assignments'!$B$5:$B$868,I$4,'Policy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v>H</x:v>
      </x:c>
      <x:c r="J41" s="94" t="str">
        <x:f>IF(COUNTIFS('Policy Assignments'!$C$5:$C$868,$A41,'Policy Assignments'!$B$5:$B$868,J$4,'Policy Assignments'!$E$5:$E$868,"Hold")&gt;0,"H",IF(COUNTIFS('Policy Assignments'!$C$5:$C$868,$A41,'Policy Assignments'!$B$5:$B$868,J$4,'Policy Assignments'!$E$5:$E$868,"Core")&gt;0,"R",IF(COUNTIFS('Policy Assignments'!$C$5:$C$868,$A41,'Policy Assignments'!$B$5:$B$868,J$4,'Policy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c>
      <x:c r="K41" s="94" t="str">
        <x:f>IF(COUNTIFS('Policy Assignments'!$C$5:$C$868,$A41,'Policy Assignments'!$B$5:$B$868,K$4,'Policy Assignments'!$E$5:$E$868,"Hold")&gt;0,"H",IF(COUNTIFS('Policy Assignments'!$C$5:$C$868,$A41,'Policy Assignments'!$B$5:$B$868,K$4,'Policy Assignments'!$E$5:$E$868,"Core")&gt;0,"R",IF(COUNTIFS('Policy Assignments'!$C$5:$C$868,$A41,'Policy Assignments'!$B$5:$B$868,K$4,'Policy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v>H</x:v>
      </x:c>
      <x:c r="L41" s="94" t="str">
        <x:f>IF(COUNTIFS('Policy Assignments'!$C$5:$C$868,$A41,'Policy Assignments'!$B$5:$B$868,L$4,'Policy Assignments'!$E$5:$E$868,"Hold")&gt;0,"H",IF(COUNTIFS('Policy Assignments'!$C$5:$C$868,$A41,'Policy Assignments'!$B$5:$B$868,L$4,'Policy Assignments'!$E$5:$E$868,"Core")&gt;0,"R",IF(COUNTIFS('Policy Assignments'!$C$5:$C$868,$A41,'Policy Assignments'!$B$5:$B$868,L$4,'Policy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c>
      <x:c r="M41" s="94" t="str">
        <x:f>IF(COUNTIFS('Policy Assignments'!$C$5:$C$868,$A41,'Policy Assignments'!$B$5:$B$868,M$4,'Policy Assignments'!$E$5:$E$868,"Hold")&gt;0,"H",IF(COUNTIFS('Policy Assignments'!$C$5:$C$868,$A41,'Policy Assignments'!$B$5:$B$868,M$4,'Policy Assignments'!$E$5:$E$868,"Core")&gt;0,"R",IF(COUNTIFS('Policy Assignments'!$C$5:$C$868,$A41,'Policy Assignments'!$B$5:$B$868,M$4,'Policy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c>
      <x:c r="N41" s="94" t="str">
        <x:f>IF(COUNTIFS('Policy Assignments'!$C$5:$C$868,$A41,'Policy Assignments'!$B$5:$B$868,N$4,'Policy Assignments'!$E$5:$E$868,"Hold")&gt;0,"H",IF(COUNTIFS('Policy Assignments'!$C$5:$C$868,$A41,'Policy Assignments'!$B$5:$B$868,N$4,'Policy Assignments'!$E$5:$E$868,"Core")&gt;0,"R",IF(COUNTIFS('Policy Assignments'!$C$5:$C$868,$A41,'Policy Assignments'!$B$5:$B$868,N$4,'Policy Assignments'!$E$5:$E$868,"Conditional")&gt;0,"C",IF(COUNTIFS('Policy Assignments'!$C$5:$C$868,$A41,'Policy Assignments'!$B$5:$B$868,"General",'Policy Assignments'!$E$5:$E$868,"Hold")&gt;0,"H",IF(COUNTIFS('Policy Assignments'!$C$5:$C$868,$A41,'Policy Assignments'!$B$5:$B$868,"General",'Policy Assignments'!$E$5:$E$868,"Conditional")&gt;0,"C",IF(COUNTIFS('Policy Assignments'!$C$5:$C$868,$A41,'Policy Assignments'!$B$5:$B$868,"General")&gt;0,"G",""))))))</x:f>
        <x:v>H</x:v>
      </x:c>
      <x:c r="O41" s="94" t="str">
        <x:f>IF(COUNTIFS('Policy Assignments'!$C$5:$C$868,$A41,'Policy Assignments'!$B$5:$B$868,O$4,'Policy Assignments'!$E$5:$E$868,"Hold")&gt;0,"H",IF(COUNTIFS('Policy Assignments'!$C$5:$C$868,$A41,'Policy Assignments'!$B$5:$B$868,O$4,'Policy Assignments'!$E$5:$E$868,"Core")&gt;0,"R",IF(COUNTIFS('Policy Assignments'!$C$5:$C$868,$A41,'Policy Assignments'!$B$5:$B$868,O$4,'Policy Assignments'!$E$5:$E$868,"Conditional")&gt;0,"C","")))</x:f>
      </x:c>
      <x:c r="P41" s="90" t="str">
        <x:v>Hold/correction required</x:v>
      </x:c>
    </x:row>
    <x:row r="42" ht="22" customHeight="1">
      <x:c r="A42" s="90" t="str">
        <x:v>CL-OA-016</x:v>
      </x:c>
      <x:c r="B42" s="90" t="str">
        <x:v>Scoring Methodology Integrity for Multi-Item Assessments</x:v>
      </x:c>
      <x:c r="C42" s="94" t="str">
        <x:f>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c>
      <x:c r="D42" s="94" t="str">
        <x:f>IF(COUNTIFS('Policy Assignments'!$C$5:$C$868,$A42,'Policy Assignments'!$B$5:$B$868,D$4,'Policy Assignments'!$E$5:$E$868,"Hold")&gt;0,"H",IF(COUNTIFS('Policy Assignments'!$C$5:$C$868,$A42,'Policy Assignments'!$B$5:$B$868,D$4,'Policy Assignments'!$E$5:$E$868,"Core")&gt;0,"R",IF(COUNTIFS('Policy Assignments'!$C$5:$C$868,$A42,'Policy Assignments'!$B$5:$B$868,D$4,'Policy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c>
      <x:c r="E42" s="94" t="str">
        <x:f>IF(COUNTIFS('Policy Assignments'!$C$5:$C$868,$A42,'Policy Assignments'!$B$5:$B$868,E$4,'Policy Assignments'!$E$5:$E$868,"Hold")&gt;0,"H",IF(COUNTIFS('Policy Assignments'!$C$5:$C$868,$A42,'Policy Assignments'!$B$5:$B$868,E$4,'Policy Assignments'!$E$5:$E$868,"Core")&gt;0,"R",IF(COUNTIFS('Policy Assignments'!$C$5:$C$868,$A42,'Policy Assignments'!$B$5:$B$868,E$4,'Policy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v>H</x:v>
      </x:c>
      <x:c r="F42" s="94" t="str">
        <x:f>IF(COUNTIFS('Policy Assignments'!$C$5:$C$868,$A42,'Policy Assignments'!$B$5:$B$868,F$4,'Policy Assignments'!$E$5:$E$868,"Hold")&gt;0,"H",IF(COUNTIFS('Policy Assignments'!$C$5:$C$868,$A42,'Policy Assignments'!$B$5:$B$868,F$4,'Policy Assignments'!$E$5:$E$868,"Core")&gt;0,"R",IF(COUNTIFS('Policy Assignments'!$C$5:$C$868,$A42,'Policy Assignments'!$B$5:$B$868,F$4,'Policy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c>
      <x:c r="G42" s="94" t="str">
        <x:f>IF(COUNTIFS('Policy Assignments'!$C$5:$C$868,$A42,'Policy Assignments'!$B$5:$B$868,G$4,'Policy Assignments'!$E$5:$E$868,"Hold")&gt;0,"H",IF(COUNTIFS('Policy Assignments'!$C$5:$C$868,$A42,'Policy Assignments'!$B$5:$B$868,G$4,'Policy Assignments'!$E$5:$E$868,"Core")&gt;0,"R",IF(COUNTIFS('Policy Assignments'!$C$5:$C$868,$A42,'Policy Assignments'!$B$5:$B$868,G$4,'Policy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v>H</x:v>
      </x:c>
      <x:c r="H42" s="94" t="str">
        <x:f>IF(COUNTIFS('Policy Assignments'!$C$5:$C$868,$A42,'Policy Assignments'!$B$5:$B$868,H$4,'Policy Assignments'!$E$5:$E$868,"Hold")&gt;0,"H",IF(COUNTIFS('Policy Assignments'!$C$5:$C$868,$A42,'Policy Assignments'!$B$5:$B$868,H$4,'Policy Assignments'!$E$5:$E$868,"Core")&gt;0,"R",IF(COUNTIFS('Policy Assignments'!$C$5:$C$868,$A42,'Policy Assignments'!$B$5:$B$868,H$4,'Policy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c>
      <x:c r="I42" s="94" t="str">
        <x:f>IF(COUNTIFS('Policy Assignments'!$C$5:$C$868,$A42,'Policy Assignments'!$B$5:$B$868,I$4,'Policy Assignments'!$E$5:$E$868,"Hold")&gt;0,"H",IF(COUNTIFS('Policy Assignments'!$C$5:$C$868,$A42,'Policy Assignments'!$B$5:$B$868,I$4,'Policy Assignments'!$E$5:$E$868,"Core")&gt;0,"R",IF(COUNTIFS('Policy Assignments'!$C$5:$C$868,$A42,'Policy Assignments'!$B$5:$B$868,I$4,'Policy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v>H</x:v>
      </x:c>
      <x:c r="J42" s="94" t="str">
        <x:f>IF(COUNTIFS('Policy Assignments'!$C$5:$C$868,$A42,'Policy Assignments'!$B$5:$B$868,J$4,'Policy Assignments'!$E$5:$E$868,"Hold")&gt;0,"H",IF(COUNTIFS('Policy Assignments'!$C$5:$C$868,$A42,'Policy Assignments'!$B$5:$B$868,J$4,'Policy Assignments'!$E$5:$E$868,"Core")&gt;0,"R",IF(COUNTIFS('Policy Assignments'!$C$5:$C$868,$A42,'Policy Assignments'!$B$5:$B$868,J$4,'Policy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c>
      <x:c r="K42" s="94" t="str">
        <x:f>IF(COUNTIFS('Policy Assignments'!$C$5:$C$868,$A42,'Policy Assignments'!$B$5:$B$868,K$4,'Policy Assignments'!$E$5:$E$868,"Hold")&gt;0,"H",IF(COUNTIFS('Policy Assignments'!$C$5:$C$868,$A42,'Policy Assignments'!$B$5:$B$868,K$4,'Policy Assignments'!$E$5:$E$868,"Core")&gt;0,"R",IF(COUNTIFS('Policy Assignments'!$C$5:$C$868,$A42,'Policy Assignments'!$B$5:$B$868,K$4,'Policy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v>H</x:v>
      </x:c>
      <x:c r="L42" s="94" t="str">
        <x:f>IF(COUNTIFS('Policy Assignments'!$C$5:$C$868,$A42,'Policy Assignments'!$B$5:$B$868,L$4,'Policy Assignments'!$E$5:$E$868,"Hold")&gt;0,"H",IF(COUNTIFS('Policy Assignments'!$C$5:$C$868,$A42,'Policy Assignments'!$B$5:$B$868,L$4,'Policy Assignments'!$E$5:$E$868,"Core")&gt;0,"R",IF(COUNTIFS('Policy Assignments'!$C$5:$C$868,$A42,'Policy Assignments'!$B$5:$B$868,L$4,'Policy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c>
      <x:c r="M42" s="94" t="str">
        <x:f>IF(COUNTIFS('Policy Assignments'!$C$5:$C$868,$A42,'Policy Assignments'!$B$5:$B$868,M$4,'Policy Assignments'!$E$5:$E$868,"Hold")&gt;0,"H",IF(COUNTIFS('Policy Assignments'!$C$5:$C$868,$A42,'Policy Assignments'!$B$5:$B$868,M$4,'Policy Assignments'!$E$5:$E$868,"Core")&gt;0,"R",IF(COUNTIFS('Policy Assignments'!$C$5:$C$868,$A42,'Policy Assignments'!$B$5:$B$868,M$4,'Policy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c>
      <x:c r="N42" s="94" t="str">
        <x:f>IF(COUNTIFS('Policy Assignments'!$C$5:$C$868,$A42,'Policy Assignments'!$B$5:$B$868,N$4,'Policy Assignments'!$E$5:$E$868,"Hold")&gt;0,"H",IF(COUNTIFS('Policy Assignments'!$C$5:$C$868,$A42,'Policy Assignments'!$B$5:$B$868,N$4,'Policy Assignments'!$E$5:$E$868,"Core")&gt;0,"R",IF(COUNTIFS('Policy Assignments'!$C$5:$C$868,$A42,'Policy Assignments'!$B$5:$B$868,N$4,'Policy Assignments'!$E$5:$E$868,"Conditional")&gt;0,"C",IF(COUNTIFS('Policy Assignments'!$C$5:$C$868,$A42,'Policy Assignments'!$B$5:$B$868,"General",'Policy Assignments'!$E$5:$E$868,"Hold")&gt;0,"H",IF(COUNTIFS('Policy Assignments'!$C$5:$C$868,$A42,'Policy Assignments'!$B$5:$B$868,"General",'Policy Assignments'!$E$5:$E$868,"Conditional")&gt;0,"C",IF(COUNTIFS('Policy Assignments'!$C$5:$C$868,$A42,'Policy Assignments'!$B$5:$B$868,"General")&gt;0,"G",""))))))</x:f>
        <x:v>H</x:v>
      </x:c>
      <x:c r="O42" s="94" t="str">
        <x:f>IF(COUNTIFS('Policy Assignments'!$C$5:$C$868,$A42,'Policy Assignments'!$B$5:$B$868,O$4,'Policy Assignments'!$E$5:$E$868,"Hold")&gt;0,"H",IF(COUNTIFS('Policy Assignments'!$C$5:$C$868,$A42,'Policy Assignments'!$B$5:$B$868,O$4,'Policy Assignments'!$E$5:$E$868,"Core")&gt;0,"R",IF(COUNTIFS('Policy Assignments'!$C$5:$C$868,$A42,'Policy Assignments'!$B$5:$B$868,O$4,'Policy Assignments'!$E$5:$E$868,"Conditional")&gt;0,"C","")))</x:f>
      </x:c>
      <x:c r="P42" s="90" t="str">
        <x:v>Hold/correction required</x:v>
      </x:c>
    </x:row>
    <x:row r="43" ht="22" customHeight="1">
      <x:c r="A43" s="90" t="str">
        <x:v>CL-OA-017</x:v>
      </x:c>
      <x:c r="B43" s="90" t="str">
        <x:v>Contemporaneous Documentation Requirement</x:v>
      </x:c>
      <x:c r="C43" s="94" t="str">
        <x:f>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c>
      <x:c r="D43" s="94" t="str">
        <x:f>IF(COUNTIFS('Policy Assignments'!$C$5:$C$868,$A43,'Policy Assignments'!$B$5:$B$868,D$4,'Policy Assignments'!$E$5:$E$868,"Hold")&gt;0,"H",IF(COUNTIFS('Policy Assignments'!$C$5:$C$868,$A43,'Policy Assignments'!$B$5:$B$868,D$4,'Policy Assignments'!$E$5:$E$868,"Core")&gt;0,"R",IF(COUNTIFS('Policy Assignments'!$C$5:$C$868,$A43,'Policy Assignments'!$B$5:$B$868,D$4,'Policy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c>
      <x:c r="E43" s="94" t="str">
        <x:f>IF(COUNTIFS('Policy Assignments'!$C$5:$C$868,$A43,'Policy Assignments'!$B$5:$B$868,E$4,'Policy Assignments'!$E$5:$E$868,"Hold")&gt;0,"H",IF(COUNTIFS('Policy Assignments'!$C$5:$C$868,$A43,'Policy Assignments'!$B$5:$B$868,E$4,'Policy Assignments'!$E$5:$E$868,"Core")&gt;0,"R",IF(COUNTIFS('Policy Assignments'!$C$5:$C$868,$A43,'Policy Assignments'!$B$5:$B$868,E$4,'Policy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v>H</x:v>
      </x:c>
      <x:c r="F43" s="94" t="str">
        <x:f>IF(COUNTIFS('Policy Assignments'!$C$5:$C$868,$A43,'Policy Assignments'!$B$5:$B$868,F$4,'Policy Assignments'!$E$5:$E$868,"Hold")&gt;0,"H",IF(COUNTIFS('Policy Assignments'!$C$5:$C$868,$A43,'Policy Assignments'!$B$5:$B$868,F$4,'Policy Assignments'!$E$5:$E$868,"Core")&gt;0,"R",IF(COUNTIFS('Policy Assignments'!$C$5:$C$868,$A43,'Policy Assignments'!$B$5:$B$868,F$4,'Policy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c>
      <x:c r="G43" s="94" t="str">
        <x:f>IF(COUNTIFS('Policy Assignments'!$C$5:$C$868,$A43,'Policy Assignments'!$B$5:$B$868,G$4,'Policy Assignments'!$E$5:$E$868,"Hold")&gt;0,"H",IF(COUNTIFS('Policy Assignments'!$C$5:$C$868,$A43,'Policy Assignments'!$B$5:$B$868,G$4,'Policy Assignments'!$E$5:$E$868,"Core")&gt;0,"R",IF(COUNTIFS('Policy Assignments'!$C$5:$C$868,$A43,'Policy Assignments'!$B$5:$B$868,G$4,'Policy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v>H</x:v>
      </x:c>
      <x:c r="H43" s="94" t="str">
        <x:f>IF(COUNTIFS('Policy Assignments'!$C$5:$C$868,$A43,'Policy Assignments'!$B$5:$B$868,H$4,'Policy Assignments'!$E$5:$E$868,"Hold")&gt;0,"H",IF(COUNTIFS('Policy Assignments'!$C$5:$C$868,$A43,'Policy Assignments'!$B$5:$B$868,H$4,'Policy Assignments'!$E$5:$E$868,"Core")&gt;0,"R",IF(COUNTIFS('Policy Assignments'!$C$5:$C$868,$A43,'Policy Assignments'!$B$5:$B$868,H$4,'Policy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c>
      <x:c r="I43" s="94" t="str">
        <x:f>IF(COUNTIFS('Policy Assignments'!$C$5:$C$868,$A43,'Policy Assignments'!$B$5:$B$868,I$4,'Policy Assignments'!$E$5:$E$868,"Hold")&gt;0,"H",IF(COUNTIFS('Policy Assignments'!$C$5:$C$868,$A43,'Policy Assignments'!$B$5:$B$868,I$4,'Policy Assignments'!$E$5:$E$868,"Core")&gt;0,"R",IF(COUNTIFS('Policy Assignments'!$C$5:$C$868,$A43,'Policy Assignments'!$B$5:$B$868,I$4,'Policy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v>H</x:v>
      </x:c>
      <x:c r="J43" s="94" t="str">
        <x:f>IF(COUNTIFS('Policy Assignments'!$C$5:$C$868,$A43,'Policy Assignments'!$B$5:$B$868,J$4,'Policy Assignments'!$E$5:$E$868,"Hold")&gt;0,"H",IF(COUNTIFS('Policy Assignments'!$C$5:$C$868,$A43,'Policy Assignments'!$B$5:$B$868,J$4,'Policy Assignments'!$E$5:$E$868,"Core")&gt;0,"R",IF(COUNTIFS('Policy Assignments'!$C$5:$C$868,$A43,'Policy Assignments'!$B$5:$B$868,J$4,'Policy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c>
      <x:c r="K43" s="94" t="str">
        <x:f>IF(COUNTIFS('Policy Assignments'!$C$5:$C$868,$A43,'Policy Assignments'!$B$5:$B$868,K$4,'Policy Assignments'!$E$5:$E$868,"Hold")&gt;0,"H",IF(COUNTIFS('Policy Assignments'!$C$5:$C$868,$A43,'Policy Assignments'!$B$5:$B$868,K$4,'Policy Assignments'!$E$5:$E$868,"Core")&gt;0,"R",IF(COUNTIFS('Policy Assignments'!$C$5:$C$868,$A43,'Policy Assignments'!$B$5:$B$868,K$4,'Policy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v>H</x:v>
      </x:c>
      <x:c r="L43" s="94" t="str">
        <x:f>IF(COUNTIFS('Policy Assignments'!$C$5:$C$868,$A43,'Policy Assignments'!$B$5:$B$868,L$4,'Policy Assignments'!$E$5:$E$868,"Hold")&gt;0,"H",IF(COUNTIFS('Policy Assignments'!$C$5:$C$868,$A43,'Policy Assignments'!$B$5:$B$868,L$4,'Policy Assignments'!$E$5:$E$868,"Core")&gt;0,"R",IF(COUNTIFS('Policy Assignments'!$C$5:$C$868,$A43,'Policy Assignments'!$B$5:$B$868,L$4,'Policy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c>
      <x:c r="M43" s="94" t="str">
        <x:f>IF(COUNTIFS('Policy Assignments'!$C$5:$C$868,$A43,'Policy Assignments'!$B$5:$B$868,M$4,'Policy Assignments'!$E$5:$E$868,"Hold")&gt;0,"H",IF(COUNTIFS('Policy Assignments'!$C$5:$C$868,$A43,'Policy Assignments'!$B$5:$B$868,M$4,'Policy Assignments'!$E$5:$E$868,"Core")&gt;0,"R",IF(COUNTIFS('Policy Assignments'!$C$5:$C$868,$A43,'Policy Assignments'!$B$5:$B$868,M$4,'Policy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c>
      <x:c r="N43" s="94" t="str">
        <x:f>IF(COUNTIFS('Policy Assignments'!$C$5:$C$868,$A43,'Policy Assignments'!$B$5:$B$868,N$4,'Policy Assignments'!$E$5:$E$868,"Hold")&gt;0,"H",IF(COUNTIFS('Policy Assignments'!$C$5:$C$868,$A43,'Policy Assignments'!$B$5:$B$868,N$4,'Policy Assignments'!$E$5:$E$868,"Core")&gt;0,"R",IF(COUNTIFS('Policy Assignments'!$C$5:$C$868,$A43,'Policy Assignments'!$B$5:$B$868,N$4,'Policy Assignments'!$E$5:$E$868,"Conditional")&gt;0,"C",IF(COUNTIFS('Policy Assignments'!$C$5:$C$868,$A43,'Policy Assignments'!$B$5:$B$868,"General",'Policy Assignments'!$E$5:$E$868,"Hold")&gt;0,"H",IF(COUNTIFS('Policy Assignments'!$C$5:$C$868,$A43,'Policy Assignments'!$B$5:$B$868,"General",'Policy Assignments'!$E$5:$E$868,"Conditional")&gt;0,"C",IF(COUNTIFS('Policy Assignments'!$C$5:$C$868,$A43,'Policy Assignments'!$B$5:$B$868,"General")&gt;0,"G",""))))))</x:f>
        <x:v>H</x:v>
      </x:c>
      <x:c r="O43" s="94" t="str">
        <x:f>IF(COUNTIFS('Policy Assignments'!$C$5:$C$868,$A43,'Policy Assignments'!$B$5:$B$868,O$4,'Policy Assignments'!$E$5:$E$868,"Hold")&gt;0,"H",IF(COUNTIFS('Policy Assignments'!$C$5:$C$868,$A43,'Policy Assignments'!$B$5:$B$868,O$4,'Policy Assignments'!$E$5:$E$868,"Core")&gt;0,"R",IF(COUNTIFS('Policy Assignments'!$C$5:$C$868,$A43,'Policy Assignments'!$B$5:$B$868,O$4,'Policy Assignments'!$E$5:$E$868,"Conditional")&gt;0,"C","")))</x:f>
      </x:c>
      <x:c r="P43" s="90" t="str">
        <x:v>Hold/correction required</x:v>
      </x:c>
    </x:row>
    <x:row r="44" ht="22" customHeight="1">
      <x:c r="A44" s="90" t="str">
        <x:v>CL-OA-018</x:v>
      </x:c>
      <x:c r="B44" s="90" t="str">
        <x:v>Clinician Competency Validation for OASIS Assessment</x:v>
      </x:c>
      <x:c r="C44" s="94" t="str">
        <x:f>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c>
      <x:c r="D44" s="94" t="str">
        <x:f>IF(COUNTIFS('Policy Assignments'!$C$5:$C$868,$A44,'Policy Assignments'!$B$5:$B$868,D$4,'Policy Assignments'!$E$5:$E$868,"Hold")&gt;0,"H",IF(COUNTIFS('Policy Assignments'!$C$5:$C$868,$A44,'Policy Assignments'!$B$5:$B$868,D$4,'Policy Assignments'!$E$5:$E$868,"Core")&gt;0,"R",IF(COUNTIFS('Policy Assignments'!$C$5:$C$868,$A44,'Policy Assignments'!$B$5:$B$868,D$4,'Policy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c>
      <x:c r="E44" s="94" t="str">
        <x:f>IF(COUNTIFS('Policy Assignments'!$C$5:$C$868,$A44,'Policy Assignments'!$B$5:$B$868,E$4,'Policy Assignments'!$E$5:$E$868,"Hold")&gt;0,"H",IF(COUNTIFS('Policy Assignments'!$C$5:$C$868,$A44,'Policy Assignments'!$B$5:$B$868,E$4,'Policy Assignments'!$E$5:$E$868,"Core")&gt;0,"R",IF(COUNTIFS('Policy Assignments'!$C$5:$C$868,$A44,'Policy Assignments'!$B$5:$B$868,E$4,'Policy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v>H</x:v>
      </x:c>
      <x:c r="F44" s="94" t="str">
        <x:f>IF(COUNTIFS('Policy Assignments'!$C$5:$C$868,$A44,'Policy Assignments'!$B$5:$B$868,F$4,'Policy Assignments'!$E$5:$E$868,"Hold")&gt;0,"H",IF(COUNTIFS('Policy Assignments'!$C$5:$C$868,$A44,'Policy Assignments'!$B$5:$B$868,F$4,'Policy Assignments'!$E$5:$E$868,"Core")&gt;0,"R",IF(COUNTIFS('Policy Assignments'!$C$5:$C$868,$A44,'Policy Assignments'!$B$5:$B$868,F$4,'Policy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c>
      <x:c r="G44" s="94" t="str">
        <x:f>IF(COUNTIFS('Policy Assignments'!$C$5:$C$868,$A44,'Policy Assignments'!$B$5:$B$868,G$4,'Policy Assignments'!$E$5:$E$868,"Hold")&gt;0,"H",IF(COUNTIFS('Policy Assignments'!$C$5:$C$868,$A44,'Policy Assignments'!$B$5:$B$868,G$4,'Policy Assignments'!$E$5:$E$868,"Core")&gt;0,"R",IF(COUNTIFS('Policy Assignments'!$C$5:$C$868,$A44,'Policy Assignments'!$B$5:$B$868,G$4,'Policy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v>H</x:v>
      </x:c>
      <x:c r="H44" s="94" t="str">
        <x:f>IF(COUNTIFS('Policy Assignments'!$C$5:$C$868,$A44,'Policy Assignments'!$B$5:$B$868,H$4,'Policy Assignments'!$E$5:$E$868,"Hold")&gt;0,"H",IF(COUNTIFS('Policy Assignments'!$C$5:$C$868,$A44,'Policy Assignments'!$B$5:$B$868,H$4,'Policy Assignments'!$E$5:$E$868,"Core")&gt;0,"R",IF(COUNTIFS('Policy Assignments'!$C$5:$C$868,$A44,'Policy Assignments'!$B$5:$B$868,H$4,'Policy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c>
      <x:c r="I44" s="94" t="str">
        <x:f>IF(COUNTIFS('Policy Assignments'!$C$5:$C$868,$A44,'Policy Assignments'!$B$5:$B$868,I$4,'Policy Assignments'!$E$5:$E$868,"Hold")&gt;0,"H",IF(COUNTIFS('Policy Assignments'!$C$5:$C$868,$A44,'Policy Assignments'!$B$5:$B$868,I$4,'Policy Assignments'!$E$5:$E$868,"Core")&gt;0,"R",IF(COUNTIFS('Policy Assignments'!$C$5:$C$868,$A44,'Policy Assignments'!$B$5:$B$868,I$4,'Policy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v>H</x:v>
      </x:c>
      <x:c r="J44" s="94" t="str">
        <x:f>IF(COUNTIFS('Policy Assignments'!$C$5:$C$868,$A44,'Policy Assignments'!$B$5:$B$868,J$4,'Policy Assignments'!$E$5:$E$868,"Hold")&gt;0,"H",IF(COUNTIFS('Policy Assignments'!$C$5:$C$868,$A44,'Policy Assignments'!$B$5:$B$868,J$4,'Policy Assignments'!$E$5:$E$868,"Core")&gt;0,"R",IF(COUNTIFS('Policy Assignments'!$C$5:$C$868,$A44,'Policy Assignments'!$B$5:$B$868,J$4,'Policy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c>
      <x:c r="K44" s="94" t="str">
        <x:f>IF(COUNTIFS('Policy Assignments'!$C$5:$C$868,$A44,'Policy Assignments'!$B$5:$B$868,K$4,'Policy Assignments'!$E$5:$E$868,"Hold")&gt;0,"H",IF(COUNTIFS('Policy Assignments'!$C$5:$C$868,$A44,'Policy Assignments'!$B$5:$B$868,K$4,'Policy Assignments'!$E$5:$E$868,"Core")&gt;0,"R",IF(COUNTIFS('Policy Assignments'!$C$5:$C$868,$A44,'Policy Assignments'!$B$5:$B$868,K$4,'Policy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v>H</x:v>
      </x:c>
      <x:c r="L44" s="94" t="str">
        <x:f>IF(COUNTIFS('Policy Assignments'!$C$5:$C$868,$A44,'Policy Assignments'!$B$5:$B$868,L$4,'Policy Assignments'!$E$5:$E$868,"Hold")&gt;0,"H",IF(COUNTIFS('Policy Assignments'!$C$5:$C$868,$A44,'Policy Assignments'!$B$5:$B$868,L$4,'Policy Assignments'!$E$5:$E$868,"Core")&gt;0,"R",IF(COUNTIFS('Policy Assignments'!$C$5:$C$868,$A44,'Policy Assignments'!$B$5:$B$868,L$4,'Policy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c>
      <x:c r="M44" s="94" t="str">
        <x:f>IF(COUNTIFS('Policy Assignments'!$C$5:$C$868,$A44,'Policy Assignments'!$B$5:$B$868,M$4,'Policy Assignments'!$E$5:$E$868,"Hold")&gt;0,"H",IF(COUNTIFS('Policy Assignments'!$C$5:$C$868,$A44,'Policy Assignments'!$B$5:$B$868,M$4,'Policy Assignments'!$E$5:$E$868,"Core")&gt;0,"R",IF(COUNTIFS('Policy Assignments'!$C$5:$C$868,$A44,'Policy Assignments'!$B$5:$B$868,M$4,'Policy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c>
      <x:c r="N44" s="94" t="str">
        <x:f>IF(COUNTIFS('Policy Assignments'!$C$5:$C$868,$A44,'Policy Assignments'!$B$5:$B$868,N$4,'Policy Assignments'!$E$5:$E$868,"Hold")&gt;0,"H",IF(COUNTIFS('Policy Assignments'!$C$5:$C$868,$A44,'Policy Assignments'!$B$5:$B$868,N$4,'Policy Assignments'!$E$5:$E$868,"Core")&gt;0,"R",IF(COUNTIFS('Policy Assignments'!$C$5:$C$868,$A44,'Policy Assignments'!$B$5:$B$868,N$4,'Policy Assignments'!$E$5:$E$868,"Conditional")&gt;0,"C",IF(COUNTIFS('Policy Assignments'!$C$5:$C$868,$A44,'Policy Assignments'!$B$5:$B$868,"General",'Policy Assignments'!$E$5:$E$868,"Hold")&gt;0,"H",IF(COUNTIFS('Policy Assignments'!$C$5:$C$868,$A44,'Policy Assignments'!$B$5:$B$868,"General",'Policy Assignments'!$E$5:$E$868,"Conditional")&gt;0,"C",IF(COUNTIFS('Policy Assignments'!$C$5:$C$868,$A44,'Policy Assignments'!$B$5:$B$868,"General")&gt;0,"G",""))))))</x:f>
        <x:v>H</x:v>
      </x:c>
      <x:c r="O44" s="94" t="str">
        <x:f>IF(COUNTIFS('Policy Assignments'!$C$5:$C$868,$A44,'Policy Assignments'!$B$5:$B$868,O$4,'Policy Assignments'!$E$5:$E$868,"Hold")&gt;0,"H",IF(COUNTIFS('Policy Assignments'!$C$5:$C$868,$A44,'Policy Assignments'!$B$5:$B$868,O$4,'Policy Assignments'!$E$5:$E$868,"Core")&gt;0,"R",IF(COUNTIFS('Policy Assignments'!$C$5:$C$868,$A44,'Policy Assignments'!$B$5:$B$868,O$4,'Policy Assignments'!$E$5:$E$868,"Conditional")&gt;0,"C","")))</x:f>
      </x:c>
      <x:c r="P44" s="90" t="str">
        <x:v>Hold/correction required</x:v>
      </x:c>
    </x:row>
    <x:row r="45" ht="22" customHeight="1">
      <x:c r="A45" s="90" t="str">
        <x:v>CL-OA-019</x:v>
      </x:c>
      <x:c r="B45" s="90" t="str">
        <x:v>Pre-Submission Quality Review for Comprehensive Assessments</x:v>
      </x:c>
      <x:c r="C45" s="94" t="str">
        <x:f>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c>
      <x:c r="D45" s="94" t="str">
        <x:f>IF(COUNTIFS('Policy Assignments'!$C$5:$C$868,$A45,'Policy Assignments'!$B$5:$B$868,D$4,'Policy Assignments'!$E$5:$E$868,"Hold")&gt;0,"H",IF(COUNTIFS('Policy Assignments'!$C$5:$C$868,$A45,'Policy Assignments'!$B$5:$B$868,D$4,'Policy Assignments'!$E$5:$E$868,"Core")&gt;0,"R",IF(COUNTIFS('Policy Assignments'!$C$5:$C$868,$A45,'Policy Assignments'!$B$5:$B$868,D$4,'Policy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c>
      <x:c r="E45" s="94" t="str">
        <x:f>IF(COUNTIFS('Policy Assignments'!$C$5:$C$868,$A45,'Policy Assignments'!$B$5:$B$868,E$4,'Policy Assignments'!$E$5:$E$868,"Hold")&gt;0,"H",IF(COUNTIFS('Policy Assignments'!$C$5:$C$868,$A45,'Policy Assignments'!$B$5:$B$868,E$4,'Policy Assignments'!$E$5:$E$868,"Core")&gt;0,"R",IF(COUNTIFS('Policy Assignments'!$C$5:$C$868,$A45,'Policy Assignments'!$B$5:$B$868,E$4,'Policy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v>H</x:v>
      </x:c>
      <x:c r="F45" s="94" t="str">
        <x:f>IF(COUNTIFS('Policy Assignments'!$C$5:$C$868,$A45,'Policy Assignments'!$B$5:$B$868,F$4,'Policy Assignments'!$E$5:$E$868,"Hold")&gt;0,"H",IF(COUNTIFS('Policy Assignments'!$C$5:$C$868,$A45,'Policy Assignments'!$B$5:$B$868,F$4,'Policy Assignments'!$E$5:$E$868,"Core")&gt;0,"R",IF(COUNTIFS('Policy Assignments'!$C$5:$C$868,$A45,'Policy Assignments'!$B$5:$B$868,F$4,'Policy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c>
      <x:c r="G45" s="94" t="str">
        <x:f>IF(COUNTIFS('Policy Assignments'!$C$5:$C$868,$A45,'Policy Assignments'!$B$5:$B$868,G$4,'Policy Assignments'!$E$5:$E$868,"Hold")&gt;0,"H",IF(COUNTIFS('Policy Assignments'!$C$5:$C$868,$A45,'Policy Assignments'!$B$5:$B$868,G$4,'Policy Assignments'!$E$5:$E$868,"Core")&gt;0,"R",IF(COUNTIFS('Policy Assignments'!$C$5:$C$868,$A45,'Policy Assignments'!$B$5:$B$868,G$4,'Policy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v>H</x:v>
      </x:c>
      <x:c r="H45" s="94" t="str">
        <x:f>IF(COUNTIFS('Policy Assignments'!$C$5:$C$868,$A45,'Policy Assignments'!$B$5:$B$868,H$4,'Policy Assignments'!$E$5:$E$868,"Hold")&gt;0,"H",IF(COUNTIFS('Policy Assignments'!$C$5:$C$868,$A45,'Policy Assignments'!$B$5:$B$868,H$4,'Policy Assignments'!$E$5:$E$868,"Core")&gt;0,"R",IF(COUNTIFS('Policy Assignments'!$C$5:$C$868,$A45,'Policy Assignments'!$B$5:$B$868,H$4,'Policy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c>
      <x:c r="I45" s="94" t="str">
        <x:f>IF(COUNTIFS('Policy Assignments'!$C$5:$C$868,$A45,'Policy Assignments'!$B$5:$B$868,I$4,'Policy Assignments'!$E$5:$E$868,"Hold")&gt;0,"H",IF(COUNTIFS('Policy Assignments'!$C$5:$C$868,$A45,'Policy Assignments'!$B$5:$B$868,I$4,'Policy Assignments'!$E$5:$E$868,"Core")&gt;0,"R",IF(COUNTIFS('Policy Assignments'!$C$5:$C$868,$A45,'Policy Assignments'!$B$5:$B$868,I$4,'Policy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v>H</x:v>
      </x:c>
      <x:c r="J45" s="94" t="str">
        <x:f>IF(COUNTIFS('Policy Assignments'!$C$5:$C$868,$A45,'Policy Assignments'!$B$5:$B$868,J$4,'Policy Assignments'!$E$5:$E$868,"Hold")&gt;0,"H",IF(COUNTIFS('Policy Assignments'!$C$5:$C$868,$A45,'Policy Assignments'!$B$5:$B$868,J$4,'Policy Assignments'!$E$5:$E$868,"Core")&gt;0,"R",IF(COUNTIFS('Policy Assignments'!$C$5:$C$868,$A45,'Policy Assignments'!$B$5:$B$868,J$4,'Policy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c>
      <x:c r="K45" s="94" t="str">
        <x:f>IF(COUNTIFS('Policy Assignments'!$C$5:$C$868,$A45,'Policy Assignments'!$B$5:$B$868,K$4,'Policy Assignments'!$E$5:$E$868,"Hold")&gt;0,"H",IF(COUNTIFS('Policy Assignments'!$C$5:$C$868,$A45,'Policy Assignments'!$B$5:$B$868,K$4,'Policy Assignments'!$E$5:$E$868,"Core")&gt;0,"R",IF(COUNTIFS('Policy Assignments'!$C$5:$C$868,$A45,'Policy Assignments'!$B$5:$B$868,K$4,'Policy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v>H</x:v>
      </x:c>
      <x:c r="L45" s="94" t="str">
        <x:f>IF(COUNTIFS('Policy Assignments'!$C$5:$C$868,$A45,'Policy Assignments'!$B$5:$B$868,L$4,'Policy Assignments'!$E$5:$E$868,"Hold")&gt;0,"H",IF(COUNTIFS('Policy Assignments'!$C$5:$C$868,$A45,'Policy Assignments'!$B$5:$B$868,L$4,'Policy Assignments'!$E$5:$E$868,"Core")&gt;0,"R",IF(COUNTIFS('Policy Assignments'!$C$5:$C$868,$A45,'Policy Assignments'!$B$5:$B$868,L$4,'Policy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c>
      <x:c r="M45" s="94" t="str">
        <x:f>IF(COUNTIFS('Policy Assignments'!$C$5:$C$868,$A45,'Policy Assignments'!$B$5:$B$868,M$4,'Policy Assignments'!$E$5:$E$868,"Hold")&gt;0,"H",IF(COUNTIFS('Policy Assignments'!$C$5:$C$868,$A45,'Policy Assignments'!$B$5:$B$868,M$4,'Policy Assignments'!$E$5:$E$868,"Core")&gt;0,"R",IF(COUNTIFS('Policy Assignments'!$C$5:$C$868,$A45,'Policy Assignments'!$B$5:$B$868,M$4,'Policy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c>
      <x:c r="N45" s="94" t="str">
        <x:f>IF(COUNTIFS('Policy Assignments'!$C$5:$C$868,$A45,'Policy Assignments'!$B$5:$B$868,N$4,'Policy Assignments'!$E$5:$E$868,"Hold")&gt;0,"H",IF(COUNTIFS('Policy Assignments'!$C$5:$C$868,$A45,'Policy Assignments'!$B$5:$B$868,N$4,'Policy Assignments'!$E$5:$E$868,"Core")&gt;0,"R",IF(COUNTIFS('Policy Assignments'!$C$5:$C$868,$A45,'Policy Assignments'!$B$5:$B$868,N$4,'Policy Assignments'!$E$5:$E$868,"Conditional")&gt;0,"C",IF(COUNTIFS('Policy Assignments'!$C$5:$C$868,$A45,'Policy Assignments'!$B$5:$B$868,"General",'Policy Assignments'!$E$5:$E$868,"Hold")&gt;0,"H",IF(COUNTIFS('Policy Assignments'!$C$5:$C$868,$A45,'Policy Assignments'!$B$5:$B$868,"General",'Policy Assignments'!$E$5:$E$868,"Conditional")&gt;0,"C",IF(COUNTIFS('Policy Assignments'!$C$5:$C$868,$A45,'Policy Assignments'!$B$5:$B$868,"General")&gt;0,"G",""))))))</x:f>
        <x:v>H</x:v>
      </x:c>
      <x:c r="O45" s="94" t="str">
        <x:f>IF(COUNTIFS('Policy Assignments'!$C$5:$C$868,$A45,'Policy Assignments'!$B$5:$B$868,O$4,'Policy Assignments'!$E$5:$E$868,"Hold")&gt;0,"H",IF(COUNTIFS('Policy Assignments'!$C$5:$C$868,$A45,'Policy Assignments'!$B$5:$B$868,O$4,'Policy Assignments'!$E$5:$E$868,"Core")&gt;0,"R",IF(COUNTIFS('Policy Assignments'!$C$5:$C$868,$A45,'Policy Assignments'!$B$5:$B$868,O$4,'Policy Assignments'!$E$5:$E$868,"Conditional")&gt;0,"C","")))</x:f>
      </x:c>
      <x:c r="P45" s="90" t="str">
        <x:v>Hold/correction required</x:v>
      </x:c>
    </x:row>
    <x:row r="46" ht="22" customHeight="1">
      <x:c r="A46" s="90" t="str">
        <x:v>CL-OA-101</x:v>
      </x:c>
      <x:c r="B46" s="90" t="str">
        <x:v>OASIS Data Accuracy, Validation &amp; Submission Integrity</x:v>
      </x:c>
      <x:c r="C46" s="94" t="str">
        <x:f>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c>
      <x:c r="D46" s="94" t="str">
        <x:f>IF(COUNTIFS('Policy Assignments'!$C$5:$C$868,$A46,'Policy Assignments'!$B$5:$B$868,D$4,'Policy Assignments'!$E$5:$E$868,"Hold")&gt;0,"H",IF(COUNTIFS('Policy Assignments'!$C$5:$C$868,$A46,'Policy Assignments'!$B$5:$B$868,D$4,'Policy Assignments'!$E$5:$E$868,"Core")&gt;0,"R",IF(COUNTIFS('Policy Assignments'!$C$5:$C$868,$A46,'Policy Assignments'!$B$5:$B$868,D$4,'Policy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c>
      <x:c r="E46" s="94" t="str">
        <x:f>IF(COUNTIFS('Policy Assignments'!$C$5:$C$868,$A46,'Policy Assignments'!$B$5:$B$868,E$4,'Policy Assignments'!$E$5:$E$868,"Hold")&gt;0,"H",IF(COUNTIFS('Policy Assignments'!$C$5:$C$868,$A46,'Policy Assignments'!$B$5:$B$868,E$4,'Policy Assignments'!$E$5:$E$868,"Core")&gt;0,"R",IF(COUNTIFS('Policy Assignments'!$C$5:$C$868,$A46,'Policy Assignments'!$B$5:$B$868,E$4,'Policy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v>H</x:v>
      </x:c>
      <x:c r="F46" s="94" t="str">
        <x:f>IF(COUNTIFS('Policy Assignments'!$C$5:$C$868,$A46,'Policy Assignments'!$B$5:$B$868,F$4,'Policy Assignments'!$E$5:$E$868,"Hold")&gt;0,"H",IF(COUNTIFS('Policy Assignments'!$C$5:$C$868,$A46,'Policy Assignments'!$B$5:$B$868,F$4,'Policy Assignments'!$E$5:$E$868,"Core")&gt;0,"R",IF(COUNTIFS('Policy Assignments'!$C$5:$C$868,$A46,'Policy Assignments'!$B$5:$B$868,F$4,'Policy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c>
      <x:c r="G46" s="94" t="str">
        <x:f>IF(COUNTIFS('Policy Assignments'!$C$5:$C$868,$A46,'Policy Assignments'!$B$5:$B$868,G$4,'Policy Assignments'!$E$5:$E$868,"Hold")&gt;0,"H",IF(COUNTIFS('Policy Assignments'!$C$5:$C$868,$A46,'Policy Assignments'!$B$5:$B$868,G$4,'Policy Assignments'!$E$5:$E$868,"Core")&gt;0,"R",IF(COUNTIFS('Policy Assignments'!$C$5:$C$868,$A46,'Policy Assignments'!$B$5:$B$868,G$4,'Policy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v>H</x:v>
      </x:c>
      <x:c r="H46" s="94" t="str">
        <x:f>IF(COUNTIFS('Policy Assignments'!$C$5:$C$868,$A46,'Policy Assignments'!$B$5:$B$868,H$4,'Policy Assignments'!$E$5:$E$868,"Hold")&gt;0,"H",IF(COUNTIFS('Policy Assignments'!$C$5:$C$868,$A46,'Policy Assignments'!$B$5:$B$868,H$4,'Policy Assignments'!$E$5:$E$868,"Core")&gt;0,"R",IF(COUNTIFS('Policy Assignments'!$C$5:$C$868,$A46,'Policy Assignments'!$B$5:$B$868,H$4,'Policy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c>
      <x:c r="I46" s="94" t="str">
        <x:f>IF(COUNTIFS('Policy Assignments'!$C$5:$C$868,$A46,'Policy Assignments'!$B$5:$B$868,I$4,'Policy Assignments'!$E$5:$E$868,"Hold")&gt;0,"H",IF(COUNTIFS('Policy Assignments'!$C$5:$C$868,$A46,'Policy Assignments'!$B$5:$B$868,I$4,'Policy Assignments'!$E$5:$E$868,"Core")&gt;0,"R",IF(COUNTIFS('Policy Assignments'!$C$5:$C$868,$A46,'Policy Assignments'!$B$5:$B$868,I$4,'Policy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v>H</x:v>
      </x:c>
      <x:c r="J46" s="94" t="str">
        <x:f>IF(COUNTIFS('Policy Assignments'!$C$5:$C$868,$A46,'Policy Assignments'!$B$5:$B$868,J$4,'Policy Assignments'!$E$5:$E$868,"Hold")&gt;0,"H",IF(COUNTIFS('Policy Assignments'!$C$5:$C$868,$A46,'Policy Assignments'!$B$5:$B$868,J$4,'Policy Assignments'!$E$5:$E$868,"Core")&gt;0,"R",IF(COUNTIFS('Policy Assignments'!$C$5:$C$868,$A46,'Policy Assignments'!$B$5:$B$868,J$4,'Policy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c>
      <x:c r="K46" s="94" t="str">
        <x:f>IF(COUNTIFS('Policy Assignments'!$C$5:$C$868,$A46,'Policy Assignments'!$B$5:$B$868,K$4,'Policy Assignments'!$E$5:$E$868,"Hold")&gt;0,"H",IF(COUNTIFS('Policy Assignments'!$C$5:$C$868,$A46,'Policy Assignments'!$B$5:$B$868,K$4,'Policy Assignments'!$E$5:$E$868,"Core")&gt;0,"R",IF(COUNTIFS('Policy Assignments'!$C$5:$C$868,$A46,'Policy Assignments'!$B$5:$B$868,K$4,'Policy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v>H</x:v>
      </x:c>
      <x:c r="L46" s="94" t="str">
        <x:f>IF(COUNTIFS('Policy Assignments'!$C$5:$C$868,$A46,'Policy Assignments'!$B$5:$B$868,L$4,'Policy Assignments'!$E$5:$E$868,"Hold")&gt;0,"H",IF(COUNTIFS('Policy Assignments'!$C$5:$C$868,$A46,'Policy Assignments'!$B$5:$B$868,L$4,'Policy Assignments'!$E$5:$E$868,"Core")&gt;0,"R",IF(COUNTIFS('Policy Assignments'!$C$5:$C$868,$A46,'Policy Assignments'!$B$5:$B$868,L$4,'Policy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c>
      <x:c r="M46" s="94" t="str">
        <x:f>IF(COUNTIFS('Policy Assignments'!$C$5:$C$868,$A46,'Policy Assignments'!$B$5:$B$868,M$4,'Policy Assignments'!$E$5:$E$868,"Hold")&gt;0,"H",IF(COUNTIFS('Policy Assignments'!$C$5:$C$868,$A46,'Policy Assignments'!$B$5:$B$868,M$4,'Policy Assignments'!$E$5:$E$868,"Core")&gt;0,"R",IF(COUNTIFS('Policy Assignments'!$C$5:$C$868,$A46,'Policy Assignments'!$B$5:$B$868,M$4,'Policy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c>
      <x:c r="N46" s="94" t="str">
        <x:f>IF(COUNTIFS('Policy Assignments'!$C$5:$C$868,$A46,'Policy Assignments'!$B$5:$B$868,N$4,'Policy Assignments'!$E$5:$E$868,"Hold")&gt;0,"H",IF(COUNTIFS('Policy Assignments'!$C$5:$C$868,$A46,'Policy Assignments'!$B$5:$B$868,N$4,'Policy Assignments'!$E$5:$E$868,"Core")&gt;0,"R",IF(COUNTIFS('Policy Assignments'!$C$5:$C$868,$A46,'Policy Assignments'!$B$5:$B$868,N$4,'Policy Assignments'!$E$5:$E$868,"Conditional")&gt;0,"C",IF(COUNTIFS('Policy Assignments'!$C$5:$C$868,$A46,'Policy Assignments'!$B$5:$B$868,"General",'Policy Assignments'!$E$5:$E$868,"Hold")&gt;0,"H",IF(COUNTIFS('Policy Assignments'!$C$5:$C$868,$A46,'Policy Assignments'!$B$5:$B$868,"General",'Policy Assignments'!$E$5:$E$868,"Conditional")&gt;0,"C",IF(COUNTIFS('Policy Assignments'!$C$5:$C$868,$A46,'Policy Assignments'!$B$5:$B$868,"General")&gt;0,"G",""))))))</x:f>
        <x:v>H</x:v>
      </x:c>
      <x:c r="O46" s="94" t="str">
        <x:f>IF(COUNTIFS('Policy Assignments'!$C$5:$C$868,$A46,'Policy Assignments'!$B$5:$B$868,O$4,'Policy Assignments'!$E$5:$E$868,"Hold")&gt;0,"H",IF(COUNTIFS('Policy Assignments'!$C$5:$C$868,$A46,'Policy Assignments'!$B$5:$B$868,O$4,'Policy Assignments'!$E$5:$E$868,"Core")&gt;0,"R",IF(COUNTIFS('Policy Assignments'!$C$5:$C$868,$A46,'Policy Assignments'!$B$5:$B$868,O$4,'Policy Assignments'!$E$5:$E$868,"Conditional")&gt;0,"C","")))</x:f>
      </x:c>
      <x:c r="P46" s="90" t="str">
        <x:v>Hold/correction required</x:v>
      </x:c>
    </x:row>
    <x:row r="47" ht="22" customHeight="1">
      <x:c r="A47" s="90" t="str">
        <x:v>CL-PR-001</x:v>
      </x:c>
      <x:c r="B47" s="90" t="str">
        <x:v>Patient Rights &amp; Responsibilities</x:v>
      </x:c>
      <x:c r="C47" s="94" t="str">
        <x:f>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D47" s="94" t="str">
        <x:f>IF(COUNTIFS('Policy Assignments'!$C$5:$C$868,$A47,'Policy Assignments'!$B$5:$B$868,D$4,'Policy Assignments'!$E$5:$E$868,"Hold")&gt;0,"H",IF(COUNTIFS('Policy Assignments'!$C$5:$C$868,$A47,'Policy Assignments'!$B$5:$B$868,D$4,'Policy Assignments'!$E$5:$E$868,"Core")&gt;0,"R",IF(COUNTIFS('Policy Assignments'!$C$5:$C$868,$A47,'Policy Assignments'!$B$5:$B$868,D$4,'Policy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E47" s="94" t="str">
        <x:f>IF(COUNTIFS('Policy Assignments'!$C$5:$C$868,$A47,'Policy Assignments'!$B$5:$B$868,E$4,'Policy Assignments'!$E$5:$E$868,"Hold")&gt;0,"H",IF(COUNTIFS('Policy Assignments'!$C$5:$C$868,$A47,'Policy Assignments'!$B$5:$B$868,E$4,'Policy Assignments'!$E$5:$E$868,"Core")&gt;0,"R",IF(COUNTIFS('Policy Assignments'!$C$5:$C$868,$A47,'Policy Assignments'!$B$5:$B$868,E$4,'Policy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F47" s="94" t="str">
        <x:f>IF(COUNTIFS('Policy Assignments'!$C$5:$C$868,$A47,'Policy Assignments'!$B$5:$B$868,F$4,'Policy Assignments'!$E$5:$E$868,"Hold")&gt;0,"H",IF(COUNTIFS('Policy Assignments'!$C$5:$C$868,$A47,'Policy Assignments'!$B$5:$B$868,F$4,'Policy Assignments'!$E$5:$E$868,"Core")&gt;0,"R",IF(COUNTIFS('Policy Assignments'!$C$5:$C$868,$A47,'Policy Assignments'!$B$5:$B$868,F$4,'Policy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G47" s="94" t="str">
        <x:f>IF(COUNTIFS('Policy Assignments'!$C$5:$C$868,$A47,'Policy Assignments'!$B$5:$B$868,G$4,'Policy Assignments'!$E$5:$E$868,"Hold")&gt;0,"H",IF(COUNTIFS('Policy Assignments'!$C$5:$C$868,$A47,'Policy Assignments'!$B$5:$B$868,G$4,'Policy Assignments'!$E$5:$E$868,"Core")&gt;0,"R",IF(COUNTIFS('Policy Assignments'!$C$5:$C$868,$A47,'Policy Assignments'!$B$5:$B$868,G$4,'Policy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H47" s="94" t="str">
        <x:f>IF(COUNTIFS('Policy Assignments'!$C$5:$C$868,$A47,'Policy Assignments'!$B$5:$B$868,H$4,'Policy Assignments'!$E$5:$E$868,"Hold")&gt;0,"H",IF(COUNTIFS('Policy Assignments'!$C$5:$C$868,$A47,'Policy Assignments'!$B$5:$B$868,H$4,'Policy Assignments'!$E$5:$E$868,"Core")&gt;0,"R",IF(COUNTIFS('Policy Assignments'!$C$5:$C$868,$A47,'Policy Assignments'!$B$5:$B$868,H$4,'Policy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I47" s="94" t="str">
        <x:f>IF(COUNTIFS('Policy Assignments'!$C$5:$C$868,$A47,'Policy Assignments'!$B$5:$B$868,I$4,'Policy Assignments'!$E$5:$E$868,"Hold")&gt;0,"H",IF(COUNTIFS('Policy Assignments'!$C$5:$C$868,$A47,'Policy Assignments'!$B$5:$B$868,I$4,'Policy Assignments'!$E$5:$E$868,"Core")&gt;0,"R",IF(COUNTIFS('Policy Assignments'!$C$5:$C$868,$A47,'Policy Assignments'!$B$5:$B$868,I$4,'Policy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J47" s="94" t="str">
        <x:f>IF(COUNTIFS('Policy Assignments'!$C$5:$C$868,$A47,'Policy Assignments'!$B$5:$B$868,J$4,'Policy Assignments'!$E$5:$E$868,"Hold")&gt;0,"H",IF(COUNTIFS('Policy Assignments'!$C$5:$C$868,$A47,'Policy Assignments'!$B$5:$B$868,J$4,'Policy Assignments'!$E$5:$E$868,"Core")&gt;0,"R",IF(COUNTIFS('Policy Assignments'!$C$5:$C$868,$A47,'Policy Assignments'!$B$5:$B$868,J$4,'Policy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K47" s="94" t="str">
        <x:f>IF(COUNTIFS('Policy Assignments'!$C$5:$C$868,$A47,'Policy Assignments'!$B$5:$B$868,K$4,'Policy Assignments'!$E$5:$E$868,"Hold")&gt;0,"H",IF(COUNTIFS('Policy Assignments'!$C$5:$C$868,$A47,'Policy Assignments'!$B$5:$B$868,K$4,'Policy Assignments'!$E$5:$E$868,"Core")&gt;0,"R",IF(COUNTIFS('Policy Assignments'!$C$5:$C$868,$A47,'Policy Assignments'!$B$5:$B$868,K$4,'Policy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L47" s="94" t="str">
        <x:f>IF(COUNTIFS('Policy Assignments'!$C$5:$C$868,$A47,'Policy Assignments'!$B$5:$B$868,L$4,'Policy Assignments'!$E$5:$E$868,"Hold")&gt;0,"H",IF(COUNTIFS('Policy Assignments'!$C$5:$C$868,$A47,'Policy Assignments'!$B$5:$B$868,L$4,'Policy Assignments'!$E$5:$E$868,"Core")&gt;0,"R",IF(COUNTIFS('Policy Assignments'!$C$5:$C$868,$A47,'Policy Assignments'!$B$5:$B$868,L$4,'Policy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M47" s="94" t="str">
        <x:f>IF(COUNTIFS('Policy Assignments'!$C$5:$C$868,$A47,'Policy Assignments'!$B$5:$B$868,M$4,'Policy Assignments'!$E$5:$E$868,"Hold")&gt;0,"H",IF(COUNTIFS('Policy Assignments'!$C$5:$C$868,$A47,'Policy Assignments'!$B$5:$B$868,M$4,'Policy Assignments'!$E$5:$E$868,"Core")&gt;0,"R",IF(COUNTIFS('Policy Assignments'!$C$5:$C$868,$A47,'Policy Assignments'!$B$5:$B$868,M$4,'Policy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N47" s="94" t="str">
        <x:f>IF(COUNTIFS('Policy Assignments'!$C$5:$C$868,$A47,'Policy Assignments'!$B$5:$B$868,N$4,'Policy Assignments'!$E$5:$E$868,"Hold")&gt;0,"H",IF(COUNTIFS('Policy Assignments'!$C$5:$C$868,$A47,'Policy Assignments'!$B$5:$B$868,N$4,'Policy Assignments'!$E$5:$E$868,"Core")&gt;0,"R",IF(COUNTIFS('Policy Assignments'!$C$5:$C$868,$A47,'Policy Assignments'!$B$5:$B$868,N$4,'Policy Assignments'!$E$5:$E$868,"Conditional")&gt;0,"C",IF(COUNTIFS('Policy Assignments'!$C$5:$C$868,$A47,'Policy Assignments'!$B$5:$B$868,"General",'Policy Assignments'!$E$5:$E$868,"Hold")&gt;0,"H",IF(COUNTIFS('Policy Assignments'!$C$5:$C$868,$A47,'Policy Assignments'!$B$5:$B$868,"General",'Policy Assignments'!$E$5:$E$868,"Conditional")&gt;0,"C",IF(COUNTIFS('Policy Assignments'!$C$5:$C$868,$A47,'Policy Assignments'!$B$5:$B$868,"General")&gt;0,"G",""))))))</x:f>
        <x:v>G</x:v>
      </x:c>
      <x:c r="O47" s="94" t="str">
        <x:f>IF(COUNTIFS('Policy Assignments'!$C$5:$C$868,$A47,'Policy Assignments'!$B$5:$B$868,O$4,'Policy Assignments'!$E$5:$E$868,"Hold")&gt;0,"H",IF(COUNTIFS('Policy Assignments'!$C$5:$C$868,$A47,'Policy Assignments'!$B$5:$B$868,O$4,'Policy Assignments'!$E$5:$E$868,"Core")&gt;0,"R",IF(COUNTIFS('Policy Assignments'!$C$5:$C$868,$A47,'Policy Assignments'!$B$5:$B$868,O$4,'Policy Assignments'!$E$5:$E$868,"Conditional")&gt;0,"C","")))</x:f>
      </x:c>
      <x:c r="P47" s="90" t="str">
        <x:v>Mapped</x:v>
      </x:c>
    </x:row>
    <x:row r="48" ht="22" customHeight="1">
      <x:c r="A48" s="90" t="str">
        <x:v>CL-PR-002</x:v>
      </x:c>
      <x:c r="B48" s="90" t="str">
        <x:v>Advance Directive Compliance</x:v>
      </x:c>
      <x:c r="C48" s="94" t="str">
        <x:f>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c>
      <x:c r="D48" s="94" t="str">
        <x:f>IF(COUNTIFS('Policy Assignments'!$C$5:$C$868,$A48,'Policy Assignments'!$B$5:$B$868,D$4,'Policy Assignments'!$E$5:$E$868,"Hold")&gt;0,"H",IF(COUNTIFS('Policy Assignments'!$C$5:$C$868,$A48,'Policy Assignments'!$B$5:$B$868,D$4,'Policy Assignments'!$E$5:$E$868,"Core")&gt;0,"R",IF(COUNTIFS('Policy Assignments'!$C$5:$C$868,$A48,'Policy Assignments'!$B$5:$B$868,D$4,'Policy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E48" s="94" t="str">
        <x:f>IF(COUNTIFS('Policy Assignments'!$C$5:$C$868,$A48,'Policy Assignments'!$B$5:$B$868,E$4,'Policy Assignments'!$E$5:$E$868,"Hold")&gt;0,"H",IF(COUNTIFS('Policy Assignments'!$C$5:$C$868,$A48,'Policy Assignments'!$B$5:$B$868,E$4,'Policy Assignments'!$E$5:$E$868,"Core")&gt;0,"R",IF(COUNTIFS('Policy Assignments'!$C$5:$C$868,$A48,'Policy Assignments'!$B$5:$B$868,E$4,'Policy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F48" s="94" t="str">
        <x:f>IF(COUNTIFS('Policy Assignments'!$C$5:$C$868,$A48,'Policy Assignments'!$B$5:$B$868,F$4,'Policy Assignments'!$E$5:$E$868,"Hold")&gt;0,"H",IF(COUNTIFS('Policy Assignments'!$C$5:$C$868,$A48,'Policy Assignments'!$B$5:$B$868,F$4,'Policy Assignments'!$E$5:$E$868,"Core")&gt;0,"R",IF(COUNTIFS('Policy Assignments'!$C$5:$C$868,$A48,'Policy Assignments'!$B$5:$B$868,F$4,'Policy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G48" s="94" t="str">
        <x:f>IF(COUNTIFS('Policy Assignments'!$C$5:$C$868,$A48,'Policy Assignments'!$B$5:$B$868,G$4,'Policy Assignments'!$E$5:$E$868,"Hold")&gt;0,"H",IF(COUNTIFS('Policy Assignments'!$C$5:$C$868,$A48,'Policy Assignments'!$B$5:$B$868,G$4,'Policy Assignments'!$E$5:$E$868,"Core")&gt;0,"R",IF(COUNTIFS('Policy Assignments'!$C$5:$C$868,$A48,'Policy Assignments'!$B$5:$B$868,G$4,'Policy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H48" s="94" t="str">
        <x:f>IF(COUNTIFS('Policy Assignments'!$C$5:$C$868,$A48,'Policy Assignments'!$B$5:$B$868,H$4,'Policy Assignments'!$E$5:$E$868,"Hold")&gt;0,"H",IF(COUNTIFS('Policy Assignments'!$C$5:$C$868,$A48,'Policy Assignments'!$B$5:$B$868,H$4,'Policy Assignments'!$E$5:$E$868,"Core")&gt;0,"R",IF(COUNTIFS('Policy Assignments'!$C$5:$C$868,$A48,'Policy Assignments'!$B$5:$B$868,H$4,'Policy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I48" s="94" t="str">
        <x:f>IF(COUNTIFS('Policy Assignments'!$C$5:$C$868,$A48,'Policy Assignments'!$B$5:$B$868,I$4,'Policy Assignments'!$E$5:$E$868,"Hold")&gt;0,"H",IF(COUNTIFS('Policy Assignments'!$C$5:$C$868,$A48,'Policy Assignments'!$B$5:$B$868,I$4,'Policy Assignments'!$E$5:$E$868,"Core")&gt;0,"R",IF(COUNTIFS('Policy Assignments'!$C$5:$C$868,$A48,'Policy Assignments'!$B$5:$B$868,I$4,'Policy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J48" s="94" t="str">
        <x:f>IF(COUNTIFS('Policy Assignments'!$C$5:$C$868,$A48,'Policy Assignments'!$B$5:$B$868,J$4,'Policy Assignments'!$E$5:$E$868,"Hold")&gt;0,"H",IF(COUNTIFS('Policy Assignments'!$C$5:$C$868,$A48,'Policy Assignments'!$B$5:$B$868,J$4,'Policy Assignments'!$E$5:$E$868,"Core")&gt;0,"R",IF(COUNTIFS('Policy Assignments'!$C$5:$C$868,$A48,'Policy Assignments'!$B$5:$B$868,J$4,'Policy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K48" s="94" t="str">
        <x:f>IF(COUNTIFS('Policy Assignments'!$C$5:$C$868,$A48,'Policy Assignments'!$B$5:$B$868,K$4,'Policy Assignments'!$E$5:$E$868,"Hold")&gt;0,"H",IF(COUNTIFS('Policy Assignments'!$C$5:$C$868,$A48,'Policy Assignments'!$B$5:$B$868,K$4,'Policy Assignments'!$E$5:$E$868,"Core")&gt;0,"R",IF(COUNTIFS('Policy Assignments'!$C$5:$C$868,$A48,'Policy Assignments'!$B$5:$B$868,K$4,'Policy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L48" s="94" t="str">
        <x:f>IF(COUNTIFS('Policy Assignments'!$C$5:$C$868,$A48,'Policy Assignments'!$B$5:$B$868,L$4,'Policy Assignments'!$E$5:$E$868,"Hold")&gt;0,"H",IF(COUNTIFS('Policy Assignments'!$C$5:$C$868,$A48,'Policy Assignments'!$B$5:$B$868,L$4,'Policy Assignments'!$E$5:$E$868,"Core")&gt;0,"R",IF(COUNTIFS('Policy Assignments'!$C$5:$C$868,$A48,'Policy Assignments'!$B$5:$B$868,L$4,'Policy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v>R</x:v>
      </x:c>
      <x:c r="M48" s="94" t="str">
        <x:f>IF(COUNTIFS('Policy Assignments'!$C$5:$C$868,$A48,'Policy Assignments'!$B$5:$B$868,M$4,'Policy Assignments'!$E$5:$E$868,"Hold")&gt;0,"H",IF(COUNTIFS('Policy Assignments'!$C$5:$C$868,$A48,'Policy Assignments'!$B$5:$B$868,M$4,'Policy Assignments'!$E$5:$E$868,"Core")&gt;0,"R",IF(COUNTIFS('Policy Assignments'!$C$5:$C$868,$A48,'Policy Assignments'!$B$5:$B$868,M$4,'Policy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c>
      <x:c r="N48" s="94" t="str">
        <x:f>IF(COUNTIFS('Policy Assignments'!$C$5:$C$868,$A48,'Policy Assignments'!$B$5:$B$868,N$4,'Policy Assignments'!$E$5:$E$868,"Hold")&gt;0,"H",IF(COUNTIFS('Policy Assignments'!$C$5:$C$868,$A48,'Policy Assignments'!$B$5:$B$868,N$4,'Policy Assignments'!$E$5:$E$868,"Core")&gt;0,"R",IF(COUNTIFS('Policy Assignments'!$C$5:$C$868,$A48,'Policy Assignments'!$B$5:$B$868,N$4,'Policy Assignments'!$E$5:$E$868,"Conditional")&gt;0,"C",IF(COUNTIFS('Policy Assignments'!$C$5:$C$868,$A48,'Policy Assignments'!$B$5:$B$868,"General",'Policy Assignments'!$E$5:$E$868,"Hold")&gt;0,"H",IF(COUNTIFS('Policy Assignments'!$C$5:$C$868,$A48,'Policy Assignments'!$B$5:$B$868,"General",'Policy Assignments'!$E$5:$E$868,"Conditional")&gt;0,"C",IF(COUNTIFS('Policy Assignments'!$C$5:$C$868,$A48,'Policy Assignments'!$B$5:$B$868,"General")&gt;0,"G",""))))))</x:f>
      </x:c>
      <x:c r="O48" s="94" t="str">
        <x:f>IF(COUNTIFS('Policy Assignments'!$C$5:$C$868,$A48,'Policy Assignments'!$B$5:$B$868,O$4,'Policy Assignments'!$E$5:$E$868,"Hold")&gt;0,"H",IF(COUNTIFS('Policy Assignments'!$C$5:$C$868,$A48,'Policy Assignments'!$B$5:$B$868,O$4,'Policy Assignments'!$E$5:$E$868,"Core")&gt;0,"R",IF(COUNTIFS('Policy Assignments'!$C$5:$C$868,$A48,'Policy Assignments'!$B$5:$B$868,O$4,'Policy Assignments'!$E$5:$E$868,"Conditional")&gt;0,"C","")))</x:f>
      </x:c>
      <x:c r="P48" s="90" t="str">
        <x:v>Mapped</x:v>
      </x:c>
    </x:row>
    <x:row r="49" ht="22" customHeight="1">
      <x:c r="A49" s="90" t="str">
        <x:v>CL-PR-003</x:v>
      </x:c>
      <x:c r="B49" s="90" t="str">
        <x:v>Informed Consent</x:v>
      </x:c>
      <x:c r="C49" s="94" t="str">
        <x:f>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c>
      <x:c r="D49" s="94" t="str">
        <x:f>IF(COUNTIFS('Policy Assignments'!$C$5:$C$868,$A49,'Policy Assignments'!$B$5:$B$868,D$4,'Policy Assignments'!$E$5:$E$868,"Hold")&gt;0,"H",IF(COUNTIFS('Policy Assignments'!$C$5:$C$868,$A49,'Policy Assignments'!$B$5:$B$868,D$4,'Policy Assignments'!$E$5:$E$868,"Core")&gt;0,"R",IF(COUNTIFS('Policy Assignments'!$C$5:$C$868,$A49,'Policy Assignments'!$B$5:$B$868,D$4,'Policy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E49" s="94" t="str">
        <x:f>IF(COUNTIFS('Policy Assignments'!$C$5:$C$868,$A49,'Policy Assignments'!$B$5:$B$868,E$4,'Policy Assignments'!$E$5:$E$868,"Hold")&gt;0,"H",IF(COUNTIFS('Policy Assignments'!$C$5:$C$868,$A49,'Policy Assignments'!$B$5:$B$868,E$4,'Policy Assignments'!$E$5:$E$868,"Core")&gt;0,"R",IF(COUNTIFS('Policy Assignments'!$C$5:$C$868,$A49,'Policy Assignments'!$B$5:$B$868,E$4,'Policy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F49" s="94" t="str">
        <x:f>IF(COUNTIFS('Policy Assignments'!$C$5:$C$868,$A49,'Policy Assignments'!$B$5:$B$868,F$4,'Policy Assignments'!$E$5:$E$868,"Hold")&gt;0,"H",IF(COUNTIFS('Policy Assignments'!$C$5:$C$868,$A49,'Policy Assignments'!$B$5:$B$868,F$4,'Policy Assignments'!$E$5:$E$868,"Core")&gt;0,"R",IF(COUNTIFS('Policy Assignments'!$C$5:$C$868,$A49,'Policy Assignments'!$B$5:$B$868,F$4,'Policy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G49" s="94" t="str">
        <x:f>IF(COUNTIFS('Policy Assignments'!$C$5:$C$868,$A49,'Policy Assignments'!$B$5:$B$868,G$4,'Policy Assignments'!$E$5:$E$868,"Hold")&gt;0,"H",IF(COUNTIFS('Policy Assignments'!$C$5:$C$868,$A49,'Policy Assignments'!$B$5:$B$868,G$4,'Policy Assignments'!$E$5:$E$868,"Core")&gt;0,"R",IF(COUNTIFS('Policy Assignments'!$C$5:$C$868,$A49,'Policy Assignments'!$B$5:$B$868,G$4,'Policy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H49" s="94" t="str">
        <x:f>IF(COUNTIFS('Policy Assignments'!$C$5:$C$868,$A49,'Policy Assignments'!$B$5:$B$868,H$4,'Policy Assignments'!$E$5:$E$868,"Hold")&gt;0,"H",IF(COUNTIFS('Policy Assignments'!$C$5:$C$868,$A49,'Policy Assignments'!$B$5:$B$868,H$4,'Policy Assignments'!$E$5:$E$868,"Core")&gt;0,"R",IF(COUNTIFS('Policy Assignments'!$C$5:$C$868,$A49,'Policy Assignments'!$B$5:$B$868,H$4,'Policy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I49" s="94" t="str">
        <x:f>IF(COUNTIFS('Policy Assignments'!$C$5:$C$868,$A49,'Policy Assignments'!$B$5:$B$868,I$4,'Policy Assignments'!$E$5:$E$868,"Hold")&gt;0,"H",IF(COUNTIFS('Policy Assignments'!$C$5:$C$868,$A49,'Policy Assignments'!$B$5:$B$868,I$4,'Policy Assignments'!$E$5:$E$868,"Core")&gt;0,"R",IF(COUNTIFS('Policy Assignments'!$C$5:$C$868,$A49,'Policy Assignments'!$B$5:$B$868,I$4,'Policy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J49" s="94" t="str">
        <x:f>IF(COUNTIFS('Policy Assignments'!$C$5:$C$868,$A49,'Policy Assignments'!$B$5:$B$868,J$4,'Policy Assignments'!$E$5:$E$868,"Hold")&gt;0,"H",IF(COUNTIFS('Policy Assignments'!$C$5:$C$868,$A49,'Policy Assignments'!$B$5:$B$868,J$4,'Policy Assignments'!$E$5:$E$868,"Core")&gt;0,"R",IF(COUNTIFS('Policy Assignments'!$C$5:$C$868,$A49,'Policy Assignments'!$B$5:$B$868,J$4,'Policy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K49" s="94" t="str">
        <x:f>IF(COUNTIFS('Policy Assignments'!$C$5:$C$868,$A49,'Policy Assignments'!$B$5:$B$868,K$4,'Policy Assignments'!$E$5:$E$868,"Hold")&gt;0,"H",IF(COUNTIFS('Policy Assignments'!$C$5:$C$868,$A49,'Policy Assignments'!$B$5:$B$868,K$4,'Policy Assignments'!$E$5:$E$868,"Core")&gt;0,"R",IF(COUNTIFS('Policy Assignments'!$C$5:$C$868,$A49,'Policy Assignments'!$B$5:$B$868,K$4,'Policy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L49" s="94" t="str">
        <x:f>IF(COUNTIFS('Policy Assignments'!$C$5:$C$868,$A49,'Policy Assignments'!$B$5:$B$868,L$4,'Policy Assignments'!$E$5:$E$868,"Hold")&gt;0,"H",IF(COUNTIFS('Policy Assignments'!$C$5:$C$868,$A49,'Policy Assignments'!$B$5:$B$868,L$4,'Policy Assignments'!$E$5:$E$868,"Core")&gt;0,"R",IF(COUNTIFS('Policy Assignments'!$C$5:$C$868,$A49,'Policy Assignments'!$B$5:$B$868,L$4,'Policy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v>R</x:v>
      </x:c>
      <x:c r="M49" s="94" t="str">
        <x:f>IF(COUNTIFS('Policy Assignments'!$C$5:$C$868,$A49,'Policy Assignments'!$B$5:$B$868,M$4,'Policy Assignments'!$E$5:$E$868,"Hold")&gt;0,"H",IF(COUNTIFS('Policy Assignments'!$C$5:$C$868,$A49,'Policy Assignments'!$B$5:$B$868,M$4,'Policy Assignments'!$E$5:$E$868,"Core")&gt;0,"R",IF(COUNTIFS('Policy Assignments'!$C$5:$C$868,$A49,'Policy Assignments'!$B$5:$B$868,M$4,'Policy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c>
      <x:c r="N49" s="94" t="str">
        <x:f>IF(COUNTIFS('Policy Assignments'!$C$5:$C$868,$A49,'Policy Assignments'!$B$5:$B$868,N$4,'Policy Assignments'!$E$5:$E$868,"Hold")&gt;0,"H",IF(COUNTIFS('Policy Assignments'!$C$5:$C$868,$A49,'Policy Assignments'!$B$5:$B$868,N$4,'Policy Assignments'!$E$5:$E$868,"Core")&gt;0,"R",IF(COUNTIFS('Policy Assignments'!$C$5:$C$868,$A49,'Policy Assignments'!$B$5:$B$868,N$4,'Policy Assignments'!$E$5:$E$868,"Conditional")&gt;0,"C",IF(COUNTIFS('Policy Assignments'!$C$5:$C$868,$A49,'Policy Assignments'!$B$5:$B$868,"General",'Policy Assignments'!$E$5:$E$868,"Hold")&gt;0,"H",IF(COUNTIFS('Policy Assignments'!$C$5:$C$868,$A49,'Policy Assignments'!$B$5:$B$868,"General",'Policy Assignments'!$E$5:$E$868,"Conditional")&gt;0,"C",IF(COUNTIFS('Policy Assignments'!$C$5:$C$868,$A49,'Policy Assignments'!$B$5:$B$868,"General")&gt;0,"G",""))))))</x:f>
      </x:c>
      <x:c r="O49" s="94" t="str">
        <x:f>IF(COUNTIFS('Policy Assignments'!$C$5:$C$868,$A49,'Policy Assignments'!$B$5:$B$868,O$4,'Policy Assignments'!$E$5:$E$868,"Hold")&gt;0,"H",IF(COUNTIFS('Policy Assignments'!$C$5:$C$868,$A49,'Policy Assignments'!$B$5:$B$868,O$4,'Policy Assignments'!$E$5:$E$868,"Core")&gt;0,"R",IF(COUNTIFS('Policy Assignments'!$C$5:$C$868,$A49,'Policy Assignments'!$B$5:$B$868,O$4,'Policy Assignments'!$E$5:$E$868,"Conditional")&gt;0,"C","")))</x:f>
      </x:c>
      <x:c r="P49" s="90" t="str">
        <x:v>Mapped</x:v>
      </x:c>
    </x:row>
    <x:row r="50" ht="22" customHeight="1">
      <x:c r="A50" s="90" t="str">
        <x:v>CL-PR-004</x:v>
      </x:c>
      <x:c r="B50" s="90" t="str">
        <x:v>Restraint &amp; Seclusion Prohibition</x:v>
      </x:c>
      <x:c r="C50" s="94" t="str">
        <x:f>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c>
      <x:c r="D50" s="94" t="str">
        <x:f>IF(COUNTIFS('Policy Assignments'!$C$5:$C$868,$A50,'Policy Assignments'!$B$5:$B$868,D$4,'Policy Assignments'!$E$5:$E$868,"Hold")&gt;0,"H",IF(COUNTIFS('Policy Assignments'!$C$5:$C$868,$A50,'Policy Assignments'!$B$5:$B$868,D$4,'Policy Assignments'!$E$5:$E$868,"Core")&gt;0,"R",IF(COUNTIFS('Policy Assignments'!$C$5:$C$868,$A50,'Policy Assignments'!$B$5:$B$868,D$4,'Policy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E50" s="94" t="str">
        <x:f>IF(COUNTIFS('Policy Assignments'!$C$5:$C$868,$A50,'Policy Assignments'!$B$5:$B$868,E$4,'Policy Assignments'!$E$5:$E$868,"Hold")&gt;0,"H",IF(COUNTIFS('Policy Assignments'!$C$5:$C$868,$A50,'Policy Assignments'!$B$5:$B$868,E$4,'Policy Assignments'!$E$5:$E$868,"Core")&gt;0,"R",IF(COUNTIFS('Policy Assignments'!$C$5:$C$868,$A50,'Policy Assignments'!$B$5:$B$868,E$4,'Policy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F50" s="94" t="str">
        <x:f>IF(COUNTIFS('Policy Assignments'!$C$5:$C$868,$A50,'Policy Assignments'!$B$5:$B$868,F$4,'Policy Assignments'!$E$5:$E$868,"Hold")&gt;0,"H",IF(COUNTIFS('Policy Assignments'!$C$5:$C$868,$A50,'Policy Assignments'!$B$5:$B$868,F$4,'Policy Assignments'!$E$5:$E$868,"Core")&gt;0,"R",IF(COUNTIFS('Policy Assignments'!$C$5:$C$868,$A50,'Policy Assignments'!$B$5:$B$868,F$4,'Policy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G50" s="94" t="str">
        <x:f>IF(COUNTIFS('Policy Assignments'!$C$5:$C$868,$A50,'Policy Assignments'!$B$5:$B$868,G$4,'Policy Assignments'!$E$5:$E$868,"Hold")&gt;0,"H",IF(COUNTIFS('Policy Assignments'!$C$5:$C$868,$A50,'Policy Assignments'!$B$5:$B$868,G$4,'Policy Assignments'!$E$5:$E$868,"Core")&gt;0,"R",IF(COUNTIFS('Policy Assignments'!$C$5:$C$868,$A50,'Policy Assignments'!$B$5:$B$868,G$4,'Policy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H50" s="94" t="str">
        <x:f>IF(COUNTIFS('Policy Assignments'!$C$5:$C$868,$A50,'Policy Assignments'!$B$5:$B$868,H$4,'Policy Assignments'!$E$5:$E$868,"Hold")&gt;0,"H",IF(COUNTIFS('Policy Assignments'!$C$5:$C$868,$A50,'Policy Assignments'!$B$5:$B$868,H$4,'Policy Assignments'!$E$5:$E$868,"Core")&gt;0,"R",IF(COUNTIFS('Policy Assignments'!$C$5:$C$868,$A50,'Policy Assignments'!$B$5:$B$868,H$4,'Policy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I50" s="94" t="str">
        <x:f>IF(COUNTIFS('Policy Assignments'!$C$5:$C$868,$A50,'Policy Assignments'!$B$5:$B$868,I$4,'Policy Assignments'!$E$5:$E$868,"Hold")&gt;0,"H",IF(COUNTIFS('Policy Assignments'!$C$5:$C$868,$A50,'Policy Assignments'!$B$5:$B$868,I$4,'Policy Assignments'!$E$5:$E$868,"Core")&gt;0,"R",IF(COUNTIFS('Policy Assignments'!$C$5:$C$868,$A50,'Policy Assignments'!$B$5:$B$868,I$4,'Policy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J50" s="94" t="str">
        <x:f>IF(COUNTIFS('Policy Assignments'!$C$5:$C$868,$A50,'Policy Assignments'!$B$5:$B$868,J$4,'Policy Assignments'!$E$5:$E$868,"Hold")&gt;0,"H",IF(COUNTIFS('Policy Assignments'!$C$5:$C$868,$A50,'Policy Assignments'!$B$5:$B$868,J$4,'Policy Assignments'!$E$5:$E$868,"Core")&gt;0,"R",IF(COUNTIFS('Policy Assignments'!$C$5:$C$868,$A50,'Policy Assignments'!$B$5:$B$868,J$4,'Policy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K50" s="94" t="str">
        <x:f>IF(COUNTIFS('Policy Assignments'!$C$5:$C$868,$A50,'Policy Assignments'!$B$5:$B$868,K$4,'Policy Assignments'!$E$5:$E$868,"Hold")&gt;0,"H",IF(COUNTIFS('Policy Assignments'!$C$5:$C$868,$A50,'Policy Assignments'!$B$5:$B$868,K$4,'Policy Assignments'!$E$5:$E$868,"Core")&gt;0,"R",IF(COUNTIFS('Policy Assignments'!$C$5:$C$868,$A50,'Policy Assignments'!$B$5:$B$868,K$4,'Policy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L50" s="94" t="str">
        <x:f>IF(COUNTIFS('Policy Assignments'!$C$5:$C$868,$A50,'Policy Assignments'!$B$5:$B$868,L$4,'Policy Assignments'!$E$5:$E$868,"Hold")&gt;0,"H",IF(COUNTIFS('Policy Assignments'!$C$5:$C$868,$A50,'Policy Assignments'!$B$5:$B$868,L$4,'Policy Assignments'!$E$5:$E$868,"Core")&gt;0,"R",IF(COUNTIFS('Policy Assignments'!$C$5:$C$868,$A50,'Policy Assignments'!$B$5:$B$868,L$4,'Policy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v>R</x:v>
      </x:c>
      <x:c r="M50" s="94" t="str">
        <x:f>IF(COUNTIFS('Policy Assignments'!$C$5:$C$868,$A50,'Policy Assignments'!$B$5:$B$868,M$4,'Policy Assignments'!$E$5:$E$868,"Hold")&gt;0,"H",IF(COUNTIFS('Policy Assignments'!$C$5:$C$868,$A50,'Policy Assignments'!$B$5:$B$868,M$4,'Policy Assignments'!$E$5:$E$868,"Core")&gt;0,"R",IF(COUNTIFS('Policy Assignments'!$C$5:$C$868,$A50,'Policy Assignments'!$B$5:$B$868,M$4,'Policy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c>
      <x:c r="N50" s="94" t="str">
        <x:f>IF(COUNTIFS('Policy Assignments'!$C$5:$C$868,$A50,'Policy Assignments'!$B$5:$B$868,N$4,'Policy Assignments'!$E$5:$E$868,"Hold")&gt;0,"H",IF(COUNTIFS('Policy Assignments'!$C$5:$C$868,$A50,'Policy Assignments'!$B$5:$B$868,N$4,'Policy Assignments'!$E$5:$E$868,"Core")&gt;0,"R",IF(COUNTIFS('Policy Assignments'!$C$5:$C$868,$A50,'Policy Assignments'!$B$5:$B$868,N$4,'Policy Assignments'!$E$5:$E$868,"Conditional")&gt;0,"C",IF(COUNTIFS('Policy Assignments'!$C$5:$C$868,$A50,'Policy Assignments'!$B$5:$B$868,"General",'Policy Assignments'!$E$5:$E$868,"Hold")&gt;0,"H",IF(COUNTIFS('Policy Assignments'!$C$5:$C$868,$A50,'Policy Assignments'!$B$5:$B$868,"General",'Policy Assignments'!$E$5:$E$868,"Conditional")&gt;0,"C",IF(COUNTIFS('Policy Assignments'!$C$5:$C$868,$A50,'Policy Assignments'!$B$5:$B$868,"General")&gt;0,"G",""))))))</x:f>
      </x:c>
      <x:c r="O50" s="94" t="str">
        <x:f>IF(COUNTIFS('Policy Assignments'!$C$5:$C$868,$A50,'Policy Assignments'!$B$5:$B$868,O$4,'Policy Assignments'!$E$5:$E$868,"Hold")&gt;0,"H",IF(COUNTIFS('Policy Assignments'!$C$5:$C$868,$A50,'Policy Assignments'!$B$5:$B$868,O$4,'Policy Assignments'!$E$5:$E$868,"Core")&gt;0,"R",IF(COUNTIFS('Policy Assignments'!$C$5:$C$868,$A50,'Policy Assignments'!$B$5:$B$868,O$4,'Policy Assignments'!$E$5:$E$868,"Conditional")&gt;0,"C","")))</x:f>
      </x:c>
      <x:c r="P50" s="90" t="str">
        <x:v>Mapped</x:v>
      </x:c>
    </x:row>
    <x:row r="51" ht="22" customHeight="1">
      <x:c r="A51" s="90" t="str">
        <x:v>CL-PR-005</x:v>
      </x:c>
      <x:c r="B51" s="90" t="str">
        <x:v>Emergency Preparedness — Clinical</x:v>
      </x:c>
      <x:c r="C51" s="94" t="str">
        <x:f>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c>
      <x:c r="D51" s="94" t="str">
        <x:f>IF(COUNTIFS('Policy Assignments'!$C$5:$C$868,$A51,'Policy Assignments'!$B$5:$B$868,D$4,'Policy Assignments'!$E$5:$E$868,"Hold")&gt;0,"H",IF(COUNTIFS('Policy Assignments'!$C$5:$C$868,$A51,'Policy Assignments'!$B$5:$B$868,D$4,'Policy Assignments'!$E$5:$E$868,"Core")&gt;0,"R",IF(COUNTIFS('Policy Assignments'!$C$5:$C$868,$A51,'Policy Assignments'!$B$5:$B$868,D$4,'Policy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E51" s="94" t="str">
        <x:f>IF(COUNTIFS('Policy Assignments'!$C$5:$C$868,$A51,'Policy Assignments'!$B$5:$B$868,E$4,'Policy Assignments'!$E$5:$E$868,"Hold")&gt;0,"H",IF(COUNTIFS('Policy Assignments'!$C$5:$C$868,$A51,'Policy Assignments'!$B$5:$B$868,E$4,'Policy Assignments'!$E$5:$E$868,"Core")&gt;0,"R",IF(COUNTIFS('Policy Assignments'!$C$5:$C$868,$A51,'Policy Assignments'!$B$5:$B$868,E$4,'Policy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F51" s="94" t="str">
        <x:f>IF(COUNTIFS('Policy Assignments'!$C$5:$C$868,$A51,'Policy Assignments'!$B$5:$B$868,F$4,'Policy Assignments'!$E$5:$E$868,"Hold")&gt;0,"H",IF(COUNTIFS('Policy Assignments'!$C$5:$C$868,$A51,'Policy Assignments'!$B$5:$B$868,F$4,'Policy Assignments'!$E$5:$E$868,"Core")&gt;0,"R",IF(COUNTIFS('Policy Assignments'!$C$5:$C$868,$A51,'Policy Assignments'!$B$5:$B$868,F$4,'Policy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G51" s="94" t="str">
        <x:f>IF(COUNTIFS('Policy Assignments'!$C$5:$C$868,$A51,'Policy Assignments'!$B$5:$B$868,G$4,'Policy Assignments'!$E$5:$E$868,"Hold")&gt;0,"H",IF(COUNTIFS('Policy Assignments'!$C$5:$C$868,$A51,'Policy Assignments'!$B$5:$B$868,G$4,'Policy Assignments'!$E$5:$E$868,"Core")&gt;0,"R",IF(COUNTIFS('Policy Assignments'!$C$5:$C$868,$A51,'Policy Assignments'!$B$5:$B$868,G$4,'Policy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H51" s="94" t="str">
        <x:f>IF(COUNTIFS('Policy Assignments'!$C$5:$C$868,$A51,'Policy Assignments'!$B$5:$B$868,H$4,'Policy Assignments'!$E$5:$E$868,"Hold")&gt;0,"H",IF(COUNTIFS('Policy Assignments'!$C$5:$C$868,$A51,'Policy Assignments'!$B$5:$B$868,H$4,'Policy Assignments'!$E$5:$E$868,"Core")&gt;0,"R",IF(COUNTIFS('Policy Assignments'!$C$5:$C$868,$A51,'Policy Assignments'!$B$5:$B$868,H$4,'Policy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I51" s="94" t="str">
        <x:f>IF(COUNTIFS('Policy Assignments'!$C$5:$C$868,$A51,'Policy Assignments'!$B$5:$B$868,I$4,'Policy Assignments'!$E$5:$E$868,"Hold")&gt;0,"H",IF(COUNTIFS('Policy Assignments'!$C$5:$C$868,$A51,'Policy Assignments'!$B$5:$B$868,I$4,'Policy Assignments'!$E$5:$E$868,"Core")&gt;0,"R",IF(COUNTIFS('Policy Assignments'!$C$5:$C$868,$A51,'Policy Assignments'!$B$5:$B$868,I$4,'Policy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J51" s="94" t="str">
        <x:f>IF(COUNTIFS('Policy Assignments'!$C$5:$C$868,$A51,'Policy Assignments'!$B$5:$B$868,J$4,'Policy Assignments'!$E$5:$E$868,"Hold")&gt;0,"H",IF(COUNTIFS('Policy Assignments'!$C$5:$C$868,$A51,'Policy Assignments'!$B$5:$B$868,J$4,'Policy Assignments'!$E$5:$E$868,"Core")&gt;0,"R",IF(COUNTIFS('Policy Assignments'!$C$5:$C$868,$A51,'Policy Assignments'!$B$5:$B$868,J$4,'Policy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K51" s="94" t="str">
        <x:f>IF(COUNTIFS('Policy Assignments'!$C$5:$C$868,$A51,'Policy Assignments'!$B$5:$B$868,K$4,'Policy Assignments'!$E$5:$E$868,"Hold")&gt;0,"H",IF(COUNTIFS('Policy Assignments'!$C$5:$C$868,$A51,'Policy Assignments'!$B$5:$B$868,K$4,'Policy Assignments'!$E$5:$E$868,"Core")&gt;0,"R",IF(COUNTIFS('Policy Assignments'!$C$5:$C$868,$A51,'Policy Assignments'!$B$5:$B$868,K$4,'Policy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L51" s="94" t="str">
        <x:f>IF(COUNTIFS('Policy Assignments'!$C$5:$C$868,$A51,'Policy Assignments'!$B$5:$B$868,L$4,'Policy Assignments'!$E$5:$E$868,"Hold")&gt;0,"H",IF(COUNTIFS('Policy Assignments'!$C$5:$C$868,$A51,'Policy Assignments'!$B$5:$B$868,L$4,'Policy Assignments'!$E$5:$E$868,"Core")&gt;0,"R",IF(COUNTIFS('Policy Assignments'!$C$5:$C$868,$A51,'Policy Assignments'!$B$5:$B$868,L$4,'Policy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v>R</x:v>
      </x:c>
      <x:c r="M51" s="94" t="str">
        <x:f>IF(COUNTIFS('Policy Assignments'!$C$5:$C$868,$A51,'Policy Assignments'!$B$5:$B$868,M$4,'Policy Assignments'!$E$5:$E$868,"Hold")&gt;0,"H",IF(COUNTIFS('Policy Assignments'!$C$5:$C$868,$A51,'Policy Assignments'!$B$5:$B$868,M$4,'Policy Assignments'!$E$5:$E$868,"Core")&gt;0,"R",IF(COUNTIFS('Policy Assignments'!$C$5:$C$868,$A51,'Policy Assignments'!$B$5:$B$868,M$4,'Policy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c>
      <x:c r="N51" s="94" t="str">
        <x:f>IF(COUNTIFS('Policy Assignments'!$C$5:$C$868,$A51,'Policy Assignments'!$B$5:$B$868,N$4,'Policy Assignments'!$E$5:$E$868,"Hold")&gt;0,"H",IF(COUNTIFS('Policy Assignments'!$C$5:$C$868,$A51,'Policy Assignments'!$B$5:$B$868,N$4,'Policy Assignments'!$E$5:$E$868,"Core")&gt;0,"R",IF(COUNTIFS('Policy Assignments'!$C$5:$C$868,$A51,'Policy Assignments'!$B$5:$B$868,N$4,'Policy Assignments'!$E$5:$E$868,"Conditional")&gt;0,"C",IF(COUNTIFS('Policy Assignments'!$C$5:$C$868,$A51,'Policy Assignments'!$B$5:$B$868,"General",'Policy Assignments'!$E$5:$E$868,"Hold")&gt;0,"H",IF(COUNTIFS('Policy Assignments'!$C$5:$C$868,$A51,'Policy Assignments'!$B$5:$B$868,"General",'Policy Assignments'!$E$5:$E$868,"Conditional")&gt;0,"C",IF(COUNTIFS('Policy Assignments'!$C$5:$C$868,$A51,'Policy Assignments'!$B$5:$B$868,"General")&gt;0,"G",""))))))</x:f>
      </x:c>
      <x:c r="O51" s="94" t="str">
        <x:f>IF(COUNTIFS('Policy Assignments'!$C$5:$C$868,$A51,'Policy Assignments'!$B$5:$B$868,O$4,'Policy Assignments'!$E$5:$E$868,"Hold")&gt;0,"H",IF(COUNTIFS('Policy Assignments'!$C$5:$C$868,$A51,'Policy Assignments'!$B$5:$B$868,O$4,'Policy Assignments'!$E$5:$E$868,"Core")&gt;0,"R",IF(COUNTIFS('Policy Assignments'!$C$5:$C$868,$A51,'Policy Assignments'!$B$5:$B$868,O$4,'Policy Assignments'!$E$5:$E$868,"Conditional")&gt;0,"C","")))</x:f>
      </x:c>
      <x:c r="P51" s="90" t="str">
        <x:v>Mapped</x:v>
      </x:c>
    </x:row>
    <x:row r="52" ht="22" customHeight="1">
      <x:c r="A52" s="90" t="str">
        <x:v>CL-PR-006</x:v>
      </x:c>
      <x:c r="B52" s="90" t="str">
        <x:v>Abuse, Neglect &amp; Exploitation Reporting</x:v>
      </x:c>
      <x:c r="C52" s="94" t="str">
        <x:f>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D52" s="94" t="str">
        <x:f>IF(COUNTIFS('Policy Assignments'!$C$5:$C$868,$A52,'Policy Assignments'!$B$5:$B$868,D$4,'Policy Assignments'!$E$5:$E$868,"Hold")&gt;0,"H",IF(COUNTIFS('Policy Assignments'!$C$5:$C$868,$A52,'Policy Assignments'!$B$5:$B$868,D$4,'Policy Assignments'!$E$5:$E$868,"Core")&gt;0,"R",IF(COUNTIFS('Policy Assignments'!$C$5:$C$868,$A52,'Policy Assignments'!$B$5:$B$868,D$4,'Policy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E52" s="94" t="str">
        <x:f>IF(COUNTIFS('Policy Assignments'!$C$5:$C$868,$A52,'Policy Assignments'!$B$5:$B$868,E$4,'Policy Assignments'!$E$5:$E$868,"Hold")&gt;0,"H",IF(COUNTIFS('Policy Assignments'!$C$5:$C$868,$A52,'Policy Assignments'!$B$5:$B$868,E$4,'Policy Assignments'!$E$5:$E$868,"Core")&gt;0,"R",IF(COUNTIFS('Policy Assignments'!$C$5:$C$868,$A52,'Policy Assignments'!$B$5:$B$868,E$4,'Policy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F52" s="94" t="str">
        <x:f>IF(COUNTIFS('Policy Assignments'!$C$5:$C$868,$A52,'Policy Assignments'!$B$5:$B$868,F$4,'Policy Assignments'!$E$5:$E$868,"Hold")&gt;0,"H",IF(COUNTIFS('Policy Assignments'!$C$5:$C$868,$A52,'Policy Assignments'!$B$5:$B$868,F$4,'Policy Assignments'!$E$5:$E$868,"Core")&gt;0,"R",IF(COUNTIFS('Policy Assignments'!$C$5:$C$868,$A52,'Policy Assignments'!$B$5:$B$868,F$4,'Policy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G52" s="94" t="str">
        <x:f>IF(COUNTIFS('Policy Assignments'!$C$5:$C$868,$A52,'Policy Assignments'!$B$5:$B$868,G$4,'Policy Assignments'!$E$5:$E$868,"Hold")&gt;0,"H",IF(COUNTIFS('Policy Assignments'!$C$5:$C$868,$A52,'Policy Assignments'!$B$5:$B$868,G$4,'Policy Assignments'!$E$5:$E$868,"Core")&gt;0,"R",IF(COUNTIFS('Policy Assignments'!$C$5:$C$868,$A52,'Policy Assignments'!$B$5:$B$868,G$4,'Policy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H52" s="94" t="str">
        <x:f>IF(COUNTIFS('Policy Assignments'!$C$5:$C$868,$A52,'Policy Assignments'!$B$5:$B$868,H$4,'Policy Assignments'!$E$5:$E$868,"Hold")&gt;0,"H",IF(COUNTIFS('Policy Assignments'!$C$5:$C$868,$A52,'Policy Assignments'!$B$5:$B$868,H$4,'Policy Assignments'!$E$5:$E$868,"Core")&gt;0,"R",IF(COUNTIFS('Policy Assignments'!$C$5:$C$868,$A52,'Policy Assignments'!$B$5:$B$868,H$4,'Policy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I52" s="94" t="str">
        <x:f>IF(COUNTIFS('Policy Assignments'!$C$5:$C$868,$A52,'Policy Assignments'!$B$5:$B$868,I$4,'Policy Assignments'!$E$5:$E$868,"Hold")&gt;0,"H",IF(COUNTIFS('Policy Assignments'!$C$5:$C$868,$A52,'Policy Assignments'!$B$5:$B$868,I$4,'Policy Assignments'!$E$5:$E$868,"Core")&gt;0,"R",IF(COUNTIFS('Policy Assignments'!$C$5:$C$868,$A52,'Policy Assignments'!$B$5:$B$868,I$4,'Policy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J52" s="94" t="str">
        <x:f>IF(COUNTIFS('Policy Assignments'!$C$5:$C$868,$A52,'Policy Assignments'!$B$5:$B$868,J$4,'Policy Assignments'!$E$5:$E$868,"Hold")&gt;0,"H",IF(COUNTIFS('Policy Assignments'!$C$5:$C$868,$A52,'Policy Assignments'!$B$5:$B$868,J$4,'Policy Assignments'!$E$5:$E$868,"Core")&gt;0,"R",IF(COUNTIFS('Policy Assignments'!$C$5:$C$868,$A52,'Policy Assignments'!$B$5:$B$868,J$4,'Policy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K52" s="94" t="str">
        <x:f>IF(COUNTIFS('Policy Assignments'!$C$5:$C$868,$A52,'Policy Assignments'!$B$5:$B$868,K$4,'Policy Assignments'!$E$5:$E$868,"Hold")&gt;0,"H",IF(COUNTIFS('Policy Assignments'!$C$5:$C$868,$A52,'Policy Assignments'!$B$5:$B$868,K$4,'Policy Assignments'!$E$5:$E$868,"Core")&gt;0,"R",IF(COUNTIFS('Policy Assignments'!$C$5:$C$868,$A52,'Policy Assignments'!$B$5:$B$868,K$4,'Policy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L52" s="94" t="str">
        <x:f>IF(COUNTIFS('Policy Assignments'!$C$5:$C$868,$A52,'Policy Assignments'!$B$5:$B$868,L$4,'Policy Assignments'!$E$5:$E$868,"Hold")&gt;0,"H",IF(COUNTIFS('Policy Assignments'!$C$5:$C$868,$A52,'Policy Assignments'!$B$5:$B$868,L$4,'Policy Assignments'!$E$5:$E$868,"Core")&gt;0,"R",IF(COUNTIFS('Policy Assignments'!$C$5:$C$868,$A52,'Policy Assignments'!$B$5:$B$868,L$4,'Policy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M52" s="94" t="str">
        <x:f>IF(COUNTIFS('Policy Assignments'!$C$5:$C$868,$A52,'Policy Assignments'!$B$5:$B$868,M$4,'Policy Assignments'!$E$5:$E$868,"Hold")&gt;0,"H",IF(COUNTIFS('Policy Assignments'!$C$5:$C$868,$A52,'Policy Assignments'!$B$5:$B$868,M$4,'Policy Assignments'!$E$5:$E$868,"Core")&gt;0,"R",IF(COUNTIFS('Policy Assignments'!$C$5:$C$868,$A52,'Policy Assignments'!$B$5:$B$868,M$4,'Policy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N52" s="94" t="str">
        <x:f>IF(COUNTIFS('Policy Assignments'!$C$5:$C$868,$A52,'Policy Assignments'!$B$5:$B$868,N$4,'Policy Assignments'!$E$5:$E$868,"Hold")&gt;0,"H",IF(COUNTIFS('Policy Assignments'!$C$5:$C$868,$A52,'Policy Assignments'!$B$5:$B$868,N$4,'Policy Assignments'!$E$5:$E$868,"Core")&gt;0,"R",IF(COUNTIFS('Policy Assignments'!$C$5:$C$868,$A52,'Policy Assignments'!$B$5:$B$868,N$4,'Policy Assignments'!$E$5:$E$868,"Conditional")&gt;0,"C",IF(COUNTIFS('Policy Assignments'!$C$5:$C$868,$A52,'Policy Assignments'!$B$5:$B$868,"General",'Policy Assignments'!$E$5:$E$868,"Hold")&gt;0,"H",IF(COUNTIFS('Policy Assignments'!$C$5:$C$868,$A52,'Policy Assignments'!$B$5:$B$868,"General",'Policy Assignments'!$E$5:$E$868,"Conditional")&gt;0,"C",IF(COUNTIFS('Policy Assignments'!$C$5:$C$868,$A52,'Policy Assignments'!$B$5:$B$868,"General")&gt;0,"G",""))))))</x:f>
        <x:v>G</x:v>
      </x:c>
      <x:c r="O52" s="94" t="str">
        <x:f>IF(COUNTIFS('Policy Assignments'!$C$5:$C$868,$A52,'Policy Assignments'!$B$5:$B$868,O$4,'Policy Assignments'!$E$5:$E$868,"Hold")&gt;0,"H",IF(COUNTIFS('Policy Assignments'!$C$5:$C$868,$A52,'Policy Assignments'!$B$5:$B$868,O$4,'Policy Assignments'!$E$5:$E$868,"Core")&gt;0,"R",IF(COUNTIFS('Policy Assignments'!$C$5:$C$868,$A52,'Policy Assignments'!$B$5:$B$868,O$4,'Policy Assignments'!$E$5:$E$868,"Conditional")&gt;0,"C","")))</x:f>
      </x:c>
      <x:c r="P52" s="90" t="str">
        <x:v>Mapped</x:v>
      </x:c>
    </x:row>
    <x:row r="53" ht="22" customHeight="1">
      <x:c r="A53" s="90" t="str">
        <x:v>CL-SD-001</x:v>
      </x:c>
      <x:c r="B53" s="90" t="str">
        <x:v>Skilled Nursing Assessment &amp; Services</x:v>
      </x:c>
      <x:c r="C53" s="94" t="str">
        <x:f>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D53" s="94" t="str">
        <x:f>IF(COUNTIFS('Policy Assignments'!$C$5:$C$868,$A53,'Policy Assignments'!$B$5:$B$868,D$4,'Policy Assignments'!$E$5:$E$868,"Hold")&gt;0,"H",IF(COUNTIFS('Policy Assignments'!$C$5:$C$868,$A53,'Policy Assignments'!$B$5:$B$868,D$4,'Policy Assignments'!$E$5:$E$868,"Core")&gt;0,"R",IF(COUNTIFS('Policy Assignments'!$C$5:$C$868,$A53,'Policy Assignments'!$B$5:$B$868,D$4,'Policy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v>R</x:v>
      </x:c>
      <x:c r="E53" s="94" t="str">
        <x:f>IF(COUNTIFS('Policy Assignments'!$C$5:$C$868,$A53,'Policy Assignments'!$B$5:$B$868,E$4,'Policy Assignments'!$E$5:$E$868,"Hold")&gt;0,"H",IF(COUNTIFS('Policy Assignments'!$C$5:$C$868,$A53,'Policy Assignments'!$B$5:$B$868,E$4,'Policy Assignments'!$E$5:$E$868,"Core")&gt;0,"R",IF(COUNTIFS('Policy Assignments'!$C$5:$C$868,$A53,'Policy Assignments'!$B$5:$B$868,E$4,'Policy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v>R</x:v>
      </x:c>
      <x:c r="F53" s="94" t="str">
        <x:f>IF(COUNTIFS('Policy Assignments'!$C$5:$C$868,$A53,'Policy Assignments'!$B$5:$B$868,F$4,'Policy Assignments'!$E$5:$E$868,"Hold")&gt;0,"H",IF(COUNTIFS('Policy Assignments'!$C$5:$C$868,$A53,'Policy Assignments'!$B$5:$B$868,F$4,'Policy Assignments'!$E$5:$E$868,"Core")&gt;0,"R",IF(COUNTIFS('Policy Assignments'!$C$5:$C$868,$A53,'Policy Assignments'!$B$5:$B$868,F$4,'Policy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G53" s="94" t="str">
        <x:f>IF(COUNTIFS('Policy Assignments'!$C$5:$C$868,$A53,'Policy Assignments'!$B$5:$B$868,G$4,'Policy Assignments'!$E$5:$E$868,"Hold")&gt;0,"H",IF(COUNTIFS('Policy Assignments'!$C$5:$C$868,$A53,'Policy Assignments'!$B$5:$B$868,G$4,'Policy Assignments'!$E$5:$E$868,"Core")&gt;0,"R",IF(COUNTIFS('Policy Assignments'!$C$5:$C$868,$A53,'Policy Assignments'!$B$5:$B$868,G$4,'Policy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H53" s="94" t="str">
        <x:f>IF(COUNTIFS('Policy Assignments'!$C$5:$C$868,$A53,'Policy Assignments'!$B$5:$B$868,H$4,'Policy Assignments'!$E$5:$E$868,"Hold")&gt;0,"H",IF(COUNTIFS('Policy Assignments'!$C$5:$C$868,$A53,'Policy Assignments'!$B$5:$B$868,H$4,'Policy Assignments'!$E$5:$E$868,"Core")&gt;0,"R",IF(COUNTIFS('Policy Assignments'!$C$5:$C$868,$A53,'Policy Assignments'!$B$5:$B$868,H$4,'Policy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I53" s="94" t="str">
        <x:f>IF(COUNTIFS('Policy Assignments'!$C$5:$C$868,$A53,'Policy Assignments'!$B$5:$B$868,I$4,'Policy Assignments'!$E$5:$E$868,"Hold")&gt;0,"H",IF(COUNTIFS('Policy Assignments'!$C$5:$C$868,$A53,'Policy Assignments'!$B$5:$B$868,I$4,'Policy Assignments'!$E$5:$E$868,"Core")&gt;0,"R",IF(COUNTIFS('Policy Assignments'!$C$5:$C$868,$A53,'Policy Assignments'!$B$5:$B$868,I$4,'Policy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J53" s="94" t="str">
        <x:f>IF(COUNTIFS('Policy Assignments'!$C$5:$C$868,$A53,'Policy Assignments'!$B$5:$B$868,J$4,'Policy Assignments'!$E$5:$E$868,"Hold")&gt;0,"H",IF(COUNTIFS('Policy Assignments'!$C$5:$C$868,$A53,'Policy Assignments'!$B$5:$B$868,J$4,'Policy Assignments'!$E$5:$E$868,"Core")&gt;0,"R",IF(COUNTIFS('Policy Assignments'!$C$5:$C$868,$A53,'Policy Assignments'!$B$5:$B$868,J$4,'Policy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K53" s="94" t="str">
        <x:f>IF(COUNTIFS('Policy Assignments'!$C$5:$C$868,$A53,'Policy Assignments'!$B$5:$B$868,K$4,'Policy Assignments'!$E$5:$E$868,"Hold")&gt;0,"H",IF(COUNTIFS('Policy Assignments'!$C$5:$C$868,$A53,'Policy Assignments'!$B$5:$B$868,K$4,'Policy Assignments'!$E$5:$E$868,"Core")&gt;0,"R",IF(COUNTIFS('Policy Assignments'!$C$5:$C$868,$A53,'Policy Assignments'!$B$5:$B$868,K$4,'Policy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L53" s="94" t="str">
        <x:f>IF(COUNTIFS('Policy Assignments'!$C$5:$C$868,$A53,'Policy Assignments'!$B$5:$B$868,L$4,'Policy Assignments'!$E$5:$E$868,"Hold")&gt;0,"H",IF(COUNTIFS('Policy Assignments'!$C$5:$C$868,$A53,'Policy Assignments'!$B$5:$B$868,L$4,'Policy Assignments'!$E$5:$E$868,"Core")&gt;0,"R",IF(COUNTIFS('Policy Assignments'!$C$5:$C$868,$A53,'Policy Assignments'!$B$5:$B$868,L$4,'Policy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M53" s="94" t="str">
        <x:f>IF(COUNTIFS('Policy Assignments'!$C$5:$C$868,$A53,'Policy Assignments'!$B$5:$B$868,M$4,'Policy Assignments'!$E$5:$E$868,"Hold")&gt;0,"H",IF(COUNTIFS('Policy Assignments'!$C$5:$C$868,$A53,'Policy Assignments'!$B$5:$B$868,M$4,'Policy Assignments'!$E$5:$E$868,"Core")&gt;0,"R",IF(COUNTIFS('Policy Assignments'!$C$5:$C$868,$A53,'Policy Assignments'!$B$5:$B$868,M$4,'Policy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c>
      <x:c r="N53" s="94" t="str">
        <x:f>IF(COUNTIFS('Policy Assignments'!$C$5:$C$868,$A53,'Policy Assignments'!$B$5:$B$868,N$4,'Policy Assignments'!$E$5:$E$868,"Hold")&gt;0,"H",IF(COUNTIFS('Policy Assignments'!$C$5:$C$868,$A53,'Policy Assignments'!$B$5:$B$868,N$4,'Policy Assignments'!$E$5:$E$868,"Core")&gt;0,"R",IF(COUNTIFS('Policy Assignments'!$C$5:$C$868,$A53,'Policy Assignments'!$B$5:$B$868,N$4,'Policy Assignments'!$E$5:$E$868,"Conditional")&gt;0,"C",IF(COUNTIFS('Policy Assignments'!$C$5:$C$868,$A53,'Policy Assignments'!$B$5:$B$868,"General",'Policy Assignments'!$E$5:$E$868,"Hold")&gt;0,"H",IF(COUNTIFS('Policy Assignments'!$C$5:$C$868,$A53,'Policy Assignments'!$B$5:$B$868,"General",'Policy Assignments'!$E$5:$E$868,"Conditional")&gt;0,"C",IF(COUNTIFS('Policy Assignments'!$C$5:$C$868,$A53,'Policy Assignments'!$B$5:$B$868,"General")&gt;0,"G",""))))))</x:f>
        <x:v>R</x:v>
      </x:c>
      <x:c r="O53" s="94" t="str">
        <x:f>IF(COUNTIFS('Policy Assignments'!$C$5:$C$868,$A53,'Policy Assignments'!$B$5:$B$868,O$4,'Policy Assignments'!$E$5:$E$868,"Hold")&gt;0,"H",IF(COUNTIFS('Policy Assignments'!$C$5:$C$868,$A53,'Policy Assignments'!$B$5:$B$868,O$4,'Policy Assignments'!$E$5:$E$868,"Core")&gt;0,"R",IF(COUNTIFS('Policy Assignments'!$C$5:$C$868,$A53,'Policy Assignments'!$B$5:$B$868,O$4,'Policy Assignments'!$E$5:$E$868,"Conditional")&gt;0,"C","")))</x:f>
      </x:c>
      <x:c r="P53" s="90" t="str">
        <x:v>Mapped</x:v>
      </x:c>
    </x:row>
    <x:row r="54" ht="22" customHeight="1">
      <x:c r="A54" s="90" t="str">
        <x:v>CL-SD-002</x:v>
      </x:c>
      <x:c r="B54" s="90" t="str">
        <x:v>Physical Therapy Services</x:v>
      </x:c>
      <x:c r="C54" s="94" t="str">
        <x:f>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D54" s="94" t="str">
        <x:f>IF(COUNTIFS('Policy Assignments'!$C$5:$C$868,$A54,'Policy Assignments'!$B$5:$B$868,D$4,'Policy Assignments'!$E$5:$E$868,"Hold")&gt;0,"H",IF(COUNTIFS('Policy Assignments'!$C$5:$C$868,$A54,'Policy Assignments'!$B$5:$B$868,D$4,'Policy Assignments'!$E$5:$E$868,"Core")&gt;0,"R",IF(COUNTIFS('Policy Assignments'!$C$5:$C$868,$A54,'Policy Assignments'!$B$5:$B$868,D$4,'Policy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E54" s="94" t="str">
        <x:f>IF(COUNTIFS('Policy Assignments'!$C$5:$C$868,$A54,'Policy Assignments'!$B$5:$B$868,E$4,'Policy Assignments'!$E$5:$E$868,"Hold")&gt;0,"H",IF(COUNTIFS('Policy Assignments'!$C$5:$C$868,$A54,'Policy Assignments'!$B$5:$B$868,E$4,'Policy Assignments'!$E$5:$E$868,"Core")&gt;0,"R",IF(COUNTIFS('Policy Assignments'!$C$5:$C$868,$A54,'Policy Assignments'!$B$5:$B$868,E$4,'Policy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F54" s="94" t="str">
        <x:f>IF(COUNTIFS('Policy Assignments'!$C$5:$C$868,$A54,'Policy Assignments'!$B$5:$B$868,F$4,'Policy Assignments'!$E$5:$E$868,"Hold")&gt;0,"H",IF(COUNTIFS('Policy Assignments'!$C$5:$C$868,$A54,'Policy Assignments'!$B$5:$B$868,F$4,'Policy Assignments'!$E$5:$E$868,"Core")&gt;0,"R",IF(COUNTIFS('Policy Assignments'!$C$5:$C$868,$A54,'Policy Assignments'!$B$5:$B$868,F$4,'Policy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G54" s="94" t="str">
        <x:f>IF(COUNTIFS('Policy Assignments'!$C$5:$C$868,$A54,'Policy Assignments'!$B$5:$B$868,G$4,'Policy Assignments'!$E$5:$E$868,"Hold")&gt;0,"H",IF(COUNTIFS('Policy Assignments'!$C$5:$C$868,$A54,'Policy Assignments'!$B$5:$B$868,G$4,'Policy Assignments'!$E$5:$E$868,"Core")&gt;0,"R",IF(COUNTIFS('Policy Assignments'!$C$5:$C$868,$A54,'Policy Assignments'!$B$5:$B$868,G$4,'Policy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v>R</x:v>
      </x:c>
      <x:c r="H54" s="94" t="str">
        <x:f>IF(COUNTIFS('Policy Assignments'!$C$5:$C$868,$A54,'Policy Assignments'!$B$5:$B$868,H$4,'Policy Assignments'!$E$5:$E$868,"Hold")&gt;0,"H",IF(COUNTIFS('Policy Assignments'!$C$5:$C$868,$A54,'Policy Assignments'!$B$5:$B$868,H$4,'Policy Assignments'!$E$5:$E$868,"Core")&gt;0,"R",IF(COUNTIFS('Policy Assignments'!$C$5:$C$868,$A54,'Policy Assignments'!$B$5:$B$868,H$4,'Policy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v>R</x:v>
      </x:c>
      <x:c r="I54" s="94" t="str">
        <x:f>IF(COUNTIFS('Policy Assignments'!$C$5:$C$868,$A54,'Policy Assignments'!$B$5:$B$868,I$4,'Policy Assignments'!$E$5:$E$868,"Hold")&gt;0,"H",IF(COUNTIFS('Policy Assignments'!$C$5:$C$868,$A54,'Policy Assignments'!$B$5:$B$868,I$4,'Policy Assignments'!$E$5:$E$868,"Core")&gt;0,"R",IF(COUNTIFS('Policy Assignments'!$C$5:$C$868,$A54,'Policy Assignments'!$B$5:$B$868,I$4,'Policy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J54" s="94" t="str">
        <x:f>IF(COUNTIFS('Policy Assignments'!$C$5:$C$868,$A54,'Policy Assignments'!$B$5:$B$868,J$4,'Policy Assignments'!$E$5:$E$868,"Hold")&gt;0,"H",IF(COUNTIFS('Policy Assignments'!$C$5:$C$868,$A54,'Policy Assignments'!$B$5:$B$868,J$4,'Policy Assignments'!$E$5:$E$868,"Core")&gt;0,"R",IF(COUNTIFS('Policy Assignments'!$C$5:$C$868,$A54,'Policy Assignments'!$B$5:$B$868,J$4,'Policy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K54" s="94" t="str">
        <x:f>IF(COUNTIFS('Policy Assignments'!$C$5:$C$868,$A54,'Policy Assignments'!$B$5:$B$868,K$4,'Policy Assignments'!$E$5:$E$868,"Hold")&gt;0,"H",IF(COUNTIFS('Policy Assignments'!$C$5:$C$868,$A54,'Policy Assignments'!$B$5:$B$868,K$4,'Policy Assignments'!$E$5:$E$868,"Core")&gt;0,"R",IF(COUNTIFS('Policy Assignments'!$C$5:$C$868,$A54,'Policy Assignments'!$B$5:$B$868,K$4,'Policy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L54" s="94" t="str">
        <x:f>IF(COUNTIFS('Policy Assignments'!$C$5:$C$868,$A54,'Policy Assignments'!$B$5:$B$868,L$4,'Policy Assignments'!$E$5:$E$868,"Hold")&gt;0,"H",IF(COUNTIFS('Policy Assignments'!$C$5:$C$868,$A54,'Policy Assignments'!$B$5:$B$868,L$4,'Policy Assignments'!$E$5:$E$868,"Core")&gt;0,"R",IF(COUNTIFS('Policy Assignments'!$C$5:$C$868,$A54,'Policy Assignments'!$B$5:$B$868,L$4,'Policy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M54" s="94" t="str">
        <x:f>IF(COUNTIFS('Policy Assignments'!$C$5:$C$868,$A54,'Policy Assignments'!$B$5:$B$868,M$4,'Policy Assignments'!$E$5:$E$868,"Hold")&gt;0,"H",IF(COUNTIFS('Policy Assignments'!$C$5:$C$868,$A54,'Policy Assignments'!$B$5:$B$868,M$4,'Policy Assignments'!$E$5:$E$868,"Core")&gt;0,"R",IF(COUNTIFS('Policy Assignments'!$C$5:$C$868,$A54,'Policy Assignments'!$B$5:$B$868,M$4,'Policy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c>
      <x:c r="N54" s="94" t="str">
        <x:f>IF(COUNTIFS('Policy Assignments'!$C$5:$C$868,$A54,'Policy Assignments'!$B$5:$B$868,N$4,'Policy Assignments'!$E$5:$E$868,"Hold")&gt;0,"H",IF(COUNTIFS('Policy Assignments'!$C$5:$C$868,$A54,'Policy Assignments'!$B$5:$B$868,N$4,'Policy Assignments'!$E$5:$E$868,"Core")&gt;0,"R",IF(COUNTIFS('Policy Assignments'!$C$5:$C$868,$A54,'Policy Assignments'!$B$5:$B$868,N$4,'Policy Assignments'!$E$5:$E$868,"Conditional")&gt;0,"C",IF(COUNTIFS('Policy Assignments'!$C$5:$C$868,$A54,'Policy Assignments'!$B$5:$B$868,"General",'Policy Assignments'!$E$5:$E$868,"Hold")&gt;0,"H",IF(COUNTIFS('Policy Assignments'!$C$5:$C$868,$A54,'Policy Assignments'!$B$5:$B$868,"General",'Policy Assignments'!$E$5:$E$868,"Conditional")&gt;0,"C",IF(COUNTIFS('Policy Assignments'!$C$5:$C$868,$A54,'Policy Assignments'!$B$5:$B$868,"General")&gt;0,"G",""))))))</x:f>
        <x:v>R</x:v>
      </x:c>
      <x:c r="O54" s="94" t="str">
        <x:f>IF(COUNTIFS('Policy Assignments'!$C$5:$C$868,$A54,'Policy Assignments'!$B$5:$B$868,O$4,'Policy Assignments'!$E$5:$E$868,"Hold")&gt;0,"H",IF(COUNTIFS('Policy Assignments'!$C$5:$C$868,$A54,'Policy Assignments'!$B$5:$B$868,O$4,'Policy Assignments'!$E$5:$E$868,"Core")&gt;0,"R",IF(COUNTIFS('Policy Assignments'!$C$5:$C$868,$A54,'Policy Assignments'!$B$5:$B$868,O$4,'Policy Assignments'!$E$5:$E$868,"Conditional")&gt;0,"C","")))</x:f>
      </x:c>
      <x:c r="P54" s="90" t="str">
        <x:v>Mapped</x:v>
      </x:c>
    </x:row>
    <x:row r="55" ht="22" customHeight="1">
      <x:c r="A55" s="90" t="str">
        <x:v>CL-SD-003</x:v>
      </x:c>
      <x:c r="B55" s="90" t="str">
        <x:v>Occupational Therapy Services</x:v>
      </x:c>
      <x:c r="C55" s="94" t="str">
        <x:f>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D55" s="94" t="str">
        <x:f>IF(COUNTIFS('Policy Assignments'!$C$5:$C$868,$A55,'Policy Assignments'!$B$5:$B$868,D$4,'Policy Assignments'!$E$5:$E$868,"Hold")&gt;0,"H",IF(COUNTIFS('Policy Assignments'!$C$5:$C$868,$A55,'Policy Assignments'!$B$5:$B$868,D$4,'Policy Assignments'!$E$5:$E$868,"Core")&gt;0,"R",IF(COUNTIFS('Policy Assignments'!$C$5:$C$868,$A55,'Policy Assignments'!$B$5:$B$868,D$4,'Policy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E55" s="94" t="str">
        <x:f>IF(COUNTIFS('Policy Assignments'!$C$5:$C$868,$A55,'Policy Assignments'!$B$5:$B$868,E$4,'Policy Assignments'!$E$5:$E$868,"Hold")&gt;0,"H",IF(COUNTIFS('Policy Assignments'!$C$5:$C$868,$A55,'Policy Assignments'!$B$5:$B$868,E$4,'Policy Assignments'!$E$5:$E$868,"Core")&gt;0,"R",IF(COUNTIFS('Policy Assignments'!$C$5:$C$868,$A55,'Policy Assignments'!$B$5:$B$868,E$4,'Policy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F55" s="94" t="str">
        <x:f>IF(COUNTIFS('Policy Assignments'!$C$5:$C$868,$A55,'Policy Assignments'!$B$5:$B$868,F$4,'Policy Assignments'!$E$5:$E$868,"Hold")&gt;0,"H",IF(COUNTIFS('Policy Assignments'!$C$5:$C$868,$A55,'Policy Assignments'!$B$5:$B$868,F$4,'Policy Assignments'!$E$5:$E$868,"Core")&gt;0,"R",IF(COUNTIFS('Policy Assignments'!$C$5:$C$868,$A55,'Policy Assignments'!$B$5:$B$868,F$4,'Policy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G55" s="94" t="str">
        <x:f>IF(COUNTIFS('Policy Assignments'!$C$5:$C$868,$A55,'Policy Assignments'!$B$5:$B$868,G$4,'Policy Assignments'!$E$5:$E$868,"Hold")&gt;0,"H",IF(COUNTIFS('Policy Assignments'!$C$5:$C$868,$A55,'Policy Assignments'!$B$5:$B$868,G$4,'Policy Assignments'!$E$5:$E$868,"Core")&gt;0,"R",IF(COUNTIFS('Policy Assignments'!$C$5:$C$868,$A55,'Policy Assignments'!$B$5:$B$868,G$4,'Policy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H55" s="94" t="str">
        <x:f>IF(COUNTIFS('Policy Assignments'!$C$5:$C$868,$A55,'Policy Assignments'!$B$5:$B$868,H$4,'Policy Assignments'!$E$5:$E$868,"Hold")&gt;0,"H",IF(COUNTIFS('Policy Assignments'!$C$5:$C$868,$A55,'Policy Assignments'!$B$5:$B$868,H$4,'Policy Assignments'!$E$5:$E$868,"Core")&gt;0,"R",IF(COUNTIFS('Policy Assignments'!$C$5:$C$868,$A55,'Policy Assignments'!$B$5:$B$868,H$4,'Policy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I55" s="94" t="str">
        <x:f>IF(COUNTIFS('Policy Assignments'!$C$5:$C$868,$A55,'Policy Assignments'!$B$5:$B$868,I$4,'Policy Assignments'!$E$5:$E$868,"Hold")&gt;0,"H",IF(COUNTIFS('Policy Assignments'!$C$5:$C$868,$A55,'Policy Assignments'!$B$5:$B$868,I$4,'Policy Assignments'!$E$5:$E$868,"Core")&gt;0,"R",IF(COUNTIFS('Policy Assignments'!$C$5:$C$868,$A55,'Policy Assignments'!$B$5:$B$868,I$4,'Policy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v>R</x:v>
      </x:c>
      <x:c r="J55" s="94" t="str">
        <x:f>IF(COUNTIFS('Policy Assignments'!$C$5:$C$868,$A55,'Policy Assignments'!$B$5:$B$868,J$4,'Policy Assignments'!$E$5:$E$868,"Hold")&gt;0,"H",IF(COUNTIFS('Policy Assignments'!$C$5:$C$868,$A55,'Policy Assignments'!$B$5:$B$868,J$4,'Policy Assignments'!$E$5:$E$868,"Core")&gt;0,"R",IF(COUNTIFS('Policy Assignments'!$C$5:$C$868,$A55,'Policy Assignments'!$B$5:$B$868,J$4,'Policy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v>R</x:v>
      </x:c>
      <x:c r="K55" s="94" t="str">
        <x:f>IF(COUNTIFS('Policy Assignments'!$C$5:$C$868,$A55,'Policy Assignments'!$B$5:$B$868,K$4,'Policy Assignments'!$E$5:$E$868,"Hold")&gt;0,"H",IF(COUNTIFS('Policy Assignments'!$C$5:$C$868,$A55,'Policy Assignments'!$B$5:$B$868,K$4,'Policy Assignments'!$E$5:$E$868,"Core")&gt;0,"R",IF(COUNTIFS('Policy Assignments'!$C$5:$C$868,$A55,'Policy Assignments'!$B$5:$B$868,K$4,'Policy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L55" s="94" t="str">
        <x:f>IF(COUNTIFS('Policy Assignments'!$C$5:$C$868,$A55,'Policy Assignments'!$B$5:$B$868,L$4,'Policy Assignments'!$E$5:$E$868,"Hold")&gt;0,"H",IF(COUNTIFS('Policy Assignments'!$C$5:$C$868,$A55,'Policy Assignments'!$B$5:$B$868,L$4,'Policy Assignments'!$E$5:$E$868,"Core")&gt;0,"R",IF(COUNTIFS('Policy Assignments'!$C$5:$C$868,$A55,'Policy Assignments'!$B$5:$B$868,L$4,'Policy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M55" s="94" t="str">
        <x:f>IF(COUNTIFS('Policy Assignments'!$C$5:$C$868,$A55,'Policy Assignments'!$B$5:$B$868,M$4,'Policy Assignments'!$E$5:$E$868,"Hold")&gt;0,"H",IF(COUNTIFS('Policy Assignments'!$C$5:$C$868,$A55,'Policy Assignments'!$B$5:$B$868,M$4,'Policy Assignments'!$E$5:$E$868,"Core")&gt;0,"R",IF(COUNTIFS('Policy Assignments'!$C$5:$C$868,$A55,'Policy Assignments'!$B$5:$B$868,M$4,'Policy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c>
      <x:c r="N55" s="94" t="str">
        <x:f>IF(COUNTIFS('Policy Assignments'!$C$5:$C$868,$A55,'Policy Assignments'!$B$5:$B$868,N$4,'Policy Assignments'!$E$5:$E$868,"Hold")&gt;0,"H",IF(COUNTIFS('Policy Assignments'!$C$5:$C$868,$A55,'Policy Assignments'!$B$5:$B$868,N$4,'Policy Assignments'!$E$5:$E$868,"Core")&gt;0,"R",IF(COUNTIFS('Policy Assignments'!$C$5:$C$868,$A55,'Policy Assignments'!$B$5:$B$868,N$4,'Policy Assignments'!$E$5:$E$868,"Conditional")&gt;0,"C",IF(COUNTIFS('Policy Assignments'!$C$5:$C$868,$A55,'Policy Assignments'!$B$5:$B$868,"General",'Policy Assignments'!$E$5:$E$868,"Hold")&gt;0,"H",IF(COUNTIFS('Policy Assignments'!$C$5:$C$868,$A55,'Policy Assignments'!$B$5:$B$868,"General",'Policy Assignments'!$E$5:$E$868,"Conditional")&gt;0,"C",IF(COUNTIFS('Policy Assignments'!$C$5:$C$868,$A55,'Policy Assignments'!$B$5:$B$868,"General")&gt;0,"G",""))))))</x:f>
        <x:v>R</x:v>
      </x:c>
      <x:c r="O55" s="94" t="str">
        <x:f>IF(COUNTIFS('Policy Assignments'!$C$5:$C$868,$A55,'Policy Assignments'!$B$5:$B$868,O$4,'Policy Assignments'!$E$5:$E$868,"Hold")&gt;0,"H",IF(COUNTIFS('Policy Assignments'!$C$5:$C$868,$A55,'Policy Assignments'!$B$5:$B$868,O$4,'Policy Assignments'!$E$5:$E$868,"Core")&gt;0,"R",IF(COUNTIFS('Policy Assignments'!$C$5:$C$868,$A55,'Policy Assignments'!$B$5:$B$868,O$4,'Policy Assignments'!$E$5:$E$868,"Conditional")&gt;0,"C","")))</x:f>
      </x:c>
      <x:c r="P55" s="90" t="str">
        <x:v>Mapped</x:v>
      </x:c>
    </x:row>
    <x:row r="56" ht="22" customHeight="1">
      <x:c r="A56" s="90" t="str">
        <x:v>CL-SD-004</x:v>
      </x:c>
      <x:c r="B56" s="90" t="str">
        <x:v>Speech-Language Pathology Services</x:v>
      </x:c>
      <x:c r="C56" s="94" t="str">
        <x:f>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D56" s="94" t="str">
        <x:f>IF(COUNTIFS('Policy Assignments'!$C$5:$C$868,$A56,'Policy Assignments'!$B$5:$B$868,D$4,'Policy Assignments'!$E$5:$E$868,"Hold")&gt;0,"H",IF(COUNTIFS('Policy Assignments'!$C$5:$C$868,$A56,'Policy Assignments'!$B$5:$B$868,D$4,'Policy Assignments'!$E$5:$E$868,"Core")&gt;0,"R",IF(COUNTIFS('Policy Assignments'!$C$5:$C$868,$A56,'Policy Assignments'!$B$5:$B$868,D$4,'Policy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E56" s="94" t="str">
        <x:f>IF(COUNTIFS('Policy Assignments'!$C$5:$C$868,$A56,'Policy Assignments'!$B$5:$B$868,E$4,'Policy Assignments'!$E$5:$E$868,"Hold")&gt;0,"H",IF(COUNTIFS('Policy Assignments'!$C$5:$C$868,$A56,'Policy Assignments'!$B$5:$B$868,E$4,'Policy Assignments'!$E$5:$E$868,"Core")&gt;0,"R",IF(COUNTIFS('Policy Assignments'!$C$5:$C$868,$A56,'Policy Assignments'!$B$5:$B$868,E$4,'Policy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F56" s="94" t="str">
        <x:f>IF(COUNTIFS('Policy Assignments'!$C$5:$C$868,$A56,'Policy Assignments'!$B$5:$B$868,F$4,'Policy Assignments'!$E$5:$E$868,"Hold")&gt;0,"H",IF(COUNTIFS('Policy Assignments'!$C$5:$C$868,$A56,'Policy Assignments'!$B$5:$B$868,F$4,'Policy Assignments'!$E$5:$E$868,"Core")&gt;0,"R",IF(COUNTIFS('Policy Assignments'!$C$5:$C$868,$A56,'Policy Assignments'!$B$5:$B$868,F$4,'Policy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G56" s="94" t="str">
        <x:f>IF(COUNTIFS('Policy Assignments'!$C$5:$C$868,$A56,'Policy Assignments'!$B$5:$B$868,G$4,'Policy Assignments'!$E$5:$E$868,"Hold")&gt;0,"H",IF(COUNTIFS('Policy Assignments'!$C$5:$C$868,$A56,'Policy Assignments'!$B$5:$B$868,G$4,'Policy Assignments'!$E$5:$E$868,"Core")&gt;0,"R",IF(COUNTIFS('Policy Assignments'!$C$5:$C$868,$A56,'Policy Assignments'!$B$5:$B$868,G$4,'Policy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H56" s="94" t="str">
        <x:f>IF(COUNTIFS('Policy Assignments'!$C$5:$C$868,$A56,'Policy Assignments'!$B$5:$B$868,H$4,'Policy Assignments'!$E$5:$E$868,"Hold")&gt;0,"H",IF(COUNTIFS('Policy Assignments'!$C$5:$C$868,$A56,'Policy Assignments'!$B$5:$B$868,H$4,'Policy Assignments'!$E$5:$E$868,"Core")&gt;0,"R",IF(COUNTIFS('Policy Assignments'!$C$5:$C$868,$A56,'Policy Assignments'!$B$5:$B$868,H$4,'Policy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I56" s="94" t="str">
        <x:f>IF(COUNTIFS('Policy Assignments'!$C$5:$C$868,$A56,'Policy Assignments'!$B$5:$B$868,I$4,'Policy Assignments'!$E$5:$E$868,"Hold")&gt;0,"H",IF(COUNTIFS('Policy Assignments'!$C$5:$C$868,$A56,'Policy Assignments'!$B$5:$B$868,I$4,'Policy Assignments'!$E$5:$E$868,"Core")&gt;0,"R",IF(COUNTIFS('Policy Assignments'!$C$5:$C$868,$A56,'Policy Assignments'!$B$5:$B$868,I$4,'Policy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J56" s="94" t="str">
        <x:f>IF(COUNTIFS('Policy Assignments'!$C$5:$C$868,$A56,'Policy Assignments'!$B$5:$B$868,J$4,'Policy Assignments'!$E$5:$E$868,"Hold")&gt;0,"H",IF(COUNTIFS('Policy Assignments'!$C$5:$C$868,$A56,'Policy Assignments'!$B$5:$B$868,J$4,'Policy Assignments'!$E$5:$E$868,"Core")&gt;0,"R",IF(COUNTIFS('Policy Assignments'!$C$5:$C$868,$A56,'Policy Assignments'!$B$5:$B$868,J$4,'Policy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K56" s="94" t="str">
        <x:f>IF(COUNTIFS('Policy Assignments'!$C$5:$C$868,$A56,'Policy Assignments'!$B$5:$B$868,K$4,'Policy Assignments'!$E$5:$E$868,"Hold")&gt;0,"H",IF(COUNTIFS('Policy Assignments'!$C$5:$C$868,$A56,'Policy Assignments'!$B$5:$B$868,K$4,'Policy Assignments'!$E$5:$E$868,"Core")&gt;0,"R",IF(COUNTIFS('Policy Assignments'!$C$5:$C$868,$A56,'Policy Assignments'!$B$5:$B$868,K$4,'Policy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v>R</x:v>
      </x:c>
      <x:c r="L56" s="94" t="str">
        <x:f>IF(COUNTIFS('Policy Assignments'!$C$5:$C$868,$A56,'Policy Assignments'!$B$5:$B$868,L$4,'Policy Assignments'!$E$5:$E$868,"Hold")&gt;0,"H",IF(COUNTIFS('Policy Assignments'!$C$5:$C$868,$A56,'Policy Assignments'!$B$5:$B$868,L$4,'Policy Assignments'!$E$5:$E$868,"Core")&gt;0,"R",IF(COUNTIFS('Policy Assignments'!$C$5:$C$868,$A56,'Policy Assignments'!$B$5:$B$868,L$4,'Policy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M56" s="94" t="str">
        <x:f>IF(COUNTIFS('Policy Assignments'!$C$5:$C$868,$A56,'Policy Assignments'!$B$5:$B$868,M$4,'Policy Assignments'!$E$5:$E$868,"Hold")&gt;0,"H",IF(COUNTIFS('Policy Assignments'!$C$5:$C$868,$A56,'Policy Assignments'!$B$5:$B$868,M$4,'Policy Assignments'!$E$5:$E$868,"Core")&gt;0,"R",IF(COUNTIFS('Policy Assignments'!$C$5:$C$868,$A56,'Policy Assignments'!$B$5:$B$868,M$4,'Policy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c>
      <x:c r="N56" s="94" t="str">
        <x:f>IF(COUNTIFS('Policy Assignments'!$C$5:$C$868,$A56,'Policy Assignments'!$B$5:$B$868,N$4,'Policy Assignments'!$E$5:$E$868,"Hold")&gt;0,"H",IF(COUNTIFS('Policy Assignments'!$C$5:$C$868,$A56,'Policy Assignments'!$B$5:$B$868,N$4,'Policy Assignments'!$E$5:$E$868,"Core")&gt;0,"R",IF(COUNTIFS('Policy Assignments'!$C$5:$C$868,$A56,'Policy Assignments'!$B$5:$B$868,N$4,'Policy Assignments'!$E$5:$E$868,"Conditional")&gt;0,"C",IF(COUNTIFS('Policy Assignments'!$C$5:$C$868,$A56,'Policy Assignments'!$B$5:$B$868,"General",'Policy Assignments'!$E$5:$E$868,"Hold")&gt;0,"H",IF(COUNTIFS('Policy Assignments'!$C$5:$C$868,$A56,'Policy Assignments'!$B$5:$B$868,"General",'Policy Assignments'!$E$5:$E$868,"Conditional")&gt;0,"C",IF(COUNTIFS('Policy Assignments'!$C$5:$C$868,$A56,'Policy Assignments'!$B$5:$B$868,"General")&gt;0,"G",""))))))</x:f>
        <x:v>R</x:v>
      </x:c>
      <x:c r="O56" s="94" t="str">
        <x:f>IF(COUNTIFS('Policy Assignments'!$C$5:$C$868,$A56,'Policy Assignments'!$B$5:$B$868,O$4,'Policy Assignments'!$E$5:$E$868,"Hold")&gt;0,"H",IF(COUNTIFS('Policy Assignments'!$C$5:$C$868,$A56,'Policy Assignments'!$B$5:$B$868,O$4,'Policy Assignments'!$E$5:$E$868,"Core")&gt;0,"R",IF(COUNTIFS('Policy Assignments'!$C$5:$C$868,$A56,'Policy Assignments'!$B$5:$B$868,O$4,'Policy Assignments'!$E$5:$E$868,"Conditional")&gt;0,"C","")))</x:f>
      </x:c>
      <x:c r="P56" s="90" t="str">
        <x:v>Mapped</x:v>
      </x:c>
    </x:row>
    <x:row r="57" ht="22" customHeight="1">
      <x:c r="A57" s="90" t="str">
        <x:v>CL-SD-005</x:v>
      </x:c>
      <x:c r="B57" s="90" t="str">
        <x:v>Medical Social Work Services</x:v>
      </x:c>
      <x:c r="C57" s="94" t="str">
        <x:f>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D57" s="94" t="str">
        <x:f>IF(COUNTIFS('Policy Assignments'!$C$5:$C$868,$A57,'Policy Assignments'!$B$5:$B$868,D$4,'Policy Assignments'!$E$5:$E$868,"Hold")&gt;0,"H",IF(COUNTIFS('Policy Assignments'!$C$5:$C$868,$A57,'Policy Assignments'!$B$5:$B$868,D$4,'Policy Assignments'!$E$5:$E$868,"Core")&gt;0,"R",IF(COUNTIFS('Policy Assignments'!$C$5:$C$868,$A57,'Policy Assignments'!$B$5:$B$868,D$4,'Policy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E57" s="94" t="str">
        <x:f>IF(COUNTIFS('Policy Assignments'!$C$5:$C$868,$A57,'Policy Assignments'!$B$5:$B$868,E$4,'Policy Assignments'!$E$5:$E$868,"Hold")&gt;0,"H",IF(COUNTIFS('Policy Assignments'!$C$5:$C$868,$A57,'Policy Assignments'!$B$5:$B$868,E$4,'Policy Assignments'!$E$5:$E$868,"Core")&gt;0,"R",IF(COUNTIFS('Policy Assignments'!$C$5:$C$868,$A57,'Policy Assignments'!$B$5:$B$868,E$4,'Policy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F57" s="94" t="str">
        <x:f>IF(COUNTIFS('Policy Assignments'!$C$5:$C$868,$A57,'Policy Assignments'!$B$5:$B$868,F$4,'Policy Assignments'!$E$5:$E$868,"Hold")&gt;0,"H",IF(COUNTIFS('Policy Assignments'!$C$5:$C$868,$A57,'Policy Assignments'!$B$5:$B$868,F$4,'Policy Assignments'!$E$5:$E$868,"Core")&gt;0,"R",IF(COUNTIFS('Policy Assignments'!$C$5:$C$868,$A57,'Policy Assignments'!$B$5:$B$868,F$4,'Policy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G57" s="94" t="str">
        <x:f>IF(COUNTIFS('Policy Assignments'!$C$5:$C$868,$A57,'Policy Assignments'!$B$5:$B$868,G$4,'Policy Assignments'!$E$5:$E$868,"Hold")&gt;0,"H",IF(COUNTIFS('Policy Assignments'!$C$5:$C$868,$A57,'Policy Assignments'!$B$5:$B$868,G$4,'Policy Assignments'!$E$5:$E$868,"Core")&gt;0,"R",IF(COUNTIFS('Policy Assignments'!$C$5:$C$868,$A57,'Policy Assignments'!$B$5:$B$868,G$4,'Policy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H57" s="94" t="str">
        <x:f>IF(COUNTIFS('Policy Assignments'!$C$5:$C$868,$A57,'Policy Assignments'!$B$5:$B$868,H$4,'Policy Assignments'!$E$5:$E$868,"Hold")&gt;0,"H",IF(COUNTIFS('Policy Assignments'!$C$5:$C$868,$A57,'Policy Assignments'!$B$5:$B$868,H$4,'Policy Assignments'!$E$5:$E$868,"Core")&gt;0,"R",IF(COUNTIFS('Policy Assignments'!$C$5:$C$868,$A57,'Policy Assignments'!$B$5:$B$868,H$4,'Policy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I57" s="94" t="str">
        <x:f>IF(COUNTIFS('Policy Assignments'!$C$5:$C$868,$A57,'Policy Assignments'!$B$5:$B$868,I$4,'Policy Assignments'!$E$5:$E$868,"Hold")&gt;0,"H",IF(COUNTIFS('Policy Assignments'!$C$5:$C$868,$A57,'Policy Assignments'!$B$5:$B$868,I$4,'Policy Assignments'!$E$5:$E$868,"Core")&gt;0,"R",IF(COUNTIFS('Policy Assignments'!$C$5:$C$868,$A57,'Policy Assignments'!$B$5:$B$868,I$4,'Policy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J57" s="94" t="str">
        <x:f>IF(COUNTIFS('Policy Assignments'!$C$5:$C$868,$A57,'Policy Assignments'!$B$5:$B$868,J$4,'Policy Assignments'!$E$5:$E$868,"Hold")&gt;0,"H",IF(COUNTIFS('Policy Assignments'!$C$5:$C$868,$A57,'Policy Assignments'!$B$5:$B$868,J$4,'Policy Assignments'!$E$5:$E$868,"Core")&gt;0,"R",IF(COUNTIFS('Policy Assignments'!$C$5:$C$868,$A57,'Policy Assignments'!$B$5:$B$868,J$4,'Policy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K57" s="94" t="str">
        <x:f>IF(COUNTIFS('Policy Assignments'!$C$5:$C$868,$A57,'Policy Assignments'!$B$5:$B$868,K$4,'Policy Assignments'!$E$5:$E$868,"Hold")&gt;0,"H",IF(COUNTIFS('Policy Assignments'!$C$5:$C$868,$A57,'Policy Assignments'!$B$5:$B$868,K$4,'Policy Assignments'!$E$5:$E$868,"Core")&gt;0,"R",IF(COUNTIFS('Policy Assignments'!$C$5:$C$868,$A57,'Policy Assignments'!$B$5:$B$868,K$4,'Policy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L57" s="94" t="str">
        <x:f>IF(COUNTIFS('Policy Assignments'!$C$5:$C$868,$A57,'Policy Assignments'!$B$5:$B$868,L$4,'Policy Assignments'!$E$5:$E$868,"Hold")&gt;0,"H",IF(COUNTIFS('Policy Assignments'!$C$5:$C$868,$A57,'Policy Assignments'!$B$5:$B$868,L$4,'Policy Assignments'!$E$5:$E$868,"Core")&gt;0,"R",IF(COUNTIFS('Policy Assignments'!$C$5:$C$868,$A57,'Policy Assignments'!$B$5:$B$868,L$4,'Policy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v>R</x:v>
      </x:c>
      <x:c r="M57" s="94" t="str">
        <x:f>IF(COUNTIFS('Policy Assignments'!$C$5:$C$868,$A57,'Policy Assignments'!$B$5:$B$868,M$4,'Policy Assignments'!$E$5:$E$868,"Hold")&gt;0,"H",IF(COUNTIFS('Policy Assignments'!$C$5:$C$868,$A57,'Policy Assignments'!$B$5:$B$868,M$4,'Policy Assignments'!$E$5:$E$868,"Core")&gt;0,"R",IF(COUNTIFS('Policy Assignments'!$C$5:$C$868,$A57,'Policy Assignments'!$B$5:$B$868,M$4,'Policy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c>
      <x:c r="N57" s="94" t="str">
        <x:f>IF(COUNTIFS('Policy Assignments'!$C$5:$C$868,$A57,'Policy Assignments'!$B$5:$B$868,N$4,'Policy Assignments'!$E$5:$E$868,"Hold")&gt;0,"H",IF(COUNTIFS('Policy Assignments'!$C$5:$C$868,$A57,'Policy Assignments'!$B$5:$B$868,N$4,'Policy Assignments'!$E$5:$E$868,"Core")&gt;0,"R",IF(COUNTIFS('Policy Assignments'!$C$5:$C$868,$A57,'Policy Assignments'!$B$5:$B$868,N$4,'Policy Assignments'!$E$5:$E$868,"Conditional")&gt;0,"C",IF(COUNTIFS('Policy Assignments'!$C$5:$C$868,$A57,'Policy Assignments'!$B$5:$B$868,"General",'Policy Assignments'!$E$5:$E$868,"Hold")&gt;0,"H",IF(COUNTIFS('Policy Assignments'!$C$5:$C$868,$A57,'Policy Assignments'!$B$5:$B$868,"General",'Policy Assignments'!$E$5:$E$868,"Conditional")&gt;0,"C",IF(COUNTIFS('Policy Assignments'!$C$5:$C$868,$A57,'Policy Assignments'!$B$5:$B$868,"General")&gt;0,"G",""))))))</x:f>
        <x:v>R</x:v>
      </x:c>
      <x:c r="O57" s="94" t="str">
        <x:f>IF(COUNTIFS('Policy Assignments'!$C$5:$C$868,$A57,'Policy Assignments'!$B$5:$B$868,O$4,'Policy Assignments'!$E$5:$E$868,"Hold")&gt;0,"H",IF(COUNTIFS('Policy Assignments'!$C$5:$C$868,$A57,'Policy Assignments'!$B$5:$B$868,O$4,'Policy Assignments'!$E$5:$E$868,"Core")&gt;0,"R",IF(COUNTIFS('Policy Assignments'!$C$5:$C$868,$A57,'Policy Assignments'!$B$5:$B$868,O$4,'Policy Assignments'!$E$5:$E$868,"Conditional")&gt;0,"C","")))</x:f>
      </x:c>
      <x:c r="P57" s="90" t="str">
        <x:v>Mapped</x:v>
      </x:c>
    </x:row>
    <x:row r="58" ht="22" customHeight="1">
      <x:c r="A58" s="90" t="str">
        <x:v>CL-SD-006</x:v>
      </x:c>
      <x:c r="B58" s="90" t="str">
        <x:v>Home Health Aide Services &amp; Supervision</x:v>
      </x:c>
      <x:c r="C58" s="94" t="str">
        <x:f>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D58" s="94" t="str">
        <x:f>IF(COUNTIFS('Policy Assignments'!$C$5:$C$868,$A58,'Policy Assignments'!$B$5:$B$868,D$4,'Policy Assignments'!$E$5:$E$868,"Hold")&gt;0,"H",IF(COUNTIFS('Policy Assignments'!$C$5:$C$868,$A58,'Policy Assignments'!$B$5:$B$868,D$4,'Policy Assignments'!$E$5:$E$868,"Core")&gt;0,"R",IF(COUNTIFS('Policy Assignments'!$C$5:$C$868,$A58,'Policy Assignments'!$B$5:$B$868,D$4,'Policy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E58" s="94" t="str">
        <x:f>IF(COUNTIFS('Policy Assignments'!$C$5:$C$868,$A58,'Policy Assignments'!$B$5:$B$868,E$4,'Policy Assignments'!$E$5:$E$868,"Hold")&gt;0,"H",IF(COUNTIFS('Policy Assignments'!$C$5:$C$868,$A58,'Policy Assignments'!$B$5:$B$868,E$4,'Policy Assignments'!$E$5:$E$868,"Core")&gt;0,"R",IF(COUNTIFS('Policy Assignments'!$C$5:$C$868,$A58,'Policy Assignments'!$B$5:$B$868,E$4,'Policy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v>R</x:v>
      </x:c>
      <x:c r="F58" s="94" t="str">
        <x:f>IF(COUNTIFS('Policy Assignments'!$C$5:$C$868,$A58,'Policy Assignments'!$B$5:$B$868,F$4,'Policy Assignments'!$E$5:$E$868,"Hold")&gt;0,"H",IF(COUNTIFS('Policy Assignments'!$C$5:$C$868,$A58,'Policy Assignments'!$B$5:$B$868,F$4,'Policy Assignments'!$E$5:$E$868,"Core")&gt;0,"R",IF(COUNTIFS('Policy Assignments'!$C$5:$C$868,$A58,'Policy Assignments'!$B$5:$B$868,F$4,'Policy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v>R</x:v>
      </x:c>
      <x:c r="G58" s="94" t="str">
        <x:f>IF(COUNTIFS('Policy Assignments'!$C$5:$C$868,$A58,'Policy Assignments'!$B$5:$B$868,G$4,'Policy Assignments'!$E$5:$E$868,"Hold")&gt;0,"H",IF(COUNTIFS('Policy Assignments'!$C$5:$C$868,$A58,'Policy Assignments'!$B$5:$B$868,G$4,'Policy Assignments'!$E$5:$E$868,"Core")&gt;0,"R",IF(COUNTIFS('Policy Assignments'!$C$5:$C$868,$A58,'Policy Assignments'!$B$5:$B$868,G$4,'Policy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H58" s="94" t="str">
        <x:f>IF(COUNTIFS('Policy Assignments'!$C$5:$C$868,$A58,'Policy Assignments'!$B$5:$B$868,H$4,'Policy Assignments'!$E$5:$E$868,"Hold")&gt;0,"H",IF(COUNTIFS('Policy Assignments'!$C$5:$C$868,$A58,'Policy Assignments'!$B$5:$B$868,H$4,'Policy Assignments'!$E$5:$E$868,"Core")&gt;0,"R",IF(COUNTIFS('Policy Assignments'!$C$5:$C$868,$A58,'Policy Assignments'!$B$5:$B$868,H$4,'Policy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I58" s="94" t="str">
        <x:f>IF(COUNTIFS('Policy Assignments'!$C$5:$C$868,$A58,'Policy Assignments'!$B$5:$B$868,I$4,'Policy Assignments'!$E$5:$E$868,"Hold")&gt;0,"H",IF(COUNTIFS('Policy Assignments'!$C$5:$C$868,$A58,'Policy Assignments'!$B$5:$B$868,I$4,'Policy Assignments'!$E$5:$E$868,"Core")&gt;0,"R",IF(COUNTIFS('Policy Assignments'!$C$5:$C$868,$A58,'Policy Assignments'!$B$5:$B$868,I$4,'Policy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J58" s="94" t="str">
        <x:f>IF(COUNTIFS('Policy Assignments'!$C$5:$C$868,$A58,'Policy Assignments'!$B$5:$B$868,J$4,'Policy Assignments'!$E$5:$E$868,"Hold")&gt;0,"H",IF(COUNTIFS('Policy Assignments'!$C$5:$C$868,$A58,'Policy Assignments'!$B$5:$B$868,J$4,'Policy Assignments'!$E$5:$E$868,"Core")&gt;0,"R",IF(COUNTIFS('Policy Assignments'!$C$5:$C$868,$A58,'Policy Assignments'!$B$5:$B$868,J$4,'Policy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K58" s="94" t="str">
        <x:f>IF(COUNTIFS('Policy Assignments'!$C$5:$C$868,$A58,'Policy Assignments'!$B$5:$B$868,K$4,'Policy Assignments'!$E$5:$E$868,"Hold")&gt;0,"H",IF(COUNTIFS('Policy Assignments'!$C$5:$C$868,$A58,'Policy Assignments'!$B$5:$B$868,K$4,'Policy Assignments'!$E$5:$E$868,"Core")&gt;0,"R",IF(COUNTIFS('Policy Assignments'!$C$5:$C$868,$A58,'Policy Assignments'!$B$5:$B$868,K$4,'Policy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L58" s="94" t="str">
        <x:f>IF(COUNTIFS('Policy Assignments'!$C$5:$C$868,$A58,'Policy Assignments'!$B$5:$B$868,L$4,'Policy Assignments'!$E$5:$E$868,"Hold")&gt;0,"H",IF(COUNTIFS('Policy Assignments'!$C$5:$C$868,$A58,'Policy Assignments'!$B$5:$B$868,L$4,'Policy Assignments'!$E$5:$E$868,"Core")&gt;0,"R",IF(COUNTIFS('Policy Assignments'!$C$5:$C$868,$A58,'Policy Assignments'!$B$5:$B$868,L$4,'Policy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M58" s="94" t="str">
        <x:f>IF(COUNTIFS('Policy Assignments'!$C$5:$C$868,$A58,'Policy Assignments'!$B$5:$B$868,M$4,'Policy Assignments'!$E$5:$E$868,"Hold")&gt;0,"H",IF(COUNTIFS('Policy Assignments'!$C$5:$C$868,$A58,'Policy Assignments'!$B$5:$B$868,M$4,'Policy Assignments'!$E$5:$E$868,"Core")&gt;0,"R",IF(COUNTIFS('Policy Assignments'!$C$5:$C$868,$A58,'Policy Assignments'!$B$5:$B$868,M$4,'Policy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c>
      <x:c r="N58" s="94" t="str">
        <x:f>IF(COUNTIFS('Policy Assignments'!$C$5:$C$868,$A58,'Policy Assignments'!$B$5:$B$868,N$4,'Policy Assignments'!$E$5:$E$868,"Hold")&gt;0,"H",IF(COUNTIFS('Policy Assignments'!$C$5:$C$868,$A58,'Policy Assignments'!$B$5:$B$868,N$4,'Policy Assignments'!$E$5:$E$868,"Core")&gt;0,"R",IF(COUNTIFS('Policy Assignments'!$C$5:$C$868,$A58,'Policy Assignments'!$B$5:$B$868,N$4,'Policy Assignments'!$E$5:$E$868,"Conditional")&gt;0,"C",IF(COUNTIFS('Policy Assignments'!$C$5:$C$868,$A58,'Policy Assignments'!$B$5:$B$868,"General",'Policy Assignments'!$E$5:$E$868,"Hold")&gt;0,"H",IF(COUNTIFS('Policy Assignments'!$C$5:$C$868,$A58,'Policy Assignments'!$B$5:$B$868,"General",'Policy Assignments'!$E$5:$E$868,"Conditional")&gt;0,"C",IF(COUNTIFS('Policy Assignments'!$C$5:$C$868,$A58,'Policy Assignments'!$B$5:$B$868,"General")&gt;0,"G",""))))))</x:f>
        <x:v>R</x:v>
      </x:c>
      <x:c r="O58" s="94" t="str">
        <x:f>IF(COUNTIFS('Policy Assignments'!$C$5:$C$868,$A58,'Policy Assignments'!$B$5:$B$868,O$4,'Policy Assignments'!$E$5:$E$868,"Hold")&gt;0,"H",IF(COUNTIFS('Policy Assignments'!$C$5:$C$868,$A58,'Policy Assignments'!$B$5:$B$868,O$4,'Policy Assignments'!$E$5:$E$868,"Core")&gt;0,"R",IF(COUNTIFS('Policy Assignments'!$C$5:$C$868,$A58,'Policy Assignments'!$B$5:$B$868,O$4,'Policy Assignments'!$E$5:$E$868,"Conditional")&gt;0,"C","")))</x:f>
      </x:c>
      <x:c r="P58" s="90" t="str">
        <x:v>Mapped</x:v>
      </x:c>
    </x:row>
    <x:row r="59" ht="22" customHeight="1">
      <x:c r="A59" s="90" t="str">
        <x:v>CL-SD-007</x:v>
      </x:c>
      <x:c r="B59" s="90" t="str">
        <x:v>Home Health Aide Competency Evaluation</x:v>
      </x:c>
      <x:c r="C59" s="94" t="str">
        <x:f>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D59" s="94" t="str">
        <x:f>IF(COUNTIFS('Policy Assignments'!$C$5:$C$868,$A59,'Policy Assignments'!$B$5:$B$868,D$4,'Policy Assignments'!$E$5:$E$868,"Hold")&gt;0,"H",IF(COUNTIFS('Policy Assignments'!$C$5:$C$868,$A59,'Policy Assignments'!$B$5:$B$868,D$4,'Policy Assignments'!$E$5:$E$868,"Core")&gt;0,"R",IF(COUNTIFS('Policy Assignments'!$C$5:$C$868,$A59,'Policy Assignments'!$B$5:$B$868,D$4,'Policy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E59" s="94" t="str">
        <x:f>IF(COUNTIFS('Policy Assignments'!$C$5:$C$868,$A59,'Policy Assignments'!$B$5:$B$868,E$4,'Policy Assignments'!$E$5:$E$868,"Hold")&gt;0,"H",IF(COUNTIFS('Policy Assignments'!$C$5:$C$868,$A59,'Policy Assignments'!$B$5:$B$868,E$4,'Policy Assignments'!$E$5:$E$868,"Core")&gt;0,"R",IF(COUNTIFS('Policy Assignments'!$C$5:$C$868,$A59,'Policy Assignments'!$B$5:$B$868,E$4,'Policy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v>R</x:v>
      </x:c>
      <x:c r="F59" s="94" t="str">
        <x:f>IF(COUNTIFS('Policy Assignments'!$C$5:$C$868,$A59,'Policy Assignments'!$B$5:$B$868,F$4,'Policy Assignments'!$E$5:$E$868,"Hold")&gt;0,"H",IF(COUNTIFS('Policy Assignments'!$C$5:$C$868,$A59,'Policy Assignments'!$B$5:$B$868,F$4,'Policy Assignments'!$E$5:$E$868,"Core")&gt;0,"R",IF(COUNTIFS('Policy Assignments'!$C$5:$C$868,$A59,'Policy Assignments'!$B$5:$B$868,F$4,'Policy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v>R</x:v>
      </x:c>
      <x:c r="G59" s="94" t="str">
        <x:f>IF(COUNTIFS('Policy Assignments'!$C$5:$C$868,$A59,'Policy Assignments'!$B$5:$B$868,G$4,'Policy Assignments'!$E$5:$E$868,"Hold")&gt;0,"H",IF(COUNTIFS('Policy Assignments'!$C$5:$C$868,$A59,'Policy Assignments'!$B$5:$B$868,G$4,'Policy Assignments'!$E$5:$E$868,"Core")&gt;0,"R",IF(COUNTIFS('Policy Assignments'!$C$5:$C$868,$A59,'Policy Assignments'!$B$5:$B$868,G$4,'Policy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H59" s="94" t="str">
        <x:f>IF(COUNTIFS('Policy Assignments'!$C$5:$C$868,$A59,'Policy Assignments'!$B$5:$B$868,H$4,'Policy Assignments'!$E$5:$E$868,"Hold")&gt;0,"H",IF(COUNTIFS('Policy Assignments'!$C$5:$C$868,$A59,'Policy Assignments'!$B$5:$B$868,H$4,'Policy Assignments'!$E$5:$E$868,"Core")&gt;0,"R",IF(COUNTIFS('Policy Assignments'!$C$5:$C$868,$A59,'Policy Assignments'!$B$5:$B$868,H$4,'Policy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I59" s="94" t="str">
        <x:f>IF(COUNTIFS('Policy Assignments'!$C$5:$C$868,$A59,'Policy Assignments'!$B$5:$B$868,I$4,'Policy Assignments'!$E$5:$E$868,"Hold")&gt;0,"H",IF(COUNTIFS('Policy Assignments'!$C$5:$C$868,$A59,'Policy Assignments'!$B$5:$B$868,I$4,'Policy Assignments'!$E$5:$E$868,"Core")&gt;0,"R",IF(COUNTIFS('Policy Assignments'!$C$5:$C$868,$A59,'Policy Assignments'!$B$5:$B$868,I$4,'Policy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J59" s="94" t="str">
        <x:f>IF(COUNTIFS('Policy Assignments'!$C$5:$C$868,$A59,'Policy Assignments'!$B$5:$B$868,J$4,'Policy Assignments'!$E$5:$E$868,"Hold")&gt;0,"H",IF(COUNTIFS('Policy Assignments'!$C$5:$C$868,$A59,'Policy Assignments'!$B$5:$B$868,J$4,'Policy Assignments'!$E$5:$E$868,"Core")&gt;0,"R",IF(COUNTIFS('Policy Assignments'!$C$5:$C$868,$A59,'Policy Assignments'!$B$5:$B$868,J$4,'Policy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K59" s="94" t="str">
        <x:f>IF(COUNTIFS('Policy Assignments'!$C$5:$C$868,$A59,'Policy Assignments'!$B$5:$B$868,K$4,'Policy Assignments'!$E$5:$E$868,"Hold")&gt;0,"H",IF(COUNTIFS('Policy Assignments'!$C$5:$C$868,$A59,'Policy Assignments'!$B$5:$B$868,K$4,'Policy Assignments'!$E$5:$E$868,"Core")&gt;0,"R",IF(COUNTIFS('Policy Assignments'!$C$5:$C$868,$A59,'Policy Assignments'!$B$5:$B$868,K$4,'Policy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L59" s="94" t="str">
        <x:f>IF(COUNTIFS('Policy Assignments'!$C$5:$C$868,$A59,'Policy Assignments'!$B$5:$B$868,L$4,'Policy Assignments'!$E$5:$E$868,"Hold")&gt;0,"H",IF(COUNTIFS('Policy Assignments'!$C$5:$C$868,$A59,'Policy Assignments'!$B$5:$B$868,L$4,'Policy Assignments'!$E$5:$E$868,"Core")&gt;0,"R",IF(COUNTIFS('Policy Assignments'!$C$5:$C$868,$A59,'Policy Assignments'!$B$5:$B$868,L$4,'Policy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M59" s="94" t="str">
        <x:f>IF(COUNTIFS('Policy Assignments'!$C$5:$C$868,$A59,'Policy Assignments'!$B$5:$B$868,M$4,'Policy Assignments'!$E$5:$E$868,"Hold")&gt;0,"H",IF(COUNTIFS('Policy Assignments'!$C$5:$C$868,$A59,'Policy Assignments'!$B$5:$B$868,M$4,'Policy Assignments'!$E$5:$E$868,"Core")&gt;0,"R",IF(COUNTIFS('Policy Assignments'!$C$5:$C$868,$A59,'Policy Assignments'!$B$5:$B$868,M$4,'Policy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c>
      <x:c r="N59" s="94" t="str">
        <x:f>IF(COUNTIFS('Policy Assignments'!$C$5:$C$868,$A59,'Policy Assignments'!$B$5:$B$868,N$4,'Policy Assignments'!$E$5:$E$868,"Hold")&gt;0,"H",IF(COUNTIFS('Policy Assignments'!$C$5:$C$868,$A59,'Policy Assignments'!$B$5:$B$868,N$4,'Policy Assignments'!$E$5:$E$868,"Core")&gt;0,"R",IF(COUNTIFS('Policy Assignments'!$C$5:$C$868,$A59,'Policy Assignments'!$B$5:$B$868,N$4,'Policy Assignments'!$E$5:$E$868,"Conditional")&gt;0,"C",IF(COUNTIFS('Policy Assignments'!$C$5:$C$868,$A59,'Policy Assignments'!$B$5:$B$868,"General",'Policy Assignments'!$E$5:$E$868,"Hold")&gt;0,"H",IF(COUNTIFS('Policy Assignments'!$C$5:$C$868,$A59,'Policy Assignments'!$B$5:$B$868,"General",'Policy Assignments'!$E$5:$E$868,"Conditional")&gt;0,"C",IF(COUNTIFS('Policy Assignments'!$C$5:$C$868,$A59,'Policy Assignments'!$B$5:$B$868,"General")&gt;0,"G",""))))))</x:f>
        <x:v>R</x:v>
      </x:c>
      <x:c r="O59" s="94" t="str">
        <x:f>IF(COUNTIFS('Policy Assignments'!$C$5:$C$868,$A59,'Policy Assignments'!$B$5:$B$868,O$4,'Policy Assignments'!$E$5:$E$868,"Hold")&gt;0,"H",IF(COUNTIFS('Policy Assignments'!$C$5:$C$868,$A59,'Policy Assignments'!$B$5:$B$868,O$4,'Policy Assignments'!$E$5:$E$868,"Core")&gt;0,"R",IF(COUNTIFS('Policy Assignments'!$C$5:$C$868,$A59,'Policy Assignments'!$B$5:$B$868,O$4,'Policy Assignments'!$E$5:$E$868,"Conditional")&gt;0,"C","")))</x:f>
      </x:c>
      <x:c r="P59" s="90" t="str">
        <x:v>Mapped</x:v>
      </x:c>
    </x:row>
    <x:row r="60" ht="22" customHeight="1">
      <x:c r="A60" s="90" t="str">
        <x:v>CL-SD-008</x:v>
      </x:c>
      <x:c r="B60" s="90" t="str">
        <x:v>Clinical Supervision &amp; Oversight</x:v>
      </x:c>
      <x:c r="C60" s="94" t="str">
        <x:f>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c>
      <x:c r="D60" s="94" t="str">
        <x:f>IF(COUNTIFS('Policy Assignments'!$C$5:$C$868,$A60,'Policy Assignments'!$B$5:$B$868,D$4,'Policy Assignments'!$E$5:$E$868,"Hold")&gt;0,"H",IF(COUNTIFS('Policy Assignments'!$C$5:$C$868,$A60,'Policy Assignments'!$B$5:$B$868,D$4,'Policy Assignments'!$E$5:$E$868,"Core")&gt;0,"R",IF(COUNTIFS('Policy Assignments'!$C$5:$C$868,$A60,'Policy Assignments'!$B$5:$B$868,D$4,'Policy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E60" s="94" t="str">
        <x:f>IF(COUNTIFS('Policy Assignments'!$C$5:$C$868,$A60,'Policy Assignments'!$B$5:$B$868,E$4,'Policy Assignments'!$E$5:$E$868,"Hold")&gt;0,"H",IF(COUNTIFS('Policy Assignments'!$C$5:$C$868,$A60,'Policy Assignments'!$B$5:$B$868,E$4,'Policy Assignments'!$E$5:$E$868,"Core")&gt;0,"R",IF(COUNTIFS('Policy Assignments'!$C$5:$C$868,$A60,'Policy Assignments'!$B$5:$B$868,E$4,'Policy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F60" s="94" t="str">
        <x:f>IF(COUNTIFS('Policy Assignments'!$C$5:$C$868,$A60,'Policy Assignments'!$B$5:$B$868,F$4,'Policy Assignments'!$E$5:$E$868,"Hold")&gt;0,"H",IF(COUNTIFS('Policy Assignments'!$C$5:$C$868,$A60,'Policy Assignments'!$B$5:$B$868,F$4,'Policy Assignments'!$E$5:$E$868,"Core")&gt;0,"R",IF(COUNTIFS('Policy Assignments'!$C$5:$C$868,$A60,'Policy Assignments'!$B$5:$B$868,F$4,'Policy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G60" s="94" t="str">
        <x:f>IF(COUNTIFS('Policy Assignments'!$C$5:$C$868,$A60,'Policy Assignments'!$B$5:$B$868,G$4,'Policy Assignments'!$E$5:$E$868,"Hold")&gt;0,"H",IF(COUNTIFS('Policy Assignments'!$C$5:$C$868,$A60,'Policy Assignments'!$B$5:$B$868,G$4,'Policy Assignments'!$E$5:$E$868,"Core")&gt;0,"R",IF(COUNTIFS('Policy Assignments'!$C$5:$C$868,$A60,'Policy Assignments'!$B$5:$B$868,G$4,'Policy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H60" s="94" t="str">
        <x:f>IF(COUNTIFS('Policy Assignments'!$C$5:$C$868,$A60,'Policy Assignments'!$B$5:$B$868,H$4,'Policy Assignments'!$E$5:$E$868,"Hold")&gt;0,"H",IF(COUNTIFS('Policy Assignments'!$C$5:$C$868,$A60,'Policy Assignments'!$B$5:$B$868,H$4,'Policy Assignments'!$E$5:$E$868,"Core")&gt;0,"R",IF(COUNTIFS('Policy Assignments'!$C$5:$C$868,$A60,'Policy Assignments'!$B$5:$B$868,H$4,'Policy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I60" s="94" t="str">
        <x:f>IF(COUNTIFS('Policy Assignments'!$C$5:$C$868,$A60,'Policy Assignments'!$B$5:$B$868,I$4,'Policy Assignments'!$E$5:$E$868,"Hold")&gt;0,"H",IF(COUNTIFS('Policy Assignments'!$C$5:$C$868,$A60,'Policy Assignments'!$B$5:$B$868,I$4,'Policy Assignments'!$E$5:$E$868,"Core")&gt;0,"R",IF(COUNTIFS('Policy Assignments'!$C$5:$C$868,$A60,'Policy Assignments'!$B$5:$B$868,I$4,'Policy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J60" s="94" t="str">
        <x:f>IF(COUNTIFS('Policy Assignments'!$C$5:$C$868,$A60,'Policy Assignments'!$B$5:$B$868,J$4,'Policy Assignments'!$E$5:$E$868,"Hold")&gt;0,"H",IF(COUNTIFS('Policy Assignments'!$C$5:$C$868,$A60,'Policy Assignments'!$B$5:$B$868,J$4,'Policy Assignments'!$E$5:$E$868,"Core")&gt;0,"R",IF(COUNTIFS('Policy Assignments'!$C$5:$C$868,$A60,'Policy Assignments'!$B$5:$B$868,J$4,'Policy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K60" s="94" t="str">
        <x:f>IF(COUNTIFS('Policy Assignments'!$C$5:$C$868,$A60,'Policy Assignments'!$B$5:$B$868,K$4,'Policy Assignments'!$E$5:$E$868,"Hold")&gt;0,"H",IF(COUNTIFS('Policy Assignments'!$C$5:$C$868,$A60,'Policy Assignments'!$B$5:$B$868,K$4,'Policy Assignments'!$E$5:$E$868,"Core")&gt;0,"R",IF(COUNTIFS('Policy Assignments'!$C$5:$C$868,$A60,'Policy Assignments'!$B$5:$B$868,K$4,'Policy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c>
      <x:c r="L60" s="94" t="str">
        <x:f>IF(COUNTIFS('Policy Assignments'!$C$5:$C$868,$A60,'Policy Assignments'!$B$5:$B$868,L$4,'Policy Assignments'!$E$5:$E$868,"Hold")&gt;0,"H",IF(COUNTIFS('Policy Assignments'!$C$5:$C$868,$A60,'Policy Assignments'!$B$5:$B$868,L$4,'Policy Assignments'!$E$5:$E$868,"Core")&gt;0,"R",IF(COUNTIFS('Policy Assignments'!$C$5:$C$868,$A60,'Policy Assignments'!$B$5:$B$868,L$4,'Policy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c>
      <x:c r="M60" s="94" t="str">
        <x:f>IF(COUNTIFS('Policy Assignments'!$C$5:$C$868,$A60,'Policy Assignments'!$B$5:$B$868,M$4,'Policy Assignments'!$E$5:$E$868,"Hold")&gt;0,"H",IF(COUNTIFS('Policy Assignments'!$C$5:$C$868,$A60,'Policy Assignments'!$B$5:$B$868,M$4,'Policy Assignments'!$E$5:$E$868,"Core")&gt;0,"R",IF(COUNTIFS('Policy Assignments'!$C$5:$C$868,$A60,'Policy Assignments'!$B$5:$B$868,M$4,'Policy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c>
      <x:c r="N60" s="94" t="str">
        <x:f>IF(COUNTIFS('Policy Assignments'!$C$5:$C$868,$A60,'Policy Assignments'!$B$5:$B$868,N$4,'Policy Assignments'!$E$5:$E$868,"Hold")&gt;0,"H",IF(COUNTIFS('Policy Assignments'!$C$5:$C$868,$A60,'Policy Assignments'!$B$5:$B$868,N$4,'Policy Assignments'!$E$5:$E$868,"Core")&gt;0,"R",IF(COUNTIFS('Policy Assignments'!$C$5:$C$868,$A60,'Policy Assignments'!$B$5:$B$868,N$4,'Policy Assignments'!$E$5:$E$868,"Conditional")&gt;0,"C",IF(COUNTIFS('Policy Assignments'!$C$5:$C$868,$A60,'Policy Assignments'!$B$5:$B$868,"General",'Policy Assignments'!$E$5:$E$868,"Hold")&gt;0,"H",IF(COUNTIFS('Policy Assignments'!$C$5:$C$868,$A60,'Policy Assignments'!$B$5:$B$868,"General",'Policy Assignments'!$E$5:$E$868,"Conditional")&gt;0,"C",IF(COUNTIFS('Policy Assignments'!$C$5:$C$868,$A60,'Policy Assignments'!$B$5:$B$868,"General")&gt;0,"G",""))))))</x:f>
        <x:v>R</x:v>
      </x:c>
      <x:c r="O60" s="94" t="str">
        <x:f>IF(COUNTIFS('Policy Assignments'!$C$5:$C$868,$A60,'Policy Assignments'!$B$5:$B$868,O$4,'Policy Assignments'!$E$5:$E$868,"Hold")&gt;0,"H",IF(COUNTIFS('Policy Assignments'!$C$5:$C$868,$A60,'Policy Assignments'!$B$5:$B$868,O$4,'Policy Assignments'!$E$5:$E$868,"Core")&gt;0,"R",IF(COUNTIFS('Policy Assignments'!$C$5:$C$868,$A60,'Policy Assignments'!$B$5:$B$868,O$4,'Policy Assignments'!$E$5:$E$868,"Conditional")&gt;0,"C","")))</x:f>
      </x:c>
      <x:c r="P60" s="90" t="str">
        <x:v>Mapped</x:v>
      </x:c>
    </x:row>
    <x:row r="61" ht="22" customHeight="1">
      <x:c r="A61" s="90" t="str">
        <x:v>CL-SD-009</x:v>
      </x:c>
      <x:c r="B61" s="90" t="str">
        <x:v>Telehealth &amp; Remote Monitoring Services</x:v>
      </x:c>
      <x:c r="C61" s="94" t="str">
        <x:f>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c>
      <x:c r="D61" s="94" t="str">
        <x:f>IF(COUNTIFS('Policy Assignments'!$C$5:$C$868,$A61,'Policy Assignments'!$B$5:$B$868,D$4,'Policy Assignments'!$E$5:$E$868,"Hold")&gt;0,"H",IF(COUNTIFS('Policy Assignments'!$C$5:$C$868,$A61,'Policy Assignments'!$B$5:$B$868,D$4,'Policy Assignments'!$E$5:$E$868,"Core")&gt;0,"R",IF(COUNTIFS('Policy Assignments'!$C$5:$C$868,$A61,'Policy Assignments'!$B$5:$B$868,D$4,'Policy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E61" s="94" t="str">
        <x:f>IF(COUNTIFS('Policy Assignments'!$C$5:$C$868,$A61,'Policy Assignments'!$B$5:$B$868,E$4,'Policy Assignments'!$E$5:$E$868,"Hold")&gt;0,"H",IF(COUNTIFS('Policy Assignments'!$C$5:$C$868,$A61,'Policy Assignments'!$B$5:$B$868,E$4,'Policy Assignments'!$E$5:$E$868,"Core")&gt;0,"R",IF(COUNTIFS('Policy Assignments'!$C$5:$C$868,$A61,'Policy Assignments'!$B$5:$B$868,E$4,'Policy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F61" s="94" t="str">
        <x:f>IF(COUNTIFS('Policy Assignments'!$C$5:$C$868,$A61,'Policy Assignments'!$B$5:$B$868,F$4,'Policy Assignments'!$E$5:$E$868,"Hold")&gt;0,"H",IF(COUNTIFS('Policy Assignments'!$C$5:$C$868,$A61,'Policy Assignments'!$B$5:$B$868,F$4,'Policy Assignments'!$E$5:$E$868,"Core")&gt;0,"R",IF(COUNTIFS('Policy Assignments'!$C$5:$C$868,$A61,'Policy Assignments'!$B$5:$B$868,F$4,'Policy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c>
      <x:c r="G61" s="94" t="str">
        <x:f>IF(COUNTIFS('Policy Assignments'!$C$5:$C$868,$A61,'Policy Assignments'!$B$5:$B$868,G$4,'Policy Assignments'!$E$5:$E$868,"Hold")&gt;0,"H",IF(COUNTIFS('Policy Assignments'!$C$5:$C$868,$A61,'Policy Assignments'!$B$5:$B$868,G$4,'Policy Assignments'!$E$5:$E$868,"Core")&gt;0,"R",IF(COUNTIFS('Policy Assignments'!$C$5:$C$868,$A61,'Policy Assignments'!$B$5:$B$868,G$4,'Policy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H61" s="94" t="str">
        <x:f>IF(COUNTIFS('Policy Assignments'!$C$5:$C$868,$A61,'Policy Assignments'!$B$5:$B$868,H$4,'Policy Assignments'!$E$5:$E$868,"Hold")&gt;0,"H",IF(COUNTIFS('Policy Assignments'!$C$5:$C$868,$A61,'Policy Assignments'!$B$5:$B$868,H$4,'Policy Assignments'!$E$5:$E$868,"Core")&gt;0,"R",IF(COUNTIFS('Policy Assignments'!$C$5:$C$868,$A61,'Policy Assignments'!$B$5:$B$868,H$4,'Policy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I61" s="94" t="str">
        <x:f>IF(COUNTIFS('Policy Assignments'!$C$5:$C$868,$A61,'Policy Assignments'!$B$5:$B$868,I$4,'Policy Assignments'!$E$5:$E$868,"Hold")&gt;0,"H",IF(COUNTIFS('Policy Assignments'!$C$5:$C$868,$A61,'Policy Assignments'!$B$5:$B$868,I$4,'Policy Assignments'!$E$5:$E$868,"Core")&gt;0,"R",IF(COUNTIFS('Policy Assignments'!$C$5:$C$868,$A61,'Policy Assignments'!$B$5:$B$868,I$4,'Policy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J61" s="94" t="str">
        <x:f>IF(COUNTIFS('Policy Assignments'!$C$5:$C$868,$A61,'Policy Assignments'!$B$5:$B$868,J$4,'Policy Assignments'!$E$5:$E$868,"Hold")&gt;0,"H",IF(COUNTIFS('Policy Assignments'!$C$5:$C$868,$A61,'Policy Assignments'!$B$5:$B$868,J$4,'Policy Assignments'!$E$5:$E$868,"Core")&gt;0,"R",IF(COUNTIFS('Policy Assignments'!$C$5:$C$868,$A61,'Policy Assignments'!$B$5:$B$868,J$4,'Policy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K61" s="94" t="str">
        <x:f>IF(COUNTIFS('Policy Assignments'!$C$5:$C$868,$A61,'Policy Assignments'!$B$5:$B$868,K$4,'Policy Assignments'!$E$5:$E$868,"Hold")&gt;0,"H",IF(COUNTIFS('Policy Assignments'!$C$5:$C$868,$A61,'Policy Assignments'!$B$5:$B$868,K$4,'Policy Assignments'!$E$5:$E$868,"Core")&gt;0,"R",IF(COUNTIFS('Policy Assignments'!$C$5:$C$868,$A61,'Policy Assignments'!$B$5:$B$868,K$4,'Policy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L61" s="94" t="str">
        <x:f>IF(COUNTIFS('Policy Assignments'!$C$5:$C$868,$A61,'Policy Assignments'!$B$5:$B$868,L$4,'Policy Assignments'!$E$5:$E$868,"Hold")&gt;0,"H",IF(COUNTIFS('Policy Assignments'!$C$5:$C$868,$A61,'Policy Assignments'!$B$5:$B$868,L$4,'Policy Assignments'!$E$5:$E$868,"Core")&gt;0,"R",IF(COUNTIFS('Policy Assignments'!$C$5:$C$868,$A61,'Policy Assignments'!$B$5:$B$868,L$4,'Policy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c>
      <x:c r="M61" s="94" t="str">
        <x:f>IF(COUNTIFS('Policy Assignments'!$C$5:$C$868,$A61,'Policy Assignments'!$B$5:$B$868,M$4,'Policy Assignments'!$E$5:$E$868,"Hold")&gt;0,"H",IF(COUNTIFS('Policy Assignments'!$C$5:$C$868,$A61,'Policy Assignments'!$B$5:$B$868,M$4,'Policy Assignments'!$E$5:$E$868,"Core")&gt;0,"R",IF(COUNTIFS('Policy Assignments'!$C$5:$C$868,$A61,'Policy Assignments'!$B$5:$B$868,M$4,'Policy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c>
      <x:c r="N61" s="94" t="str">
        <x:f>IF(COUNTIFS('Policy Assignments'!$C$5:$C$868,$A61,'Policy Assignments'!$B$5:$B$868,N$4,'Policy Assignments'!$E$5:$E$868,"Hold")&gt;0,"H",IF(COUNTIFS('Policy Assignments'!$C$5:$C$868,$A61,'Policy Assignments'!$B$5:$B$868,N$4,'Policy Assignments'!$E$5:$E$868,"Core")&gt;0,"R",IF(COUNTIFS('Policy Assignments'!$C$5:$C$868,$A61,'Policy Assignments'!$B$5:$B$868,N$4,'Policy Assignments'!$E$5:$E$868,"Conditional")&gt;0,"C",IF(COUNTIFS('Policy Assignments'!$C$5:$C$868,$A61,'Policy Assignments'!$B$5:$B$868,"General",'Policy Assignments'!$E$5:$E$868,"Hold")&gt;0,"H",IF(COUNTIFS('Policy Assignments'!$C$5:$C$868,$A61,'Policy Assignments'!$B$5:$B$868,"General",'Policy Assignments'!$E$5:$E$868,"Conditional")&gt;0,"C",IF(COUNTIFS('Policy Assignments'!$C$5:$C$868,$A61,'Policy Assignments'!$B$5:$B$868,"General")&gt;0,"G",""))))))</x:f>
        <x:v>C</x:v>
      </x:c>
      <x:c r="O61" s="94" t="str">
        <x:f>IF(COUNTIFS('Policy Assignments'!$C$5:$C$868,$A61,'Policy Assignments'!$B$5:$B$868,O$4,'Policy Assignments'!$E$5:$E$868,"Hold")&gt;0,"H",IF(COUNTIFS('Policy Assignments'!$C$5:$C$868,$A61,'Policy Assignments'!$B$5:$B$868,O$4,'Policy Assignments'!$E$5:$E$868,"Core")&gt;0,"R",IF(COUNTIFS('Policy Assignments'!$C$5:$C$868,$A61,'Policy Assignments'!$B$5:$B$868,O$4,'Policy Assignments'!$E$5:$E$868,"Conditional")&gt;0,"C","")))</x:f>
      </x:c>
      <x:c r="P61" s="90" t="str">
        <x:v>Mapped</x:v>
      </x:c>
    </x:row>
    <x:row r="62" ht="22" customHeight="1">
      <x:c r="A62" s="90" t="str">
        <x:v>CL-SD-010</x:v>
      </x:c>
      <x:c r="B62" s="90" t="str">
        <x:v>IV Therapy &amp; Infusion Services</x:v>
      </x:c>
      <x:c r="C62" s="94" t="str">
        <x:f>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D62" s="94" t="str">
        <x:f>IF(COUNTIFS('Policy Assignments'!$C$5:$C$868,$A62,'Policy Assignments'!$B$5:$B$868,D$4,'Policy Assignments'!$E$5:$E$868,"Hold")&gt;0,"H",IF(COUNTIFS('Policy Assignments'!$C$5:$C$868,$A62,'Policy Assignments'!$B$5:$B$868,D$4,'Policy Assignments'!$E$5:$E$868,"Core")&gt;0,"R",IF(COUNTIFS('Policy Assignments'!$C$5:$C$868,$A62,'Policy Assignments'!$B$5:$B$868,D$4,'Policy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v>C</x:v>
      </x:c>
      <x:c r="E62" s="94" t="str">
        <x:f>IF(COUNTIFS('Policy Assignments'!$C$5:$C$868,$A62,'Policy Assignments'!$B$5:$B$868,E$4,'Policy Assignments'!$E$5:$E$868,"Hold")&gt;0,"H",IF(COUNTIFS('Policy Assignments'!$C$5:$C$868,$A62,'Policy Assignments'!$B$5:$B$868,E$4,'Policy Assignments'!$E$5:$E$868,"Core")&gt;0,"R",IF(COUNTIFS('Policy Assignments'!$C$5:$C$868,$A62,'Policy Assignments'!$B$5:$B$868,E$4,'Policy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v>C</x:v>
      </x:c>
      <x:c r="F62" s="94" t="str">
        <x:f>IF(COUNTIFS('Policy Assignments'!$C$5:$C$868,$A62,'Policy Assignments'!$B$5:$B$868,F$4,'Policy Assignments'!$E$5:$E$868,"Hold")&gt;0,"H",IF(COUNTIFS('Policy Assignments'!$C$5:$C$868,$A62,'Policy Assignments'!$B$5:$B$868,F$4,'Policy Assignments'!$E$5:$E$868,"Core")&gt;0,"R",IF(COUNTIFS('Policy Assignments'!$C$5:$C$868,$A62,'Policy Assignments'!$B$5:$B$868,F$4,'Policy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G62" s="94" t="str">
        <x:f>IF(COUNTIFS('Policy Assignments'!$C$5:$C$868,$A62,'Policy Assignments'!$B$5:$B$868,G$4,'Policy Assignments'!$E$5:$E$868,"Hold")&gt;0,"H",IF(COUNTIFS('Policy Assignments'!$C$5:$C$868,$A62,'Policy Assignments'!$B$5:$B$868,G$4,'Policy Assignments'!$E$5:$E$868,"Core")&gt;0,"R",IF(COUNTIFS('Policy Assignments'!$C$5:$C$868,$A62,'Policy Assignments'!$B$5:$B$868,G$4,'Policy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H62" s="94" t="str">
        <x:f>IF(COUNTIFS('Policy Assignments'!$C$5:$C$868,$A62,'Policy Assignments'!$B$5:$B$868,H$4,'Policy Assignments'!$E$5:$E$868,"Hold")&gt;0,"H",IF(COUNTIFS('Policy Assignments'!$C$5:$C$868,$A62,'Policy Assignments'!$B$5:$B$868,H$4,'Policy Assignments'!$E$5:$E$868,"Core")&gt;0,"R",IF(COUNTIFS('Policy Assignments'!$C$5:$C$868,$A62,'Policy Assignments'!$B$5:$B$868,H$4,'Policy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I62" s="94" t="str">
        <x:f>IF(COUNTIFS('Policy Assignments'!$C$5:$C$868,$A62,'Policy Assignments'!$B$5:$B$868,I$4,'Policy Assignments'!$E$5:$E$868,"Hold")&gt;0,"H",IF(COUNTIFS('Policy Assignments'!$C$5:$C$868,$A62,'Policy Assignments'!$B$5:$B$868,I$4,'Policy Assignments'!$E$5:$E$868,"Core")&gt;0,"R",IF(COUNTIFS('Policy Assignments'!$C$5:$C$868,$A62,'Policy Assignments'!$B$5:$B$868,I$4,'Policy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J62" s="94" t="str">
        <x:f>IF(COUNTIFS('Policy Assignments'!$C$5:$C$868,$A62,'Policy Assignments'!$B$5:$B$868,J$4,'Policy Assignments'!$E$5:$E$868,"Hold")&gt;0,"H",IF(COUNTIFS('Policy Assignments'!$C$5:$C$868,$A62,'Policy Assignments'!$B$5:$B$868,J$4,'Policy Assignments'!$E$5:$E$868,"Core")&gt;0,"R",IF(COUNTIFS('Policy Assignments'!$C$5:$C$868,$A62,'Policy Assignments'!$B$5:$B$868,J$4,'Policy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K62" s="94" t="str">
        <x:f>IF(COUNTIFS('Policy Assignments'!$C$5:$C$868,$A62,'Policy Assignments'!$B$5:$B$868,K$4,'Policy Assignments'!$E$5:$E$868,"Hold")&gt;0,"H",IF(COUNTIFS('Policy Assignments'!$C$5:$C$868,$A62,'Policy Assignments'!$B$5:$B$868,K$4,'Policy Assignments'!$E$5:$E$868,"Core")&gt;0,"R",IF(COUNTIFS('Policy Assignments'!$C$5:$C$868,$A62,'Policy Assignments'!$B$5:$B$868,K$4,'Policy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L62" s="94" t="str">
        <x:f>IF(COUNTIFS('Policy Assignments'!$C$5:$C$868,$A62,'Policy Assignments'!$B$5:$B$868,L$4,'Policy Assignments'!$E$5:$E$868,"Hold")&gt;0,"H",IF(COUNTIFS('Policy Assignments'!$C$5:$C$868,$A62,'Policy Assignments'!$B$5:$B$868,L$4,'Policy Assignments'!$E$5:$E$868,"Core")&gt;0,"R",IF(COUNTIFS('Policy Assignments'!$C$5:$C$868,$A62,'Policy Assignments'!$B$5:$B$868,L$4,'Policy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M62" s="94" t="str">
        <x:f>IF(COUNTIFS('Policy Assignments'!$C$5:$C$868,$A62,'Policy Assignments'!$B$5:$B$868,M$4,'Policy Assignments'!$E$5:$E$868,"Hold")&gt;0,"H",IF(COUNTIFS('Policy Assignments'!$C$5:$C$868,$A62,'Policy Assignments'!$B$5:$B$868,M$4,'Policy Assignments'!$E$5:$E$868,"Core")&gt;0,"R",IF(COUNTIFS('Policy Assignments'!$C$5:$C$868,$A62,'Policy Assignments'!$B$5:$B$868,M$4,'Policy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c>
      <x:c r="N62" s="94" t="str">
        <x:f>IF(COUNTIFS('Policy Assignments'!$C$5:$C$868,$A62,'Policy Assignments'!$B$5:$B$868,N$4,'Policy Assignments'!$E$5:$E$868,"Hold")&gt;0,"H",IF(COUNTIFS('Policy Assignments'!$C$5:$C$868,$A62,'Policy Assignments'!$B$5:$B$868,N$4,'Policy Assignments'!$E$5:$E$868,"Core")&gt;0,"R",IF(COUNTIFS('Policy Assignments'!$C$5:$C$868,$A62,'Policy Assignments'!$B$5:$B$868,N$4,'Policy Assignments'!$E$5:$E$868,"Conditional")&gt;0,"C",IF(COUNTIFS('Policy Assignments'!$C$5:$C$868,$A62,'Policy Assignments'!$B$5:$B$868,"General",'Policy Assignments'!$E$5:$E$868,"Hold")&gt;0,"H",IF(COUNTIFS('Policy Assignments'!$C$5:$C$868,$A62,'Policy Assignments'!$B$5:$B$868,"General",'Policy Assignments'!$E$5:$E$868,"Conditional")&gt;0,"C",IF(COUNTIFS('Policy Assignments'!$C$5:$C$868,$A62,'Policy Assignments'!$B$5:$B$868,"General")&gt;0,"G",""))))))</x:f>
        <x:v>C</x:v>
      </x:c>
      <x:c r="O62" s="94" t="str">
        <x:f>IF(COUNTIFS('Policy Assignments'!$C$5:$C$868,$A62,'Policy Assignments'!$B$5:$B$868,O$4,'Policy Assignments'!$E$5:$E$868,"Hold")&gt;0,"H",IF(COUNTIFS('Policy Assignments'!$C$5:$C$868,$A62,'Policy Assignments'!$B$5:$B$868,O$4,'Policy Assignments'!$E$5:$E$868,"Core")&gt;0,"R",IF(COUNTIFS('Policy Assignments'!$C$5:$C$868,$A62,'Policy Assignments'!$B$5:$B$868,O$4,'Policy Assignments'!$E$5:$E$868,"Conditional")&gt;0,"C","")))</x:f>
      </x:c>
      <x:c r="P62" s="90" t="str">
        <x:v>Mapped</x:v>
      </x:c>
    </x:row>
    <x:row r="63" ht="22" customHeight="1">
      <x:c r="A63" s="90" t="str">
        <x:v>CL-SD-011</x:v>
      </x:c>
      <x:c r="B63" s="90" t="str">
        <x:v>Wound Care Assessment &amp; Management</x:v>
      </x:c>
      <x:c r="C63" s="94" t="str">
        <x:f>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c>
      <x:c r="D63" s="94" t="str">
        <x:f>IF(COUNTIFS('Policy Assignments'!$C$5:$C$868,$A63,'Policy Assignments'!$B$5:$B$868,D$4,'Policy Assignments'!$E$5:$E$868,"Hold")&gt;0,"H",IF(COUNTIFS('Policy Assignments'!$C$5:$C$868,$A63,'Policy Assignments'!$B$5:$B$868,D$4,'Policy Assignments'!$E$5:$E$868,"Core")&gt;0,"R",IF(COUNTIFS('Policy Assignments'!$C$5:$C$868,$A63,'Policy Assignments'!$B$5:$B$868,D$4,'Policy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E63" s="94" t="str">
        <x:f>IF(COUNTIFS('Policy Assignments'!$C$5:$C$868,$A63,'Policy Assignments'!$B$5:$B$868,E$4,'Policy Assignments'!$E$5:$E$868,"Hold")&gt;0,"H",IF(COUNTIFS('Policy Assignments'!$C$5:$C$868,$A63,'Policy Assignments'!$B$5:$B$868,E$4,'Policy Assignments'!$E$5:$E$868,"Core")&gt;0,"R",IF(COUNTIFS('Policy Assignments'!$C$5:$C$868,$A63,'Policy Assignments'!$B$5:$B$868,E$4,'Policy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F63" s="94" t="str">
        <x:f>IF(COUNTIFS('Policy Assignments'!$C$5:$C$868,$A63,'Policy Assignments'!$B$5:$B$868,F$4,'Policy Assignments'!$E$5:$E$868,"Hold")&gt;0,"H",IF(COUNTIFS('Policy Assignments'!$C$5:$C$868,$A63,'Policy Assignments'!$B$5:$B$868,F$4,'Policy Assignments'!$E$5:$E$868,"Core")&gt;0,"R",IF(COUNTIFS('Policy Assignments'!$C$5:$C$868,$A63,'Policy Assignments'!$B$5:$B$868,F$4,'Policy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c>
      <x:c r="G63" s="94" t="str">
        <x:f>IF(COUNTIFS('Policy Assignments'!$C$5:$C$868,$A63,'Policy Assignments'!$B$5:$B$868,G$4,'Policy Assignments'!$E$5:$E$868,"Hold")&gt;0,"H",IF(COUNTIFS('Policy Assignments'!$C$5:$C$868,$A63,'Policy Assignments'!$B$5:$B$868,G$4,'Policy Assignments'!$E$5:$E$868,"Core")&gt;0,"R",IF(COUNTIFS('Policy Assignments'!$C$5:$C$868,$A63,'Policy Assignments'!$B$5:$B$868,G$4,'Policy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H63" s="94" t="str">
        <x:f>IF(COUNTIFS('Policy Assignments'!$C$5:$C$868,$A63,'Policy Assignments'!$B$5:$B$868,H$4,'Policy Assignments'!$E$5:$E$868,"Hold")&gt;0,"H",IF(COUNTIFS('Policy Assignments'!$C$5:$C$868,$A63,'Policy Assignments'!$B$5:$B$868,H$4,'Policy Assignments'!$E$5:$E$868,"Core")&gt;0,"R",IF(COUNTIFS('Policy Assignments'!$C$5:$C$868,$A63,'Policy Assignments'!$B$5:$B$868,H$4,'Policy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I63" s="94" t="str">
        <x:f>IF(COUNTIFS('Policy Assignments'!$C$5:$C$868,$A63,'Policy Assignments'!$B$5:$B$868,I$4,'Policy Assignments'!$E$5:$E$868,"Hold")&gt;0,"H",IF(COUNTIFS('Policy Assignments'!$C$5:$C$868,$A63,'Policy Assignments'!$B$5:$B$868,I$4,'Policy Assignments'!$E$5:$E$868,"Core")&gt;0,"R",IF(COUNTIFS('Policy Assignments'!$C$5:$C$868,$A63,'Policy Assignments'!$B$5:$B$868,I$4,'Policy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J63" s="94" t="str">
        <x:f>IF(COUNTIFS('Policy Assignments'!$C$5:$C$868,$A63,'Policy Assignments'!$B$5:$B$868,J$4,'Policy Assignments'!$E$5:$E$868,"Hold")&gt;0,"H",IF(COUNTIFS('Policy Assignments'!$C$5:$C$868,$A63,'Policy Assignments'!$B$5:$B$868,J$4,'Policy Assignments'!$E$5:$E$868,"Core")&gt;0,"R",IF(COUNTIFS('Policy Assignments'!$C$5:$C$868,$A63,'Policy Assignments'!$B$5:$B$868,J$4,'Policy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K63" s="94" t="str">
        <x:f>IF(COUNTIFS('Policy Assignments'!$C$5:$C$868,$A63,'Policy Assignments'!$B$5:$B$868,K$4,'Policy Assignments'!$E$5:$E$868,"Hold")&gt;0,"H",IF(COUNTIFS('Policy Assignments'!$C$5:$C$868,$A63,'Policy Assignments'!$B$5:$B$868,K$4,'Policy Assignments'!$E$5:$E$868,"Core")&gt;0,"R",IF(COUNTIFS('Policy Assignments'!$C$5:$C$868,$A63,'Policy Assignments'!$B$5:$B$868,K$4,'Policy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L63" s="94" t="str">
        <x:f>IF(COUNTIFS('Policy Assignments'!$C$5:$C$868,$A63,'Policy Assignments'!$B$5:$B$868,L$4,'Policy Assignments'!$E$5:$E$868,"Hold")&gt;0,"H",IF(COUNTIFS('Policy Assignments'!$C$5:$C$868,$A63,'Policy Assignments'!$B$5:$B$868,L$4,'Policy Assignments'!$E$5:$E$868,"Core")&gt;0,"R",IF(COUNTIFS('Policy Assignments'!$C$5:$C$868,$A63,'Policy Assignments'!$B$5:$B$868,L$4,'Policy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c>
      <x:c r="M63" s="94" t="str">
        <x:f>IF(COUNTIFS('Policy Assignments'!$C$5:$C$868,$A63,'Policy Assignments'!$B$5:$B$868,M$4,'Policy Assignments'!$E$5:$E$868,"Hold")&gt;0,"H",IF(COUNTIFS('Policy Assignments'!$C$5:$C$868,$A63,'Policy Assignments'!$B$5:$B$868,M$4,'Policy Assignments'!$E$5:$E$868,"Core")&gt;0,"R",IF(COUNTIFS('Policy Assignments'!$C$5:$C$868,$A63,'Policy Assignments'!$B$5:$B$868,M$4,'Policy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c>
      <x:c r="N63" s="94" t="str">
        <x:f>IF(COUNTIFS('Policy Assignments'!$C$5:$C$868,$A63,'Policy Assignments'!$B$5:$B$868,N$4,'Policy Assignments'!$E$5:$E$868,"Hold")&gt;0,"H",IF(COUNTIFS('Policy Assignments'!$C$5:$C$868,$A63,'Policy Assignments'!$B$5:$B$868,N$4,'Policy Assignments'!$E$5:$E$868,"Core")&gt;0,"R",IF(COUNTIFS('Policy Assignments'!$C$5:$C$868,$A63,'Policy Assignments'!$B$5:$B$868,N$4,'Policy Assignments'!$E$5:$E$868,"Conditional")&gt;0,"C",IF(COUNTIFS('Policy Assignments'!$C$5:$C$868,$A63,'Policy Assignments'!$B$5:$B$868,"General",'Policy Assignments'!$E$5:$E$868,"Hold")&gt;0,"H",IF(COUNTIFS('Policy Assignments'!$C$5:$C$868,$A63,'Policy Assignments'!$B$5:$B$868,"General",'Policy Assignments'!$E$5:$E$868,"Conditional")&gt;0,"C",IF(COUNTIFS('Policy Assignments'!$C$5:$C$868,$A63,'Policy Assignments'!$B$5:$B$868,"General")&gt;0,"G",""))))))</x:f>
        <x:v>C</x:v>
      </x:c>
      <x:c r="O63" s="94" t="str">
        <x:f>IF(COUNTIFS('Policy Assignments'!$C$5:$C$868,$A63,'Policy Assignments'!$B$5:$B$868,O$4,'Policy Assignments'!$E$5:$E$868,"Hold")&gt;0,"H",IF(COUNTIFS('Policy Assignments'!$C$5:$C$868,$A63,'Policy Assignments'!$B$5:$B$868,O$4,'Policy Assignments'!$E$5:$E$868,"Core")&gt;0,"R",IF(COUNTIFS('Policy Assignments'!$C$5:$C$868,$A63,'Policy Assignments'!$B$5:$B$868,O$4,'Policy Assignments'!$E$5:$E$868,"Conditional")&gt;0,"C","")))</x:f>
      </x:c>
      <x:c r="P63" s="90" t="str">
        <x:v>Mapped</x:v>
      </x:c>
    </x:row>
    <x:row r="64" ht="22" customHeight="1">
      <x:c r="A64" s="90" t="str">
        <x:v>CL-SD-012</x:v>
      </x:c>
      <x:c r="B64" s="90" t="str">
        <x:v>Medication Management &amp; Administration</x:v>
      </x:c>
      <x:c r="C64" s="94" t="str">
        <x:f>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D64" s="94" t="str">
        <x:f>IF(COUNTIFS('Policy Assignments'!$C$5:$C$868,$A64,'Policy Assignments'!$B$5:$B$868,D$4,'Policy Assignments'!$E$5:$E$868,"Hold")&gt;0,"H",IF(COUNTIFS('Policy Assignments'!$C$5:$C$868,$A64,'Policy Assignments'!$B$5:$B$868,D$4,'Policy Assignments'!$E$5:$E$868,"Core")&gt;0,"R",IF(COUNTIFS('Policy Assignments'!$C$5:$C$868,$A64,'Policy Assignments'!$B$5:$B$868,D$4,'Policy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v>R</x:v>
      </x:c>
      <x:c r="E64" s="94" t="str">
        <x:f>IF(COUNTIFS('Policy Assignments'!$C$5:$C$868,$A64,'Policy Assignments'!$B$5:$B$868,E$4,'Policy Assignments'!$E$5:$E$868,"Hold")&gt;0,"H",IF(COUNTIFS('Policy Assignments'!$C$5:$C$868,$A64,'Policy Assignments'!$B$5:$B$868,E$4,'Policy Assignments'!$E$5:$E$868,"Core")&gt;0,"R",IF(COUNTIFS('Policy Assignments'!$C$5:$C$868,$A64,'Policy Assignments'!$B$5:$B$868,E$4,'Policy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v>R</x:v>
      </x:c>
      <x:c r="F64" s="94" t="str">
        <x:f>IF(COUNTIFS('Policy Assignments'!$C$5:$C$868,$A64,'Policy Assignments'!$B$5:$B$868,F$4,'Policy Assignments'!$E$5:$E$868,"Hold")&gt;0,"H",IF(COUNTIFS('Policy Assignments'!$C$5:$C$868,$A64,'Policy Assignments'!$B$5:$B$868,F$4,'Policy Assignments'!$E$5:$E$868,"Core")&gt;0,"R",IF(COUNTIFS('Policy Assignments'!$C$5:$C$868,$A64,'Policy Assignments'!$B$5:$B$868,F$4,'Policy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v>R</x:v>
      </x:c>
      <x:c r="G64" s="94" t="str">
        <x:f>IF(COUNTIFS('Policy Assignments'!$C$5:$C$868,$A64,'Policy Assignments'!$B$5:$B$868,G$4,'Policy Assignments'!$E$5:$E$868,"Hold")&gt;0,"H",IF(COUNTIFS('Policy Assignments'!$C$5:$C$868,$A64,'Policy Assignments'!$B$5:$B$868,G$4,'Policy Assignments'!$E$5:$E$868,"Core")&gt;0,"R",IF(COUNTIFS('Policy Assignments'!$C$5:$C$868,$A64,'Policy Assignments'!$B$5:$B$868,G$4,'Policy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H64" s="94" t="str">
        <x:f>IF(COUNTIFS('Policy Assignments'!$C$5:$C$868,$A64,'Policy Assignments'!$B$5:$B$868,H$4,'Policy Assignments'!$E$5:$E$868,"Hold")&gt;0,"H",IF(COUNTIFS('Policy Assignments'!$C$5:$C$868,$A64,'Policy Assignments'!$B$5:$B$868,H$4,'Policy Assignments'!$E$5:$E$868,"Core")&gt;0,"R",IF(COUNTIFS('Policy Assignments'!$C$5:$C$868,$A64,'Policy Assignments'!$B$5:$B$868,H$4,'Policy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I64" s="94" t="str">
        <x:f>IF(COUNTIFS('Policy Assignments'!$C$5:$C$868,$A64,'Policy Assignments'!$B$5:$B$868,I$4,'Policy Assignments'!$E$5:$E$868,"Hold")&gt;0,"H",IF(COUNTIFS('Policy Assignments'!$C$5:$C$868,$A64,'Policy Assignments'!$B$5:$B$868,I$4,'Policy Assignments'!$E$5:$E$868,"Core")&gt;0,"R",IF(COUNTIFS('Policy Assignments'!$C$5:$C$868,$A64,'Policy Assignments'!$B$5:$B$868,I$4,'Policy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J64" s="94" t="str">
        <x:f>IF(COUNTIFS('Policy Assignments'!$C$5:$C$868,$A64,'Policy Assignments'!$B$5:$B$868,J$4,'Policy Assignments'!$E$5:$E$868,"Hold")&gt;0,"H",IF(COUNTIFS('Policy Assignments'!$C$5:$C$868,$A64,'Policy Assignments'!$B$5:$B$868,J$4,'Policy Assignments'!$E$5:$E$868,"Core")&gt;0,"R",IF(COUNTIFS('Policy Assignments'!$C$5:$C$868,$A64,'Policy Assignments'!$B$5:$B$868,J$4,'Policy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K64" s="94" t="str">
        <x:f>IF(COUNTIFS('Policy Assignments'!$C$5:$C$868,$A64,'Policy Assignments'!$B$5:$B$868,K$4,'Policy Assignments'!$E$5:$E$868,"Hold")&gt;0,"H",IF(COUNTIFS('Policy Assignments'!$C$5:$C$868,$A64,'Policy Assignments'!$B$5:$B$868,K$4,'Policy Assignments'!$E$5:$E$868,"Core")&gt;0,"R",IF(COUNTIFS('Policy Assignments'!$C$5:$C$868,$A64,'Policy Assignments'!$B$5:$B$868,K$4,'Policy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L64" s="94" t="str">
        <x:f>IF(COUNTIFS('Policy Assignments'!$C$5:$C$868,$A64,'Policy Assignments'!$B$5:$B$868,L$4,'Policy Assignments'!$E$5:$E$868,"Hold")&gt;0,"H",IF(COUNTIFS('Policy Assignments'!$C$5:$C$868,$A64,'Policy Assignments'!$B$5:$B$868,L$4,'Policy Assignments'!$E$5:$E$868,"Core")&gt;0,"R",IF(COUNTIFS('Policy Assignments'!$C$5:$C$868,$A64,'Policy Assignments'!$B$5:$B$868,L$4,'Policy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M64" s="94" t="str">
        <x:f>IF(COUNTIFS('Policy Assignments'!$C$5:$C$868,$A64,'Policy Assignments'!$B$5:$B$868,M$4,'Policy Assignments'!$E$5:$E$868,"Hold")&gt;0,"H",IF(COUNTIFS('Policy Assignments'!$C$5:$C$868,$A64,'Policy Assignments'!$B$5:$B$868,M$4,'Policy Assignments'!$E$5:$E$868,"Core")&gt;0,"R",IF(COUNTIFS('Policy Assignments'!$C$5:$C$868,$A64,'Policy Assignments'!$B$5:$B$868,M$4,'Policy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c>
      <x:c r="N64" s="94" t="str">
        <x:f>IF(COUNTIFS('Policy Assignments'!$C$5:$C$868,$A64,'Policy Assignments'!$B$5:$B$868,N$4,'Policy Assignments'!$E$5:$E$868,"Hold")&gt;0,"H",IF(COUNTIFS('Policy Assignments'!$C$5:$C$868,$A64,'Policy Assignments'!$B$5:$B$868,N$4,'Policy Assignments'!$E$5:$E$868,"Core")&gt;0,"R",IF(COUNTIFS('Policy Assignments'!$C$5:$C$868,$A64,'Policy Assignments'!$B$5:$B$868,N$4,'Policy Assignments'!$E$5:$E$868,"Conditional")&gt;0,"C",IF(COUNTIFS('Policy Assignments'!$C$5:$C$868,$A64,'Policy Assignments'!$B$5:$B$868,"General",'Policy Assignments'!$E$5:$E$868,"Hold")&gt;0,"H",IF(COUNTIFS('Policy Assignments'!$C$5:$C$868,$A64,'Policy Assignments'!$B$5:$B$868,"General",'Policy Assignments'!$E$5:$E$868,"Conditional")&gt;0,"C",IF(COUNTIFS('Policy Assignments'!$C$5:$C$868,$A64,'Policy Assignments'!$B$5:$B$868,"General")&gt;0,"G",""))))))</x:f>
        <x:v>R</x:v>
      </x:c>
      <x:c r="O64" s="94" t="str">
        <x:f>IF(COUNTIFS('Policy Assignments'!$C$5:$C$868,$A64,'Policy Assignments'!$B$5:$B$868,O$4,'Policy Assignments'!$E$5:$E$868,"Hold")&gt;0,"H",IF(COUNTIFS('Policy Assignments'!$C$5:$C$868,$A64,'Policy Assignments'!$B$5:$B$868,O$4,'Policy Assignments'!$E$5:$E$868,"Core")&gt;0,"R",IF(COUNTIFS('Policy Assignments'!$C$5:$C$868,$A64,'Policy Assignments'!$B$5:$B$868,O$4,'Policy Assignments'!$E$5:$E$868,"Conditional")&gt;0,"C","")))</x:f>
      </x:c>
      <x:c r="P64" s="90" t="str">
        <x:v>Mapped</x:v>
      </x:c>
    </x:row>
    <x:row r="65" ht="22" customHeight="1">
      <x:c r="A65" s="90" t="str">
        <x:v>CL-SD-013</x:v>
      </x:c>
      <x:c r="B65" s="90" t="str">
        <x:v>Medication Reconciliation at Transitions</x:v>
      </x:c>
      <x:c r="C65" s="94" t="str">
        <x:f>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D65" s="94" t="str">
        <x:f>IF(COUNTIFS('Policy Assignments'!$C$5:$C$868,$A65,'Policy Assignments'!$B$5:$B$868,D$4,'Policy Assignments'!$E$5:$E$868,"Hold")&gt;0,"H",IF(COUNTIFS('Policy Assignments'!$C$5:$C$868,$A65,'Policy Assignments'!$B$5:$B$868,D$4,'Policy Assignments'!$E$5:$E$868,"Core")&gt;0,"R",IF(COUNTIFS('Policy Assignments'!$C$5:$C$868,$A65,'Policy Assignments'!$B$5:$B$868,D$4,'Policy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E65" s="94" t="str">
        <x:f>IF(COUNTIFS('Policy Assignments'!$C$5:$C$868,$A65,'Policy Assignments'!$B$5:$B$868,E$4,'Policy Assignments'!$E$5:$E$868,"Hold")&gt;0,"H",IF(COUNTIFS('Policy Assignments'!$C$5:$C$868,$A65,'Policy Assignments'!$B$5:$B$868,E$4,'Policy Assignments'!$E$5:$E$868,"Core")&gt;0,"R",IF(COUNTIFS('Policy Assignments'!$C$5:$C$868,$A65,'Policy Assignments'!$B$5:$B$868,E$4,'Policy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v>R</x:v>
      </x:c>
      <x:c r="F65" s="94" t="str">
        <x:f>IF(COUNTIFS('Policy Assignments'!$C$5:$C$868,$A65,'Policy Assignments'!$B$5:$B$868,F$4,'Policy Assignments'!$E$5:$E$868,"Hold")&gt;0,"H",IF(COUNTIFS('Policy Assignments'!$C$5:$C$868,$A65,'Policy Assignments'!$B$5:$B$868,F$4,'Policy Assignments'!$E$5:$E$868,"Core")&gt;0,"R",IF(COUNTIFS('Policy Assignments'!$C$5:$C$868,$A65,'Policy Assignments'!$B$5:$B$868,F$4,'Policy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G65" s="94" t="str">
        <x:f>IF(COUNTIFS('Policy Assignments'!$C$5:$C$868,$A65,'Policy Assignments'!$B$5:$B$868,G$4,'Policy Assignments'!$E$5:$E$868,"Hold")&gt;0,"H",IF(COUNTIFS('Policy Assignments'!$C$5:$C$868,$A65,'Policy Assignments'!$B$5:$B$868,G$4,'Policy Assignments'!$E$5:$E$868,"Core")&gt;0,"R",IF(COUNTIFS('Policy Assignments'!$C$5:$C$868,$A65,'Policy Assignments'!$B$5:$B$868,G$4,'Policy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H65" s="94" t="str">
        <x:f>IF(COUNTIFS('Policy Assignments'!$C$5:$C$868,$A65,'Policy Assignments'!$B$5:$B$868,H$4,'Policy Assignments'!$E$5:$E$868,"Hold")&gt;0,"H",IF(COUNTIFS('Policy Assignments'!$C$5:$C$868,$A65,'Policy Assignments'!$B$5:$B$868,H$4,'Policy Assignments'!$E$5:$E$868,"Core")&gt;0,"R",IF(COUNTIFS('Policy Assignments'!$C$5:$C$868,$A65,'Policy Assignments'!$B$5:$B$868,H$4,'Policy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I65" s="94" t="str">
        <x:f>IF(COUNTIFS('Policy Assignments'!$C$5:$C$868,$A65,'Policy Assignments'!$B$5:$B$868,I$4,'Policy Assignments'!$E$5:$E$868,"Hold")&gt;0,"H",IF(COUNTIFS('Policy Assignments'!$C$5:$C$868,$A65,'Policy Assignments'!$B$5:$B$868,I$4,'Policy Assignments'!$E$5:$E$868,"Core")&gt;0,"R",IF(COUNTIFS('Policy Assignments'!$C$5:$C$868,$A65,'Policy Assignments'!$B$5:$B$868,I$4,'Policy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J65" s="94" t="str">
        <x:f>IF(COUNTIFS('Policy Assignments'!$C$5:$C$868,$A65,'Policy Assignments'!$B$5:$B$868,J$4,'Policy Assignments'!$E$5:$E$868,"Hold")&gt;0,"H",IF(COUNTIFS('Policy Assignments'!$C$5:$C$868,$A65,'Policy Assignments'!$B$5:$B$868,J$4,'Policy Assignments'!$E$5:$E$868,"Core")&gt;0,"R",IF(COUNTIFS('Policy Assignments'!$C$5:$C$868,$A65,'Policy Assignments'!$B$5:$B$868,J$4,'Policy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K65" s="94" t="str">
        <x:f>IF(COUNTIFS('Policy Assignments'!$C$5:$C$868,$A65,'Policy Assignments'!$B$5:$B$868,K$4,'Policy Assignments'!$E$5:$E$868,"Hold")&gt;0,"H",IF(COUNTIFS('Policy Assignments'!$C$5:$C$868,$A65,'Policy Assignments'!$B$5:$B$868,K$4,'Policy Assignments'!$E$5:$E$868,"Core")&gt;0,"R",IF(COUNTIFS('Policy Assignments'!$C$5:$C$868,$A65,'Policy Assignments'!$B$5:$B$868,K$4,'Policy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L65" s="94" t="str">
        <x:f>IF(COUNTIFS('Policy Assignments'!$C$5:$C$868,$A65,'Policy Assignments'!$B$5:$B$868,L$4,'Policy Assignments'!$E$5:$E$868,"Hold")&gt;0,"H",IF(COUNTIFS('Policy Assignments'!$C$5:$C$868,$A65,'Policy Assignments'!$B$5:$B$868,L$4,'Policy Assignments'!$E$5:$E$868,"Core")&gt;0,"R",IF(COUNTIFS('Policy Assignments'!$C$5:$C$868,$A65,'Policy Assignments'!$B$5:$B$868,L$4,'Policy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M65" s="94" t="str">
        <x:f>IF(COUNTIFS('Policy Assignments'!$C$5:$C$868,$A65,'Policy Assignments'!$B$5:$B$868,M$4,'Policy Assignments'!$E$5:$E$868,"Hold")&gt;0,"H",IF(COUNTIFS('Policy Assignments'!$C$5:$C$868,$A65,'Policy Assignments'!$B$5:$B$868,M$4,'Policy Assignments'!$E$5:$E$868,"Core")&gt;0,"R",IF(COUNTIFS('Policy Assignments'!$C$5:$C$868,$A65,'Policy Assignments'!$B$5:$B$868,M$4,'Policy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c>
      <x:c r="N65" s="94" t="str">
        <x:f>IF(COUNTIFS('Policy Assignments'!$C$5:$C$868,$A65,'Policy Assignments'!$B$5:$B$868,N$4,'Policy Assignments'!$E$5:$E$868,"Hold")&gt;0,"H",IF(COUNTIFS('Policy Assignments'!$C$5:$C$868,$A65,'Policy Assignments'!$B$5:$B$868,N$4,'Policy Assignments'!$E$5:$E$868,"Core")&gt;0,"R",IF(COUNTIFS('Policy Assignments'!$C$5:$C$868,$A65,'Policy Assignments'!$B$5:$B$868,N$4,'Policy Assignments'!$E$5:$E$868,"Conditional")&gt;0,"C",IF(COUNTIFS('Policy Assignments'!$C$5:$C$868,$A65,'Policy Assignments'!$B$5:$B$868,"General",'Policy Assignments'!$E$5:$E$868,"Hold")&gt;0,"H",IF(COUNTIFS('Policy Assignments'!$C$5:$C$868,$A65,'Policy Assignments'!$B$5:$B$868,"General",'Policy Assignments'!$E$5:$E$868,"Conditional")&gt;0,"C",IF(COUNTIFS('Policy Assignments'!$C$5:$C$868,$A65,'Policy Assignments'!$B$5:$B$868,"General")&gt;0,"G",""))))))</x:f>
        <x:v>R</x:v>
      </x:c>
      <x:c r="O65" s="94" t="str">
        <x:f>IF(COUNTIFS('Policy Assignments'!$C$5:$C$868,$A65,'Policy Assignments'!$B$5:$B$868,O$4,'Policy Assignments'!$E$5:$E$868,"Hold")&gt;0,"H",IF(COUNTIFS('Policy Assignments'!$C$5:$C$868,$A65,'Policy Assignments'!$B$5:$B$868,O$4,'Policy Assignments'!$E$5:$E$868,"Core")&gt;0,"R",IF(COUNTIFS('Policy Assignments'!$C$5:$C$868,$A65,'Policy Assignments'!$B$5:$B$868,O$4,'Policy Assignments'!$E$5:$E$868,"Conditional")&gt;0,"C","")))</x:f>
      </x:c>
      <x:c r="P65" s="90" t="str">
        <x:v>Mapped</x:v>
      </x:c>
    </x:row>
    <x:row r="66" ht="22" customHeight="1">
      <x:c r="A66" s="90" t="str">
        <x:v>CL-SD-014</x:v>
      </x:c>
      <x:c r="B66" s="90" t="str">
        <x:v>Pain Assessment &amp; Management</x:v>
      </x:c>
      <x:c r="C66" s="94" t="str">
        <x:f>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c>
      <x:c r="D66" s="94" t="str">
        <x:f>IF(COUNTIFS('Policy Assignments'!$C$5:$C$868,$A66,'Policy Assignments'!$B$5:$B$868,D$4,'Policy Assignments'!$E$5:$E$868,"Hold")&gt;0,"H",IF(COUNTIFS('Policy Assignments'!$C$5:$C$868,$A66,'Policy Assignments'!$B$5:$B$868,D$4,'Policy Assignments'!$E$5:$E$868,"Core")&gt;0,"R",IF(COUNTIFS('Policy Assignments'!$C$5:$C$868,$A66,'Policy Assignments'!$B$5:$B$868,D$4,'Policy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R</x:v>
      </x:c>
      <x:c r="E66" s="94" t="str">
        <x:f>IF(COUNTIFS('Policy Assignments'!$C$5:$C$868,$A66,'Policy Assignments'!$B$5:$B$868,E$4,'Policy Assignments'!$E$5:$E$868,"Hold")&gt;0,"H",IF(COUNTIFS('Policy Assignments'!$C$5:$C$868,$A66,'Policy Assignments'!$B$5:$B$868,E$4,'Policy Assignments'!$E$5:$E$868,"Core")&gt;0,"R",IF(COUNTIFS('Policy Assignments'!$C$5:$C$868,$A66,'Policy Assignments'!$B$5:$B$868,E$4,'Policy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R</x:v>
      </x:c>
      <x:c r="F66" s="94" t="str">
        <x:f>IF(COUNTIFS('Policy Assignments'!$C$5:$C$868,$A66,'Policy Assignments'!$B$5:$B$868,F$4,'Policy Assignments'!$E$5:$E$868,"Hold")&gt;0,"H",IF(COUNTIFS('Policy Assignments'!$C$5:$C$868,$A66,'Policy Assignments'!$B$5:$B$868,F$4,'Policy Assignments'!$E$5:$E$868,"Core")&gt;0,"R",IF(COUNTIFS('Policy Assignments'!$C$5:$C$868,$A66,'Policy Assignments'!$B$5:$B$868,F$4,'Policy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R</x:v>
      </x:c>
      <x:c r="G66" s="94" t="str">
        <x:f>IF(COUNTIFS('Policy Assignments'!$C$5:$C$868,$A66,'Policy Assignments'!$B$5:$B$868,G$4,'Policy Assignments'!$E$5:$E$868,"Hold")&gt;0,"H",IF(COUNTIFS('Policy Assignments'!$C$5:$C$868,$A66,'Policy Assignments'!$B$5:$B$868,G$4,'Policy Assignments'!$E$5:$E$868,"Core")&gt;0,"R",IF(COUNTIFS('Policy Assignments'!$C$5:$C$868,$A66,'Policy Assignments'!$B$5:$B$868,G$4,'Policy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C</x:v>
      </x:c>
      <x:c r="H66" s="94" t="str">
        <x:f>IF(COUNTIFS('Policy Assignments'!$C$5:$C$868,$A66,'Policy Assignments'!$B$5:$B$868,H$4,'Policy Assignments'!$E$5:$E$868,"Hold")&gt;0,"H",IF(COUNTIFS('Policy Assignments'!$C$5:$C$868,$A66,'Policy Assignments'!$B$5:$B$868,H$4,'Policy Assignments'!$E$5:$E$868,"Core")&gt;0,"R",IF(COUNTIFS('Policy Assignments'!$C$5:$C$868,$A66,'Policy Assignments'!$B$5:$B$868,H$4,'Policy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C</x:v>
      </x:c>
      <x:c r="I66" s="94" t="str">
        <x:f>IF(COUNTIFS('Policy Assignments'!$C$5:$C$868,$A66,'Policy Assignments'!$B$5:$B$868,I$4,'Policy Assignments'!$E$5:$E$868,"Hold")&gt;0,"H",IF(COUNTIFS('Policy Assignments'!$C$5:$C$868,$A66,'Policy Assignments'!$B$5:$B$868,I$4,'Policy Assignments'!$E$5:$E$868,"Core")&gt;0,"R",IF(COUNTIFS('Policy Assignments'!$C$5:$C$868,$A66,'Policy Assignments'!$B$5:$B$868,I$4,'Policy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C</x:v>
      </x:c>
      <x:c r="J66" s="94" t="str">
        <x:f>IF(COUNTIFS('Policy Assignments'!$C$5:$C$868,$A66,'Policy Assignments'!$B$5:$B$868,J$4,'Policy Assignments'!$E$5:$E$868,"Hold")&gt;0,"H",IF(COUNTIFS('Policy Assignments'!$C$5:$C$868,$A66,'Policy Assignments'!$B$5:$B$868,J$4,'Policy Assignments'!$E$5:$E$868,"Core")&gt;0,"R",IF(COUNTIFS('Policy Assignments'!$C$5:$C$868,$A66,'Policy Assignments'!$B$5:$B$868,J$4,'Policy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C</x:v>
      </x:c>
      <x:c r="K66" s="94" t="str">
        <x:f>IF(COUNTIFS('Policy Assignments'!$C$5:$C$868,$A66,'Policy Assignments'!$B$5:$B$868,K$4,'Policy Assignments'!$E$5:$E$868,"Hold")&gt;0,"H",IF(COUNTIFS('Policy Assignments'!$C$5:$C$868,$A66,'Policy Assignments'!$B$5:$B$868,K$4,'Policy Assignments'!$E$5:$E$868,"Core")&gt;0,"R",IF(COUNTIFS('Policy Assignments'!$C$5:$C$868,$A66,'Policy Assignments'!$B$5:$B$868,K$4,'Policy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C</x:v>
      </x:c>
      <x:c r="L66" s="94" t="str">
        <x:f>IF(COUNTIFS('Policy Assignments'!$C$5:$C$868,$A66,'Policy Assignments'!$B$5:$B$868,L$4,'Policy Assignments'!$E$5:$E$868,"Hold")&gt;0,"H",IF(COUNTIFS('Policy Assignments'!$C$5:$C$868,$A66,'Policy Assignments'!$B$5:$B$868,L$4,'Policy Assignments'!$E$5:$E$868,"Core")&gt;0,"R",IF(COUNTIFS('Policy Assignments'!$C$5:$C$868,$A66,'Policy Assignments'!$B$5:$B$868,L$4,'Policy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R</x:v>
      </x:c>
      <x:c r="M66" s="94" t="str">
        <x:f>IF(COUNTIFS('Policy Assignments'!$C$5:$C$868,$A66,'Policy Assignments'!$B$5:$B$868,M$4,'Policy Assignments'!$E$5:$E$868,"Hold")&gt;0,"H",IF(COUNTIFS('Policy Assignments'!$C$5:$C$868,$A66,'Policy Assignments'!$B$5:$B$868,M$4,'Policy Assignments'!$E$5:$E$868,"Core")&gt;0,"R",IF(COUNTIFS('Policy Assignments'!$C$5:$C$868,$A66,'Policy Assignments'!$B$5:$B$868,M$4,'Policy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c>
      <x:c r="N66" s="94" t="str">
        <x:f>IF(COUNTIFS('Policy Assignments'!$C$5:$C$868,$A66,'Policy Assignments'!$B$5:$B$868,N$4,'Policy Assignments'!$E$5:$E$868,"Hold")&gt;0,"H",IF(COUNTIFS('Policy Assignments'!$C$5:$C$868,$A66,'Policy Assignments'!$B$5:$B$868,N$4,'Policy Assignments'!$E$5:$E$868,"Core")&gt;0,"R",IF(COUNTIFS('Policy Assignments'!$C$5:$C$868,$A66,'Policy Assignments'!$B$5:$B$868,N$4,'Policy Assignments'!$E$5:$E$868,"Conditional")&gt;0,"C",IF(COUNTIFS('Policy Assignments'!$C$5:$C$868,$A66,'Policy Assignments'!$B$5:$B$868,"General",'Policy Assignments'!$E$5:$E$868,"Hold")&gt;0,"H",IF(COUNTIFS('Policy Assignments'!$C$5:$C$868,$A66,'Policy Assignments'!$B$5:$B$868,"General",'Policy Assignments'!$E$5:$E$868,"Conditional")&gt;0,"C",IF(COUNTIFS('Policy Assignments'!$C$5:$C$868,$A66,'Policy Assignments'!$B$5:$B$868,"General")&gt;0,"G",""))))))</x:f>
        <x:v>R</x:v>
      </x:c>
      <x:c r="O66" s="94" t="str">
        <x:f>IF(COUNTIFS('Policy Assignments'!$C$5:$C$868,$A66,'Policy Assignments'!$B$5:$B$868,O$4,'Policy Assignments'!$E$5:$E$868,"Hold")&gt;0,"H",IF(COUNTIFS('Policy Assignments'!$C$5:$C$868,$A66,'Policy Assignments'!$B$5:$B$868,O$4,'Policy Assignments'!$E$5:$E$868,"Core")&gt;0,"R",IF(COUNTIFS('Policy Assignments'!$C$5:$C$868,$A66,'Policy Assignments'!$B$5:$B$868,O$4,'Policy Assignments'!$E$5:$E$868,"Conditional")&gt;0,"C","")))</x:f>
      </x:c>
      <x:c r="P66" s="90" t="str">
        <x:v>Mapped</x:v>
      </x:c>
    </x:row>
    <x:row r="67" ht="22" customHeight="1">
      <x:c r="A67" s="90" t="str">
        <x:v>CL-SD-015</x:v>
      </x:c>
      <x:c r="B67" s="90" t="str">
        <x:v>Fall Risk Assessment &amp; Prevention</x:v>
      </x:c>
      <x:c r="C67" s="94" t="str">
        <x:f>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c>
      <x:c r="D67" s="94" t="str">
        <x:f>IF(COUNTIFS('Policy Assignments'!$C$5:$C$868,$A67,'Policy Assignments'!$B$5:$B$868,D$4,'Policy Assignments'!$E$5:$E$868,"Hold")&gt;0,"H",IF(COUNTIFS('Policy Assignments'!$C$5:$C$868,$A67,'Policy Assignments'!$B$5:$B$868,D$4,'Policy Assignments'!$E$5:$E$868,"Core")&gt;0,"R",IF(COUNTIFS('Policy Assignments'!$C$5:$C$868,$A67,'Policy Assignments'!$B$5:$B$868,D$4,'Policy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R</x:v>
      </x:c>
      <x:c r="E67" s="94" t="str">
        <x:f>IF(COUNTIFS('Policy Assignments'!$C$5:$C$868,$A67,'Policy Assignments'!$B$5:$B$868,E$4,'Policy Assignments'!$E$5:$E$868,"Hold")&gt;0,"H",IF(COUNTIFS('Policy Assignments'!$C$5:$C$868,$A67,'Policy Assignments'!$B$5:$B$868,E$4,'Policy Assignments'!$E$5:$E$868,"Core")&gt;0,"R",IF(COUNTIFS('Policy Assignments'!$C$5:$C$868,$A67,'Policy Assignments'!$B$5:$B$868,E$4,'Policy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R</x:v>
      </x:c>
      <x:c r="F67" s="94" t="str">
        <x:f>IF(COUNTIFS('Policy Assignments'!$C$5:$C$868,$A67,'Policy Assignments'!$B$5:$B$868,F$4,'Policy Assignments'!$E$5:$E$868,"Hold")&gt;0,"H",IF(COUNTIFS('Policy Assignments'!$C$5:$C$868,$A67,'Policy Assignments'!$B$5:$B$868,F$4,'Policy Assignments'!$E$5:$E$868,"Core")&gt;0,"R",IF(COUNTIFS('Policy Assignments'!$C$5:$C$868,$A67,'Policy Assignments'!$B$5:$B$868,F$4,'Policy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R</x:v>
      </x:c>
      <x:c r="G67" s="94" t="str">
        <x:f>IF(COUNTIFS('Policy Assignments'!$C$5:$C$868,$A67,'Policy Assignments'!$B$5:$B$868,G$4,'Policy Assignments'!$E$5:$E$868,"Hold")&gt;0,"H",IF(COUNTIFS('Policy Assignments'!$C$5:$C$868,$A67,'Policy Assignments'!$B$5:$B$868,G$4,'Policy Assignments'!$E$5:$E$868,"Core")&gt;0,"R",IF(COUNTIFS('Policy Assignments'!$C$5:$C$868,$A67,'Policy Assignments'!$B$5:$B$868,G$4,'Policy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C</x:v>
      </x:c>
      <x:c r="H67" s="94" t="str">
        <x:f>IF(COUNTIFS('Policy Assignments'!$C$5:$C$868,$A67,'Policy Assignments'!$B$5:$B$868,H$4,'Policy Assignments'!$E$5:$E$868,"Hold")&gt;0,"H",IF(COUNTIFS('Policy Assignments'!$C$5:$C$868,$A67,'Policy Assignments'!$B$5:$B$868,H$4,'Policy Assignments'!$E$5:$E$868,"Core")&gt;0,"R",IF(COUNTIFS('Policy Assignments'!$C$5:$C$868,$A67,'Policy Assignments'!$B$5:$B$868,H$4,'Policy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C</x:v>
      </x:c>
      <x:c r="I67" s="94" t="str">
        <x:f>IF(COUNTIFS('Policy Assignments'!$C$5:$C$868,$A67,'Policy Assignments'!$B$5:$B$868,I$4,'Policy Assignments'!$E$5:$E$868,"Hold")&gt;0,"H",IF(COUNTIFS('Policy Assignments'!$C$5:$C$868,$A67,'Policy Assignments'!$B$5:$B$868,I$4,'Policy Assignments'!$E$5:$E$868,"Core")&gt;0,"R",IF(COUNTIFS('Policy Assignments'!$C$5:$C$868,$A67,'Policy Assignments'!$B$5:$B$868,I$4,'Policy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C</x:v>
      </x:c>
      <x:c r="J67" s="94" t="str">
        <x:f>IF(COUNTIFS('Policy Assignments'!$C$5:$C$868,$A67,'Policy Assignments'!$B$5:$B$868,J$4,'Policy Assignments'!$E$5:$E$868,"Hold")&gt;0,"H",IF(COUNTIFS('Policy Assignments'!$C$5:$C$868,$A67,'Policy Assignments'!$B$5:$B$868,J$4,'Policy Assignments'!$E$5:$E$868,"Core")&gt;0,"R",IF(COUNTIFS('Policy Assignments'!$C$5:$C$868,$A67,'Policy Assignments'!$B$5:$B$868,J$4,'Policy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C</x:v>
      </x:c>
      <x:c r="K67" s="94" t="str">
        <x:f>IF(COUNTIFS('Policy Assignments'!$C$5:$C$868,$A67,'Policy Assignments'!$B$5:$B$868,K$4,'Policy Assignments'!$E$5:$E$868,"Hold")&gt;0,"H",IF(COUNTIFS('Policy Assignments'!$C$5:$C$868,$A67,'Policy Assignments'!$B$5:$B$868,K$4,'Policy Assignments'!$E$5:$E$868,"Core")&gt;0,"R",IF(COUNTIFS('Policy Assignments'!$C$5:$C$868,$A67,'Policy Assignments'!$B$5:$B$868,K$4,'Policy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C</x:v>
      </x:c>
      <x:c r="L67" s="94" t="str">
        <x:f>IF(COUNTIFS('Policy Assignments'!$C$5:$C$868,$A67,'Policy Assignments'!$B$5:$B$868,L$4,'Policy Assignments'!$E$5:$E$868,"Hold")&gt;0,"H",IF(COUNTIFS('Policy Assignments'!$C$5:$C$868,$A67,'Policy Assignments'!$B$5:$B$868,L$4,'Policy Assignments'!$E$5:$E$868,"Core")&gt;0,"R",IF(COUNTIFS('Policy Assignments'!$C$5:$C$868,$A67,'Policy Assignments'!$B$5:$B$868,L$4,'Policy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R</x:v>
      </x:c>
      <x:c r="M67" s="94" t="str">
        <x:f>IF(COUNTIFS('Policy Assignments'!$C$5:$C$868,$A67,'Policy Assignments'!$B$5:$B$868,M$4,'Policy Assignments'!$E$5:$E$868,"Hold")&gt;0,"H",IF(COUNTIFS('Policy Assignments'!$C$5:$C$868,$A67,'Policy Assignments'!$B$5:$B$868,M$4,'Policy Assignments'!$E$5:$E$868,"Core")&gt;0,"R",IF(COUNTIFS('Policy Assignments'!$C$5:$C$868,$A67,'Policy Assignments'!$B$5:$B$868,M$4,'Policy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c>
      <x:c r="N67" s="94" t="str">
        <x:f>IF(COUNTIFS('Policy Assignments'!$C$5:$C$868,$A67,'Policy Assignments'!$B$5:$B$868,N$4,'Policy Assignments'!$E$5:$E$868,"Hold")&gt;0,"H",IF(COUNTIFS('Policy Assignments'!$C$5:$C$868,$A67,'Policy Assignments'!$B$5:$B$868,N$4,'Policy Assignments'!$E$5:$E$868,"Core")&gt;0,"R",IF(COUNTIFS('Policy Assignments'!$C$5:$C$868,$A67,'Policy Assignments'!$B$5:$B$868,N$4,'Policy Assignments'!$E$5:$E$868,"Conditional")&gt;0,"C",IF(COUNTIFS('Policy Assignments'!$C$5:$C$868,$A67,'Policy Assignments'!$B$5:$B$868,"General",'Policy Assignments'!$E$5:$E$868,"Hold")&gt;0,"H",IF(COUNTIFS('Policy Assignments'!$C$5:$C$868,$A67,'Policy Assignments'!$B$5:$B$868,"General",'Policy Assignments'!$E$5:$E$868,"Conditional")&gt;0,"C",IF(COUNTIFS('Policy Assignments'!$C$5:$C$868,$A67,'Policy Assignments'!$B$5:$B$868,"General")&gt;0,"G",""))))))</x:f>
        <x:v>R</x:v>
      </x:c>
      <x:c r="O67" s="94" t="str">
        <x:f>IF(COUNTIFS('Policy Assignments'!$C$5:$C$868,$A67,'Policy Assignments'!$B$5:$B$868,O$4,'Policy Assignments'!$E$5:$E$868,"Hold")&gt;0,"H",IF(COUNTIFS('Policy Assignments'!$C$5:$C$868,$A67,'Policy Assignments'!$B$5:$B$868,O$4,'Policy Assignments'!$E$5:$E$868,"Core")&gt;0,"R",IF(COUNTIFS('Policy Assignments'!$C$5:$C$868,$A67,'Policy Assignments'!$B$5:$B$868,O$4,'Policy Assignments'!$E$5:$E$868,"Conditional")&gt;0,"C","")))</x:f>
      </x:c>
      <x:c r="P67" s="90" t="str">
        <x:v>Mapped</x:v>
      </x:c>
    </x:row>
    <x:row r="68" ht="22" customHeight="1">
      <x:c r="A68" s="90" t="str">
        <x:v>CL-SD-016</x:v>
      </x:c>
      <x:c r="B68" s="90" t="str">
        <x:v>Infection Prevention &amp; Control</x:v>
      </x:c>
      <x:c r="C68" s="94" t="str">
        <x:f>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c>
      <x:c r="D68" s="94" t="str">
        <x:f>IF(COUNTIFS('Policy Assignments'!$C$5:$C$868,$A68,'Policy Assignments'!$B$5:$B$868,D$4,'Policy Assignments'!$E$5:$E$868,"Hold")&gt;0,"H",IF(COUNTIFS('Policy Assignments'!$C$5:$C$868,$A68,'Policy Assignments'!$B$5:$B$868,D$4,'Policy Assignments'!$E$5:$E$868,"Core")&gt;0,"R",IF(COUNTIFS('Policy Assignments'!$C$5:$C$868,$A68,'Policy Assignments'!$B$5:$B$868,D$4,'Policy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R</x:v>
      </x:c>
      <x:c r="E68" s="94" t="str">
        <x:f>IF(COUNTIFS('Policy Assignments'!$C$5:$C$868,$A68,'Policy Assignments'!$B$5:$B$868,E$4,'Policy Assignments'!$E$5:$E$868,"Hold")&gt;0,"H",IF(COUNTIFS('Policy Assignments'!$C$5:$C$868,$A68,'Policy Assignments'!$B$5:$B$868,E$4,'Policy Assignments'!$E$5:$E$868,"Core")&gt;0,"R",IF(COUNTIFS('Policy Assignments'!$C$5:$C$868,$A68,'Policy Assignments'!$B$5:$B$868,E$4,'Policy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R</x:v>
      </x:c>
      <x:c r="F68" s="94" t="str">
        <x:f>IF(COUNTIFS('Policy Assignments'!$C$5:$C$868,$A68,'Policy Assignments'!$B$5:$B$868,F$4,'Policy Assignments'!$E$5:$E$868,"Hold")&gt;0,"H",IF(COUNTIFS('Policy Assignments'!$C$5:$C$868,$A68,'Policy Assignments'!$B$5:$B$868,F$4,'Policy Assignments'!$E$5:$E$868,"Core")&gt;0,"R",IF(COUNTIFS('Policy Assignments'!$C$5:$C$868,$A68,'Policy Assignments'!$B$5:$B$868,F$4,'Policy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R</x:v>
      </x:c>
      <x:c r="G68" s="94" t="str">
        <x:f>IF(COUNTIFS('Policy Assignments'!$C$5:$C$868,$A68,'Policy Assignments'!$B$5:$B$868,G$4,'Policy Assignments'!$E$5:$E$868,"Hold")&gt;0,"H",IF(COUNTIFS('Policy Assignments'!$C$5:$C$868,$A68,'Policy Assignments'!$B$5:$B$868,G$4,'Policy Assignments'!$E$5:$E$868,"Core")&gt;0,"R",IF(COUNTIFS('Policy Assignments'!$C$5:$C$868,$A68,'Policy Assignments'!$B$5:$B$868,G$4,'Policy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C</x:v>
      </x:c>
      <x:c r="H68" s="94" t="str">
        <x:f>IF(COUNTIFS('Policy Assignments'!$C$5:$C$868,$A68,'Policy Assignments'!$B$5:$B$868,H$4,'Policy Assignments'!$E$5:$E$868,"Hold")&gt;0,"H",IF(COUNTIFS('Policy Assignments'!$C$5:$C$868,$A68,'Policy Assignments'!$B$5:$B$868,H$4,'Policy Assignments'!$E$5:$E$868,"Core")&gt;0,"R",IF(COUNTIFS('Policy Assignments'!$C$5:$C$868,$A68,'Policy Assignments'!$B$5:$B$868,H$4,'Policy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C</x:v>
      </x:c>
      <x:c r="I68" s="94" t="str">
        <x:f>IF(COUNTIFS('Policy Assignments'!$C$5:$C$868,$A68,'Policy Assignments'!$B$5:$B$868,I$4,'Policy Assignments'!$E$5:$E$868,"Hold")&gt;0,"H",IF(COUNTIFS('Policy Assignments'!$C$5:$C$868,$A68,'Policy Assignments'!$B$5:$B$868,I$4,'Policy Assignments'!$E$5:$E$868,"Core")&gt;0,"R",IF(COUNTIFS('Policy Assignments'!$C$5:$C$868,$A68,'Policy Assignments'!$B$5:$B$868,I$4,'Policy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C</x:v>
      </x:c>
      <x:c r="J68" s="94" t="str">
        <x:f>IF(COUNTIFS('Policy Assignments'!$C$5:$C$868,$A68,'Policy Assignments'!$B$5:$B$868,J$4,'Policy Assignments'!$E$5:$E$868,"Hold")&gt;0,"H",IF(COUNTIFS('Policy Assignments'!$C$5:$C$868,$A68,'Policy Assignments'!$B$5:$B$868,J$4,'Policy Assignments'!$E$5:$E$868,"Core")&gt;0,"R",IF(COUNTIFS('Policy Assignments'!$C$5:$C$868,$A68,'Policy Assignments'!$B$5:$B$868,J$4,'Policy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C</x:v>
      </x:c>
      <x:c r="K68" s="94" t="str">
        <x:f>IF(COUNTIFS('Policy Assignments'!$C$5:$C$868,$A68,'Policy Assignments'!$B$5:$B$868,K$4,'Policy Assignments'!$E$5:$E$868,"Hold")&gt;0,"H",IF(COUNTIFS('Policy Assignments'!$C$5:$C$868,$A68,'Policy Assignments'!$B$5:$B$868,K$4,'Policy Assignments'!$E$5:$E$868,"Core")&gt;0,"R",IF(COUNTIFS('Policy Assignments'!$C$5:$C$868,$A68,'Policy Assignments'!$B$5:$B$868,K$4,'Policy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C</x:v>
      </x:c>
      <x:c r="L68" s="94" t="str">
        <x:f>IF(COUNTIFS('Policy Assignments'!$C$5:$C$868,$A68,'Policy Assignments'!$B$5:$B$868,L$4,'Policy Assignments'!$E$5:$E$868,"Hold")&gt;0,"H",IF(COUNTIFS('Policy Assignments'!$C$5:$C$868,$A68,'Policy Assignments'!$B$5:$B$868,L$4,'Policy Assignments'!$E$5:$E$868,"Core")&gt;0,"R",IF(COUNTIFS('Policy Assignments'!$C$5:$C$868,$A68,'Policy Assignments'!$B$5:$B$868,L$4,'Policy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R</x:v>
      </x:c>
      <x:c r="M68" s="94" t="str">
        <x:f>IF(COUNTIFS('Policy Assignments'!$C$5:$C$868,$A68,'Policy Assignments'!$B$5:$B$868,M$4,'Policy Assignments'!$E$5:$E$868,"Hold")&gt;0,"H",IF(COUNTIFS('Policy Assignments'!$C$5:$C$868,$A68,'Policy Assignments'!$B$5:$B$868,M$4,'Policy Assignments'!$E$5:$E$868,"Core")&gt;0,"R",IF(COUNTIFS('Policy Assignments'!$C$5:$C$868,$A68,'Policy Assignments'!$B$5:$B$868,M$4,'Policy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c>
      <x:c r="N68" s="94" t="str">
        <x:f>IF(COUNTIFS('Policy Assignments'!$C$5:$C$868,$A68,'Policy Assignments'!$B$5:$B$868,N$4,'Policy Assignments'!$E$5:$E$868,"Hold")&gt;0,"H",IF(COUNTIFS('Policy Assignments'!$C$5:$C$868,$A68,'Policy Assignments'!$B$5:$B$868,N$4,'Policy Assignments'!$E$5:$E$868,"Core")&gt;0,"R",IF(COUNTIFS('Policy Assignments'!$C$5:$C$868,$A68,'Policy Assignments'!$B$5:$B$868,N$4,'Policy Assignments'!$E$5:$E$868,"Conditional")&gt;0,"C",IF(COUNTIFS('Policy Assignments'!$C$5:$C$868,$A68,'Policy Assignments'!$B$5:$B$868,"General",'Policy Assignments'!$E$5:$E$868,"Hold")&gt;0,"H",IF(COUNTIFS('Policy Assignments'!$C$5:$C$868,$A68,'Policy Assignments'!$B$5:$B$868,"General",'Policy Assignments'!$E$5:$E$868,"Conditional")&gt;0,"C",IF(COUNTIFS('Policy Assignments'!$C$5:$C$868,$A68,'Policy Assignments'!$B$5:$B$868,"General")&gt;0,"G",""))))))</x:f>
        <x:v>R</x:v>
      </x:c>
      <x:c r="O68" s="94" t="str">
        <x:f>IF(COUNTIFS('Policy Assignments'!$C$5:$C$868,$A68,'Policy Assignments'!$B$5:$B$868,O$4,'Policy Assignments'!$E$5:$E$868,"Hold")&gt;0,"H",IF(COUNTIFS('Policy Assignments'!$C$5:$C$868,$A68,'Policy Assignments'!$B$5:$B$868,O$4,'Policy Assignments'!$E$5:$E$868,"Core")&gt;0,"R",IF(COUNTIFS('Policy Assignments'!$C$5:$C$868,$A68,'Policy Assignments'!$B$5:$B$868,O$4,'Policy Assignments'!$E$5:$E$868,"Conditional")&gt;0,"C","")))</x:f>
      </x:c>
      <x:c r="P68" s="90" t="str">
        <x:v>Mapped</x:v>
      </x:c>
    </x:row>
    <x:row r="69" ht="22" customHeight="1">
      <x:c r="A69" s="90" t="str">
        <x:v>CL-SD-017</x:v>
      </x:c>
      <x:c r="B69" s="90" t="str">
        <x:v>Patient Education &amp; Self-Management</x:v>
      </x:c>
      <x:c r="C69" s="94" t="str">
        <x:f>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c>
      <x:c r="D69" s="94" t="str">
        <x:f>IF(COUNTIFS('Policy Assignments'!$C$5:$C$868,$A69,'Policy Assignments'!$B$5:$B$868,D$4,'Policy Assignments'!$E$5:$E$868,"Hold")&gt;0,"H",IF(COUNTIFS('Policy Assignments'!$C$5:$C$868,$A69,'Policy Assignments'!$B$5:$B$868,D$4,'Policy Assignments'!$E$5:$E$868,"Core")&gt;0,"R",IF(COUNTIFS('Policy Assignments'!$C$5:$C$868,$A69,'Policy Assignments'!$B$5:$B$868,D$4,'Policy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R</x:v>
      </x:c>
      <x:c r="E69" s="94" t="str">
        <x:f>IF(COUNTIFS('Policy Assignments'!$C$5:$C$868,$A69,'Policy Assignments'!$B$5:$B$868,E$4,'Policy Assignments'!$E$5:$E$868,"Hold")&gt;0,"H",IF(COUNTIFS('Policy Assignments'!$C$5:$C$868,$A69,'Policy Assignments'!$B$5:$B$868,E$4,'Policy Assignments'!$E$5:$E$868,"Core")&gt;0,"R",IF(COUNTIFS('Policy Assignments'!$C$5:$C$868,$A69,'Policy Assignments'!$B$5:$B$868,E$4,'Policy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R</x:v>
      </x:c>
      <x:c r="F69" s="94" t="str">
        <x:f>IF(COUNTIFS('Policy Assignments'!$C$5:$C$868,$A69,'Policy Assignments'!$B$5:$B$868,F$4,'Policy Assignments'!$E$5:$E$868,"Hold")&gt;0,"H",IF(COUNTIFS('Policy Assignments'!$C$5:$C$868,$A69,'Policy Assignments'!$B$5:$B$868,F$4,'Policy Assignments'!$E$5:$E$868,"Core")&gt;0,"R",IF(COUNTIFS('Policy Assignments'!$C$5:$C$868,$A69,'Policy Assignments'!$B$5:$B$868,F$4,'Policy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R</x:v>
      </x:c>
      <x:c r="G69" s="94" t="str">
        <x:f>IF(COUNTIFS('Policy Assignments'!$C$5:$C$868,$A69,'Policy Assignments'!$B$5:$B$868,G$4,'Policy Assignments'!$E$5:$E$868,"Hold")&gt;0,"H",IF(COUNTIFS('Policy Assignments'!$C$5:$C$868,$A69,'Policy Assignments'!$B$5:$B$868,G$4,'Policy Assignments'!$E$5:$E$868,"Core")&gt;0,"R",IF(COUNTIFS('Policy Assignments'!$C$5:$C$868,$A69,'Policy Assignments'!$B$5:$B$868,G$4,'Policy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C</x:v>
      </x:c>
      <x:c r="H69" s="94" t="str">
        <x:f>IF(COUNTIFS('Policy Assignments'!$C$5:$C$868,$A69,'Policy Assignments'!$B$5:$B$868,H$4,'Policy Assignments'!$E$5:$E$868,"Hold")&gt;0,"H",IF(COUNTIFS('Policy Assignments'!$C$5:$C$868,$A69,'Policy Assignments'!$B$5:$B$868,H$4,'Policy Assignments'!$E$5:$E$868,"Core")&gt;0,"R",IF(COUNTIFS('Policy Assignments'!$C$5:$C$868,$A69,'Policy Assignments'!$B$5:$B$868,H$4,'Policy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C</x:v>
      </x:c>
      <x:c r="I69" s="94" t="str">
        <x:f>IF(COUNTIFS('Policy Assignments'!$C$5:$C$868,$A69,'Policy Assignments'!$B$5:$B$868,I$4,'Policy Assignments'!$E$5:$E$868,"Hold")&gt;0,"H",IF(COUNTIFS('Policy Assignments'!$C$5:$C$868,$A69,'Policy Assignments'!$B$5:$B$868,I$4,'Policy Assignments'!$E$5:$E$868,"Core")&gt;0,"R",IF(COUNTIFS('Policy Assignments'!$C$5:$C$868,$A69,'Policy Assignments'!$B$5:$B$868,I$4,'Policy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C</x:v>
      </x:c>
      <x:c r="J69" s="94" t="str">
        <x:f>IF(COUNTIFS('Policy Assignments'!$C$5:$C$868,$A69,'Policy Assignments'!$B$5:$B$868,J$4,'Policy Assignments'!$E$5:$E$868,"Hold")&gt;0,"H",IF(COUNTIFS('Policy Assignments'!$C$5:$C$868,$A69,'Policy Assignments'!$B$5:$B$868,J$4,'Policy Assignments'!$E$5:$E$868,"Core")&gt;0,"R",IF(COUNTIFS('Policy Assignments'!$C$5:$C$868,$A69,'Policy Assignments'!$B$5:$B$868,J$4,'Policy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C</x:v>
      </x:c>
      <x:c r="K69" s="94" t="str">
        <x:f>IF(COUNTIFS('Policy Assignments'!$C$5:$C$868,$A69,'Policy Assignments'!$B$5:$B$868,K$4,'Policy Assignments'!$E$5:$E$868,"Hold")&gt;0,"H",IF(COUNTIFS('Policy Assignments'!$C$5:$C$868,$A69,'Policy Assignments'!$B$5:$B$868,K$4,'Policy Assignments'!$E$5:$E$868,"Core")&gt;0,"R",IF(COUNTIFS('Policy Assignments'!$C$5:$C$868,$A69,'Policy Assignments'!$B$5:$B$868,K$4,'Policy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C</x:v>
      </x:c>
      <x:c r="L69" s="94" t="str">
        <x:f>IF(COUNTIFS('Policy Assignments'!$C$5:$C$868,$A69,'Policy Assignments'!$B$5:$B$868,L$4,'Policy Assignments'!$E$5:$E$868,"Hold")&gt;0,"H",IF(COUNTIFS('Policy Assignments'!$C$5:$C$868,$A69,'Policy Assignments'!$B$5:$B$868,L$4,'Policy Assignments'!$E$5:$E$868,"Core")&gt;0,"R",IF(COUNTIFS('Policy Assignments'!$C$5:$C$868,$A69,'Policy Assignments'!$B$5:$B$868,L$4,'Policy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R</x:v>
      </x:c>
      <x:c r="M69" s="94" t="str">
        <x:f>IF(COUNTIFS('Policy Assignments'!$C$5:$C$868,$A69,'Policy Assignments'!$B$5:$B$868,M$4,'Policy Assignments'!$E$5:$E$868,"Hold")&gt;0,"H",IF(COUNTIFS('Policy Assignments'!$C$5:$C$868,$A69,'Policy Assignments'!$B$5:$B$868,M$4,'Policy Assignments'!$E$5:$E$868,"Core")&gt;0,"R",IF(COUNTIFS('Policy Assignments'!$C$5:$C$868,$A69,'Policy Assignments'!$B$5:$B$868,M$4,'Policy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c>
      <x:c r="N69" s="94" t="str">
        <x:f>IF(COUNTIFS('Policy Assignments'!$C$5:$C$868,$A69,'Policy Assignments'!$B$5:$B$868,N$4,'Policy Assignments'!$E$5:$E$868,"Hold")&gt;0,"H",IF(COUNTIFS('Policy Assignments'!$C$5:$C$868,$A69,'Policy Assignments'!$B$5:$B$868,N$4,'Policy Assignments'!$E$5:$E$868,"Core")&gt;0,"R",IF(COUNTIFS('Policy Assignments'!$C$5:$C$868,$A69,'Policy Assignments'!$B$5:$B$868,N$4,'Policy Assignments'!$E$5:$E$868,"Conditional")&gt;0,"C",IF(COUNTIFS('Policy Assignments'!$C$5:$C$868,$A69,'Policy Assignments'!$B$5:$B$868,"General",'Policy Assignments'!$E$5:$E$868,"Hold")&gt;0,"H",IF(COUNTIFS('Policy Assignments'!$C$5:$C$868,$A69,'Policy Assignments'!$B$5:$B$868,"General",'Policy Assignments'!$E$5:$E$868,"Conditional")&gt;0,"C",IF(COUNTIFS('Policy Assignments'!$C$5:$C$868,$A69,'Policy Assignments'!$B$5:$B$868,"General")&gt;0,"G",""))))))</x:f>
        <x:v>R</x:v>
      </x:c>
      <x:c r="O69" s="94" t="str">
        <x:f>IF(COUNTIFS('Policy Assignments'!$C$5:$C$868,$A69,'Policy Assignments'!$B$5:$B$868,O$4,'Policy Assignments'!$E$5:$E$868,"Hold")&gt;0,"H",IF(COUNTIFS('Policy Assignments'!$C$5:$C$868,$A69,'Policy Assignments'!$B$5:$B$868,O$4,'Policy Assignments'!$E$5:$E$868,"Core")&gt;0,"R",IF(COUNTIFS('Policy Assignments'!$C$5:$C$868,$A69,'Policy Assignments'!$B$5:$B$868,O$4,'Policy Assignments'!$E$5:$E$868,"Conditional")&gt;0,"C","")))</x:f>
      </x:c>
      <x:c r="P69" s="90" t="str">
        <x:v>Mapped</x:v>
      </x:c>
    </x:row>
    <x:row r="70" ht="22" customHeight="1">
      <x:c r="A70" s="90" t="str">
        <x:v>CL-SD-018</x:v>
      </x:c>
      <x:c r="B70" s="90" t="str">
        <x:v>Diabetic Management &amp; Monitoring</x:v>
      </x:c>
      <x:c r="C70" s="94" t="str">
        <x:f>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c>
      <x:c r="D70" s="94" t="str">
        <x:f>IF(COUNTIFS('Policy Assignments'!$C$5:$C$868,$A70,'Policy Assignments'!$B$5:$B$868,D$4,'Policy Assignments'!$E$5:$E$868,"Hold")&gt;0,"H",IF(COUNTIFS('Policy Assignments'!$C$5:$C$868,$A70,'Policy Assignments'!$B$5:$B$868,D$4,'Policy Assignments'!$E$5:$E$868,"Core")&gt;0,"R",IF(COUNTIFS('Policy Assignments'!$C$5:$C$868,$A70,'Policy Assignments'!$B$5:$B$868,D$4,'Policy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E70" s="94" t="str">
        <x:f>IF(COUNTIFS('Policy Assignments'!$C$5:$C$868,$A70,'Policy Assignments'!$B$5:$B$868,E$4,'Policy Assignments'!$E$5:$E$868,"Hold")&gt;0,"H",IF(COUNTIFS('Policy Assignments'!$C$5:$C$868,$A70,'Policy Assignments'!$B$5:$B$868,E$4,'Policy Assignments'!$E$5:$E$868,"Core")&gt;0,"R",IF(COUNTIFS('Policy Assignments'!$C$5:$C$868,$A70,'Policy Assignments'!$B$5:$B$868,E$4,'Policy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F70" s="94" t="str">
        <x:f>IF(COUNTIFS('Policy Assignments'!$C$5:$C$868,$A70,'Policy Assignments'!$B$5:$B$868,F$4,'Policy Assignments'!$E$5:$E$868,"Hold")&gt;0,"H",IF(COUNTIFS('Policy Assignments'!$C$5:$C$868,$A70,'Policy Assignments'!$B$5:$B$868,F$4,'Policy Assignments'!$E$5:$E$868,"Core")&gt;0,"R",IF(COUNTIFS('Policy Assignments'!$C$5:$C$868,$A70,'Policy Assignments'!$B$5:$B$868,F$4,'Policy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c>
      <x:c r="G70" s="94" t="str">
        <x:f>IF(COUNTIFS('Policy Assignments'!$C$5:$C$868,$A70,'Policy Assignments'!$B$5:$B$868,G$4,'Policy Assignments'!$E$5:$E$868,"Hold")&gt;0,"H",IF(COUNTIFS('Policy Assignments'!$C$5:$C$868,$A70,'Policy Assignments'!$B$5:$B$868,G$4,'Policy Assignments'!$E$5:$E$868,"Core")&gt;0,"R",IF(COUNTIFS('Policy Assignments'!$C$5:$C$868,$A70,'Policy Assignments'!$B$5:$B$868,G$4,'Policy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H70" s="94" t="str">
        <x:f>IF(COUNTIFS('Policy Assignments'!$C$5:$C$868,$A70,'Policy Assignments'!$B$5:$B$868,H$4,'Policy Assignments'!$E$5:$E$868,"Hold")&gt;0,"H",IF(COUNTIFS('Policy Assignments'!$C$5:$C$868,$A70,'Policy Assignments'!$B$5:$B$868,H$4,'Policy Assignments'!$E$5:$E$868,"Core")&gt;0,"R",IF(COUNTIFS('Policy Assignments'!$C$5:$C$868,$A70,'Policy Assignments'!$B$5:$B$868,H$4,'Policy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I70" s="94" t="str">
        <x:f>IF(COUNTIFS('Policy Assignments'!$C$5:$C$868,$A70,'Policy Assignments'!$B$5:$B$868,I$4,'Policy Assignments'!$E$5:$E$868,"Hold")&gt;0,"H",IF(COUNTIFS('Policy Assignments'!$C$5:$C$868,$A70,'Policy Assignments'!$B$5:$B$868,I$4,'Policy Assignments'!$E$5:$E$868,"Core")&gt;0,"R",IF(COUNTIFS('Policy Assignments'!$C$5:$C$868,$A70,'Policy Assignments'!$B$5:$B$868,I$4,'Policy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J70" s="94" t="str">
        <x:f>IF(COUNTIFS('Policy Assignments'!$C$5:$C$868,$A70,'Policy Assignments'!$B$5:$B$868,J$4,'Policy Assignments'!$E$5:$E$868,"Hold")&gt;0,"H",IF(COUNTIFS('Policy Assignments'!$C$5:$C$868,$A70,'Policy Assignments'!$B$5:$B$868,J$4,'Policy Assignments'!$E$5:$E$868,"Core")&gt;0,"R",IF(COUNTIFS('Policy Assignments'!$C$5:$C$868,$A70,'Policy Assignments'!$B$5:$B$868,J$4,'Policy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K70" s="94" t="str">
        <x:f>IF(COUNTIFS('Policy Assignments'!$C$5:$C$868,$A70,'Policy Assignments'!$B$5:$B$868,K$4,'Policy Assignments'!$E$5:$E$868,"Hold")&gt;0,"H",IF(COUNTIFS('Policy Assignments'!$C$5:$C$868,$A70,'Policy Assignments'!$B$5:$B$868,K$4,'Policy Assignments'!$E$5:$E$868,"Core")&gt;0,"R",IF(COUNTIFS('Policy Assignments'!$C$5:$C$868,$A70,'Policy Assignments'!$B$5:$B$868,K$4,'Policy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L70" s="94" t="str">
        <x:f>IF(COUNTIFS('Policy Assignments'!$C$5:$C$868,$A70,'Policy Assignments'!$B$5:$B$868,L$4,'Policy Assignments'!$E$5:$E$868,"Hold")&gt;0,"H",IF(COUNTIFS('Policy Assignments'!$C$5:$C$868,$A70,'Policy Assignments'!$B$5:$B$868,L$4,'Policy Assignments'!$E$5:$E$868,"Core")&gt;0,"R",IF(COUNTIFS('Policy Assignments'!$C$5:$C$868,$A70,'Policy Assignments'!$B$5:$B$868,L$4,'Policy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c>
      <x:c r="M70" s="94" t="str">
        <x:f>IF(COUNTIFS('Policy Assignments'!$C$5:$C$868,$A70,'Policy Assignments'!$B$5:$B$868,M$4,'Policy Assignments'!$E$5:$E$868,"Hold")&gt;0,"H",IF(COUNTIFS('Policy Assignments'!$C$5:$C$868,$A70,'Policy Assignments'!$B$5:$B$868,M$4,'Policy Assignments'!$E$5:$E$868,"Core")&gt;0,"R",IF(COUNTIFS('Policy Assignments'!$C$5:$C$868,$A70,'Policy Assignments'!$B$5:$B$868,M$4,'Policy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c>
      <x:c r="N70" s="94" t="str">
        <x:f>IF(COUNTIFS('Policy Assignments'!$C$5:$C$868,$A70,'Policy Assignments'!$B$5:$B$868,N$4,'Policy Assignments'!$E$5:$E$868,"Hold")&gt;0,"H",IF(COUNTIFS('Policy Assignments'!$C$5:$C$868,$A70,'Policy Assignments'!$B$5:$B$868,N$4,'Policy Assignments'!$E$5:$E$868,"Core")&gt;0,"R",IF(COUNTIFS('Policy Assignments'!$C$5:$C$868,$A70,'Policy Assignments'!$B$5:$B$868,N$4,'Policy Assignments'!$E$5:$E$868,"Conditional")&gt;0,"C",IF(COUNTIFS('Policy Assignments'!$C$5:$C$868,$A70,'Policy Assignments'!$B$5:$B$868,"General",'Policy Assignments'!$E$5:$E$868,"Hold")&gt;0,"H",IF(COUNTIFS('Policy Assignments'!$C$5:$C$868,$A70,'Policy Assignments'!$B$5:$B$868,"General",'Policy Assignments'!$E$5:$E$868,"Conditional")&gt;0,"C",IF(COUNTIFS('Policy Assignments'!$C$5:$C$868,$A70,'Policy Assignments'!$B$5:$B$868,"General")&gt;0,"G",""))))))</x:f>
        <x:v>C</x:v>
      </x:c>
      <x:c r="O70" s="94" t="str">
        <x:f>IF(COUNTIFS('Policy Assignments'!$C$5:$C$868,$A70,'Policy Assignments'!$B$5:$B$868,O$4,'Policy Assignments'!$E$5:$E$868,"Hold")&gt;0,"H",IF(COUNTIFS('Policy Assignments'!$C$5:$C$868,$A70,'Policy Assignments'!$B$5:$B$868,O$4,'Policy Assignments'!$E$5:$E$868,"Core")&gt;0,"R",IF(COUNTIFS('Policy Assignments'!$C$5:$C$868,$A70,'Policy Assignments'!$B$5:$B$868,O$4,'Policy Assignments'!$E$5:$E$868,"Conditional")&gt;0,"C","")))</x:f>
      </x:c>
      <x:c r="P70" s="90" t="str">
        <x:v>Mapped</x:v>
      </x:c>
    </x:row>
    <x:row r="71" ht="22" customHeight="1">
      <x:c r="A71" s="90" t="str">
        <x:v>CL-SD-019</x:v>
      </x:c>
      <x:c r="B71" s="90" t="str">
        <x:v>Cardiac Care &amp; Monitoring</x:v>
      </x:c>
      <x:c r="C71" s="94" t="str">
        <x:f>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c>
      <x:c r="D71" s="94" t="str">
        <x:f>IF(COUNTIFS('Policy Assignments'!$C$5:$C$868,$A71,'Policy Assignments'!$B$5:$B$868,D$4,'Policy Assignments'!$E$5:$E$868,"Hold")&gt;0,"H",IF(COUNTIFS('Policy Assignments'!$C$5:$C$868,$A71,'Policy Assignments'!$B$5:$B$868,D$4,'Policy Assignments'!$E$5:$E$868,"Core")&gt;0,"R",IF(COUNTIFS('Policy Assignments'!$C$5:$C$868,$A71,'Policy Assignments'!$B$5:$B$868,D$4,'Policy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E71" s="94" t="str">
        <x:f>IF(COUNTIFS('Policy Assignments'!$C$5:$C$868,$A71,'Policy Assignments'!$B$5:$B$868,E$4,'Policy Assignments'!$E$5:$E$868,"Hold")&gt;0,"H",IF(COUNTIFS('Policy Assignments'!$C$5:$C$868,$A71,'Policy Assignments'!$B$5:$B$868,E$4,'Policy Assignments'!$E$5:$E$868,"Core")&gt;0,"R",IF(COUNTIFS('Policy Assignments'!$C$5:$C$868,$A71,'Policy Assignments'!$B$5:$B$868,E$4,'Policy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F71" s="94" t="str">
        <x:f>IF(COUNTIFS('Policy Assignments'!$C$5:$C$868,$A71,'Policy Assignments'!$B$5:$B$868,F$4,'Policy Assignments'!$E$5:$E$868,"Hold")&gt;0,"H",IF(COUNTIFS('Policy Assignments'!$C$5:$C$868,$A71,'Policy Assignments'!$B$5:$B$868,F$4,'Policy Assignments'!$E$5:$E$868,"Core")&gt;0,"R",IF(COUNTIFS('Policy Assignments'!$C$5:$C$868,$A71,'Policy Assignments'!$B$5:$B$868,F$4,'Policy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c>
      <x:c r="G71" s="94" t="str">
        <x:f>IF(COUNTIFS('Policy Assignments'!$C$5:$C$868,$A71,'Policy Assignments'!$B$5:$B$868,G$4,'Policy Assignments'!$E$5:$E$868,"Hold")&gt;0,"H",IF(COUNTIFS('Policy Assignments'!$C$5:$C$868,$A71,'Policy Assignments'!$B$5:$B$868,G$4,'Policy Assignments'!$E$5:$E$868,"Core")&gt;0,"R",IF(COUNTIFS('Policy Assignments'!$C$5:$C$868,$A71,'Policy Assignments'!$B$5:$B$868,G$4,'Policy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H71" s="94" t="str">
        <x:f>IF(COUNTIFS('Policy Assignments'!$C$5:$C$868,$A71,'Policy Assignments'!$B$5:$B$868,H$4,'Policy Assignments'!$E$5:$E$868,"Hold")&gt;0,"H",IF(COUNTIFS('Policy Assignments'!$C$5:$C$868,$A71,'Policy Assignments'!$B$5:$B$868,H$4,'Policy Assignments'!$E$5:$E$868,"Core")&gt;0,"R",IF(COUNTIFS('Policy Assignments'!$C$5:$C$868,$A71,'Policy Assignments'!$B$5:$B$868,H$4,'Policy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I71" s="94" t="str">
        <x:f>IF(COUNTIFS('Policy Assignments'!$C$5:$C$868,$A71,'Policy Assignments'!$B$5:$B$868,I$4,'Policy Assignments'!$E$5:$E$868,"Hold")&gt;0,"H",IF(COUNTIFS('Policy Assignments'!$C$5:$C$868,$A71,'Policy Assignments'!$B$5:$B$868,I$4,'Policy Assignments'!$E$5:$E$868,"Core")&gt;0,"R",IF(COUNTIFS('Policy Assignments'!$C$5:$C$868,$A71,'Policy Assignments'!$B$5:$B$868,I$4,'Policy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J71" s="94" t="str">
        <x:f>IF(COUNTIFS('Policy Assignments'!$C$5:$C$868,$A71,'Policy Assignments'!$B$5:$B$868,J$4,'Policy Assignments'!$E$5:$E$868,"Hold")&gt;0,"H",IF(COUNTIFS('Policy Assignments'!$C$5:$C$868,$A71,'Policy Assignments'!$B$5:$B$868,J$4,'Policy Assignments'!$E$5:$E$868,"Core")&gt;0,"R",IF(COUNTIFS('Policy Assignments'!$C$5:$C$868,$A71,'Policy Assignments'!$B$5:$B$868,J$4,'Policy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K71" s="94" t="str">
        <x:f>IF(COUNTIFS('Policy Assignments'!$C$5:$C$868,$A71,'Policy Assignments'!$B$5:$B$868,K$4,'Policy Assignments'!$E$5:$E$868,"Hold")&gt;0,"H",IF(COUNTIFS('Policy Assignments'!$C$5:$C$868,$A71,'Policy Assignments'!$B$5:$B$868,K$4,'Policy Assignments'!$E$5:$E$868,"Core")&gt;0,"R",IF(COUNTIFS('Policy Assignments'!$C$5:$C$868,$A71,'Policy Assignments'!$B$5:$B$868,K$4,'Policy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L71" s="94" t="str">
        <x:f>IF(COUNTIFS('Policy Assignments'!$C$5:$C$868,$A71,'Policy Assignments'!$B$5:$B$868,L$4,'Policy Assignments'!$E$5:$E$868,"Hold")&gt;0,"H",IF(COUNTIFS('Policy Assignments'!$C$5:$C$868,$A71,'Policy Assignments'!$B$5:$B$868,L$4,'Policy Assignments'!$E$5:$E$868,"Core")&gt;0,"R",IF(COUNTIFS('Policy Assignments'!$C$5:$C$868,$A71,'Policy Assignments'!$B$5:$B$868,L$4,'Policy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c>
      <x:c r="M71" s="94" t="str">
        <x:f>IF(COUNTIFS('Policy Assignments'!$C$5:$C$868,$A71,'Policy Assignments'!$B$5:$B$868,M$4,'Policy Assignments'!$E$5:$E$868,"Hold")&gt;0,"H",IF(COUNTIFS('Policy Assignments'!$C$5:$C$868,$A71,'Policy Assignments'!$B$5:$B$868,M$4,'Policy Assignments'!$E$5:$E$868,"Core")&gt;0,"R",IF(COUNTIFS('Policy Assignments'!$C$5:$C$868,$A71,'Policy Assignments'!$B$5:$B$868,M$4,'Policy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c>
      <x:c r="N71" s="94" t="str">
        <x:f>IF(COUNTIFS('Policy Assignments'!$C$5:$C$868,$A71,'Policy Assignments'!$B$5:$B$868,N$4,'Policy Assignments'!$E$5:$E$868,"Hold")&gt;0,"H",IF(COUNTIFS('Policy Assignments'!$C$5:$C$868,$A71,'Policy Assignments'!$B$5:$B$868,N$4,'Policy Assignments'!$E$5:$E$868,"Core")&gt;0,"R",IF(COUNTIFS('Policy Assignments'!$C$5:$C$868,$A71,'Policy Assignments'!$B$5:$B$868,N$4,'Policy Assignments'!$E$5:$E$868,"Conditional")&gt;0,"C",IF(COUNTIFS('Policy Assignments'!$C$5:$C$868,$A71,'Policy Assignments'!$B$5:$B$868,"General",'Policy Assignments'!$E$5:$E$868,"Hold")&gt;0,"H",IF(COUNTIFS('Policy Assignments'!$C$5:$C$868,$A71,'Policy Assignments'!$B$5:$B$868,"General",'Policy Assignments'!$E$5:$E$868,"Conditional")&gt;0,"C",IF(COUNTIFS('Policy Assignments'!$C$5:$C$868,$A71,'Policy Assignments'!$B$5:$B$868,"General")&gt;0,"G",""))))))</x:f>
        <x:v>C</x:v>
      </x:c>
      <x:c r="O71" s="94" t="str">
        <x:f>IF(COUNTIFS('Policy Assignments'!$C$5:$C$868,$A71,'Policy Assignments'!$B$5:$B$868,O$4,'Policy Assignments'!$E$5:$E$868,"Hold")&gt;0,"H",IF(COUNTIFS('Policy Assignments'!$C$5:$C$868,$A71,'Policy Assignments'!$B$5:$B$868,O$4,'Policy Assignments'!$E$5:$E$868,"Core")&gt;0,"R",IF(COUNTIFS('Policy Assignments'!$C$5:$C$868,$A71,'Policy Assignments'!$B$5:$B$868,O$4,'Policy Assignments'!$E$5:$E$868,"Conditional")&gt;0,"C","")))</x:f>
      </x:c>
      <x:c r="P71" s="90" t="str">
        <x:v>Mapped</x:v>
      </x:c>
    </x:row>
    <x:row r="72" ht="22" customHeight="1">
      <x:c r="A72" s="90" t="str">
        <x:v>CL-SD-020</x:v>
      </x:c>
      <x:c r="B72" s="90" t="str">
        <x:v>Respiratory Care &amp; Management</x:v>
      </x:c>
      <x:c r="C72" s="94" t="str">
        <x:f>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c>
      <x:c r="D72" s="94" t="str">
        <x:f>IF(COUNTIFS('Policy Assignments'!$C$5:$C$868,$A72,'Policy Assignments'!$B$5:$B$868,D$4,'Policy Assignments'!$E$5:$E$868,"Hold")&gt;0,"H",IF(COUNTIFS('Policy Assignments'!$C$5:$C$868,$A72,'Policy Assignments'!$B$5:$B$868,D$4,'Policy Assignments'!$E$5:$E$868,"Core")&gt;0,"R",IF(COUNTIFS('Policy Assignments'!$C$5:$C$868,$A72,'Policy Assignments'!$B$5:$B$868,D$4,'Policy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E72" s="94" t="str">
        <x:f>IF(COUNTIFS('Policy Assignments'!$C$5:$C$868,$A72,'Policy Assignments'!$B$5:$B$868,E$4,'Policy Assignments'!$E$5:$E$868,"Hold")&gt;0,"H",IF(COUNTIFS('Policy Assignments'!$C$5:$C$868,$A72,'Policy Assignments'!$B$5:$B$868,E$4,'Policy Assignments'!$E$5:$E$868,"Core")&gt;0,"R",IF(COUNTIFS('Policy Assignments'!$C$5:$C$868,$A72,'Policy Assignments'!$B$5:$B$868,E$4,'Policy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F72" s="94" t="str">
        <x:f>IF(COUNTIFS('Policy Assignments'!$C$5:$C$868,$A72,'Policy Assignments'!$B$5:$B$868,F$4,'Policy Assignments'!$E$5:$E$868,"Hold")&gt;0,"H",IF(COUNTIFS('Policy Assignments'!$C$5:$C$868,$A72,'Policy Assignments'!$B$5:$B$868,F$4,'Policy Assignments'!$E$5:$E$868,"Core")&gt;0,"R",IF(COUNTIFS('Policy Assignments'!$C$5:$C$868,$A72,'Policy Assignments'!$B$5:$B$868,F$4,'Policy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c>
      <x:c r="G72" s="94" t="str">
        <x:f>IF(COUNTIFS('Policy Assignments'!$C$5:$C$868,$A72,'Policy Assignments'!$B$5:$B$868,G$4,'Policy Assignments'!$E$5:$E$868,"Hold")&gt;0,"H",IF(COUNTIFS('Policy Assignments'!$C$5:$C$868,$A72,'Policy Assignments'!$B$5:$B$868,G$4,'Policy Assignments'!$E$5:$E$868,"Core")&gt;0,"R",IF(COUNTIFS('Policy Assignments'!$C$5:$C$868,$A72,'Policy Assignments'!$B$5:$B$868,G$4,'Policy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H72" s="94" t="str">
        <x:f>IF(COUNTIFS('Policy Assignments'!$C$5:$C$868,$A72,'Policy Assignments'!$B$5:$B$868,H$4,'Policy Assignments'!$E$5:$E$868,"Hold")&gt;0,"H",IF(COUNTIFS('Policy Assignments'!$C$5:$C$868,$A72,'Policy Assignments'!$B$5:$B$868,H$4,'Policy Assignments'!$E$5:$E$868,"Core")&gt;0,"R",IF(COUNTIFS('Policy Assignments'!$C$5:$C$868,$A72,'Policy Assignments'!$B$5:$B$868,H$4,'Policy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I72" s="94" t="str">
        <x:f>IF(COUNTIFS('Policy Assignments'!$C$5:$C$868,$A72,'Policy Assignments'!$B$5:$B$868,I$4,'Policy Assignments'!$E$5:$E$868,"Hold")&gt;0,"H",IF(COUNTIFS('Policy Assignments'!$C$5:$C$868,$A72,'Policy Assignments'!$B$5:$B$868,I$4,'Policy Assignments'!$E$5:$E$868,"Core")&gt;0,"R",IF(COUNTIFS('Policy Assignments'!$C$5:$C$868,$A72,'Policy Assignments'!$B$5:$B$868,I$4,'Policy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J72" s="94" t="str">
        <x:f>IF(COUNTIFS('Policy Assignments'!$C$5:$C$868,$A72,'Policy Assignments'!$B$5:$B$868,J$4,'Policy Assignments'!$E$5:$E$868,"Hold")&gt;0,"H",IF(COUNTIFS('Policy Assignments'!$C$5:$C$868,$A72,'Policy Assignments'!$B$5:$B$868,J$4,'Policy Assignments'!$E$5:$E$868,"Core")&gt;0,"R",IF(COUNTIFS('Policy Assignments'!$C$5:$C$868,$A72,'Policy Assignments'!$B$5:$B$868,J$4,'Policy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K72" s="94" t="str">
        <x:f>IF(COUNTIFS('Policy Assignments'!$C$5:$C$868,$A72,'Policy Assignments'!$B$5:$B$868,K$4,'Policy Assignments'!$E$5:$E$868,"Hold")&gt;0,"H",IF(COUNTIFS('Policy Assignments'!$C$5:$C$868,$A72,'Policy Assignments'!$B$5:$B$868,K$4,'Policy Assignments'!$E$5:$E$868,"Core")&gt;0,"R",IF(COUNTIFS('Policy Assignments'!$C$5:$C$868,$A72,'Policy Assignments'!$B$5:$B$868,K$4,'Policy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L72" s="94" t="str">
        <x:f>IF(COUNTIFS('Policy Assignments'!$C$5:$C$868,$A72,'Policy Assignments'!$B$5:$B$868,L$4,'Policy Assignments'!$E$5:$E$868,"Hold")&gt;0,"H",IF(COUNTIFS('Policy Assignments'!$C$5:$C$868,$A72,'Policy Assignments'!$B$5:$B$868,L$4,'Policy Assignments'!$E$5:$E$868,"Core")&gt;0,"R",IF(COUNTIFS('Policy Assignments'!$C$5:$C$868,$A72,'Policy Assignments'!$B$5:$B$868,L$4,'Policy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c>
      <x:c r="M72" s="94" t="str">
        <x:f>IF(COUNTIFS('Policy Assignments'!$C$5:$C$868,$A72,'Policy Assignments'!$B$5:$B$868,M$4,'Policy Assignments'!$E$5:$E$868,"Hold")&gt;0,"H",IF(COUNTIFS('Policy Assignments'!$C$5:$C$868,$A72,'Policy Assignments'!$B$5:$B$868,M$4,'Policy Assignments'!$E$5:$E$868,"Core")&gt;0,"R",IF(COUNTIFS('Policy Assignments'!$C$5:$C$868,$A72,'Policy Assignments'!$B$5:$B$868,M$4,'Policy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c>
      <x:c r="N72" s="94" t="str">
        <x:f>IF(COUNTIFS('Policy Assignments'!$C$5:$C$868,$A72,'Policy Assignments'!$B$5:$B$868,N$4,'Policy Assignments'!$E$5:$E$868,"Hold")&gt;0,"H",IF(COUNTIFS('Policy Assignments'!$C$5:$C$868,$A72,'Policy Assignments'!$B$5:$B$868,N$4,'Policy Assignments'!$E$5:$E$868,"Core")&gt;0,"R",IF(COUNTIFS('Policy Assignments'!$C$5:$C$868,$A72,'Policy Assignments'!$B$5:$B$868,N$4,'Policy Assignments'!$E$5:$E$868,"Conditional")&gt;0,"C",IF(COUNTIFS('Policy Assignments'!$C$5:$C$868,$A72,'Policy Assignments'!$B$5:$B$868,"General",'Policy Assignments'!$E$5:$E$868,"Hold")&gt;0,"H",IF(COUNTIFS('Policy Assignments'!$C$5:$C$868,$A72,'Policy Assignments'!$B$5:$B$868,"General",'Policy Assignments'!$E$5:$E$868,"Conditional")&gt;0,"C",IF(COUNTIFS('Policy Assignments'!$C$5:$C$868,$A72,'Policy Assignments'!$B$5:$B$868,"General")&gt;0,"G",""))))))</x:f>
        <x:v>C</x:v>
      </x:c>
      <x:c r="O72" s="94" t="str">
        <x:f>IF(COUNTIFS('Policy Assignments'!$C$5:$C$868,$A72,'Policy Assignments'!$B$5:$B$868,O$4,'Policy Assignments'!$E$5:$E$868,"Hold")&gt;0,"H",IF(COUNTIFS('Policy Assignments'!$C$5:$C$868,$A72,'Policy Assignments'!$B$5:$B$868,O$4,'Policy Assignments'!$E$5:$E$868,"Core")&gt;0,"R",IF(COUNTIFS('Policy Assignments'!$C$5:$C$868,$A72,'Policy Assignments'!$B$5:$B$868,O$4,'Policy Assignments'!$E$5:$E$868,"Conditional")&gt;0,"C","")))</x:f>
      </x:c>
      <x:c r="P72" s="90" t="str">
        <x:v>Mapped</x:v>
      </x:c>
    </x:row>
    <x:row r="73" ht="22" customHeight="1">
      <x:c r="A73" s="90" t="str">
        <x:v>CL-SD-021</x:v>
      </x:c>
      <x:c r="B73" s="90" t="str">
        <x:v>Pediatric Home Health Services</x:v>
      </x:c>
      <x:c r="C73" s="94" t="str">
        <x:f>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c>
      <x:c r="D73" s="94" t="str">
        <x:f>IF(COUNTIFS('Policy Assignments'!$C$5:$C$868,$A73,'Policy Assignments'!$B$5:$B$868,D$4,'Policy Assignments'!$E$5:$E$868,"Hold")&gt;0,"H",IF(COUNTIFS('Policy Assignments'!$C$5:$C$868,$A73,'Policy Assignments'!$B$5:$B$868,D$4,'Policy Assignments'!$E$5:$E$868,"Core")&gt;0,"R",IF(COUNTIFS('Policy Assignments'!$C$5:$C$868,$A73,'Policy Assignments'!$B$5:$B$868,D$4,'Policy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E73" s="94" t="str">
        <x:f>IF(COUNTIFS('Policy Assignments'!$C$5:$C$868,$A73,'Policy Assignments'!$B$5:$B$868,E$4,'Policy Assignments'!$E$5:$E$868,"Hold")&gt;0,"H",IF(COUNTIFS('Policy Assignments'!$C$5:$C$868,$A73,'Policy Assignments'!$B$5:$B$868,E$4,'Policy Assignments'!$E$5:$E$868,"Core")&gt;0,"R",IF(COUNTIFS('Policy Assignments'!$C$5:$C$868,$A73,'Policy Assignments'!$B$5:$B$868,E$4,'Policy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F73" s="94" t="str">
        <x:f>IF(COUNTIFS('Policy Assignments'!$C$5:$C$868,$A73,'Policy Assignments'!$B$5:$B$868,F$4,'Policy Assignments'!$E$5:$E$868,"Hold")&gt;0,"H",IF(COUNTIFS('Policy Assignments'!$C$5:$C$868,$A73,'Policy Assignments'!$B$5:$B$868,F$4,'Policy Assignments'!$E$5:$E$868,"Core")&gt;0,"R",IF(COUNTIFS('Policy Assignments'!$C$5:$C$868,$A73,'Policy Assignments'!$B$5:$B$868,F$4,'Policy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G73" s="94" t="str">
        <x:f>IF(COUNTIFS('Policy Assignments'!$C$5:$C$868,$A73,'Policy Assignments'!$B$5:$B$868,G$4,'Policy Assignments'!$E$5:$E$868,"Hold")&gt;0,"H",IF(COUNTIFS('Policy Assignments'!$C$5:$C$868,$A73,'Policy Assignments'!$B$5:$B$868,G$4,'Policy Assignments'!$E$5:$E$868,"Core")&gt;0,"R",IF(COUNTIFS('Policy Assignments'!$C$5:$C$868,$A73,'Policy Assignments'!$B$5:$B$868,G$4,'Policy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H73" s="94" t="str">
        <x:f>IF(COUNTIFS('Policy Assignments'!$C$5:$C$868,$A73,'Policy Assignments'!$B$5:$B$868,H$4,'Policy Assignments'!$E$5:$E$868,"Hold")&gt;0,"H",IF(COUNTIFS('Policy Assignments'!$C$5:$C$868,$A73,'Policy Assignments'!$B$5:$B$868,H$4,'Policy Assignments'!$E$5:$E$868,"Core")&gt;0,"R",IF(COUNTIFS('Policy Assignments'!$C$5:$C$868,$A73,'Policy Assignments'!$B$5:$B$868,H$4,'Policy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I73" s="94" t="str">
        <x:f>IF(COUNTIFS('Policy Assignments'!$C$5:$C$868,$A73,'Policy Assignments'!$B$5:$B$868,I$4,'Policy Assignments'!$E$5:$E$868,"Hold")&gt;0,"H",IF(COUNTIFS('Policy Assignments'!$C$5:$C$868,$A73,'Policy Assignments'!$B$5:$B$868,I$4,'Policy Assignments'!$E$5:$E$868,"Core")&gt;0,"R",IF(COUNTIFS('Policy Assignments'!$C$5:$C$868,$A73,'Policy Assignments'!$B$5:$B$868,I$4,'Policy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J73" s="94" t="str">
        <x:f>IF(COUNTIFS('Policy Assignments'!$C$5:$C$868,$A73,'Policy Assignments'!$B$5:$B$868,J$4,'Policy Assignments'!$E$5:$E$868,"Hold")&gt;0,"H",IF(COUNTIFS('Policy Assignments'!$C$5:$C$868,$A73,'Policy Assignments'!$B$5:$B$868,J$4,'Policy Assignments'!$E$5:$E$868,"Core")&gt;0,"R",IF(COUNTIFS('Policy Assignments'!$C$5:$C$868,$A73,'Policy Assignments'!$B$5:$B$868,J$4,'Policy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K73" s="94" t="str">
        <x:f>IF(COUNTIFS('Policy Assignments'!$C$5:$C$868,$A73,'Policy Assignments'!$B$5:$B$868,K$4,'Policy Assignments'!$E$5:$E$868,"Hold")&gt;0,"H",IF(COUNTIFS('Policy Assignments'!$C$5:$C$868,$A73,'Policy Assignments'!$B$5:$B$868,K$4,'Policy Assignments'!$E$5:$E$868,"Core")&gt;0,"R",IF(COUNTIFS('Policy Assignments'!$C$5:$C$868,$A73,'Policy Assignments'!$B$5:$B$868,K$4,'Policy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L73" s="94" t="str">
        <x:f>IF(COUNTIFS('Policy Assignments'!$C$5:$C$868,$A73,'Policy Assignments'!$B$5:$B$868,L$4,'Policy Assignments'!$E$5:$E$868,"Hold")&gt;0,"H",IF(COUNTIFS('Policy Assignments'!$C$5:$C$868,$A73,'Policy Assignments'!$B$5:$B$868,L$4,'Policy Assignments'!$E$5:$E$868,"Core")&gt;0,"R",IF(COUNTIFS('Policy Assignments'!$C$5:$C$868,$A73,'Policy Assignments'!$B$5:$B$868,L$4,'Policy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M73" s="94" t="str">
        <x:f>IF(COUNTIFS('Policy Assignments'!$C$5:$C$868,$A73,'Policy Assignments'!$B$5:$B$868,M$4,'Policy Assignments'!$E$5:$E$868,"Hold")&gt;0,"H",IF(COUNTIFS('Policy Assignments'!$C$5:$C$868,$A73,'Policy Assignments'!$B$5:$B$868,M$4,'Policy Assignments'!$E$5:$E$868,"Core")&gt;0,"R",IF(COUNTIFS('Policy Assignments'!$C$5:$C$868,$A73,'Policy Assignments'!$B$5:$B$868,M$4,'Policy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c>
      <x:c r="N73" s="94" t="str">
        <x:f>IF(COUNTIFS('Policy Assignments'!$C$5:$C$868,$A73,'Policy Assignments'!$B$5:$B$868,N$4,'Policy Assignments'!$E$5:$E$868,"Hold")&gt;0,"H",IF(COUNTIFS('Policy Assignments'!$C$5:$C$868,$A73,'Policy Assignments'!$B$5:$B$868,N$4,'Policy Assignments'!$E$5:$E$868,"Core")&gt;0,"R",IF(COUNTIFS('Policy Assignments'!$C$5:$C$868,$A73,'Policy Assignments'!$B$5:$B$868,N$4,'Policy Assignments'!$E$5:$E$868,"Conditional")&gt;0,"C",IF(COUNTIFS('Policy Assignments'!$C$5:$C$868,$A73,'Policy Assignments'!$B$5:$B$868,"General",'Policy Assignments'!$E$5:$E$868,"Hold")&gt;0,"H",IF(COUNTIFS('Policy Assignments'!$C$5:$C$868,$A73,'Policy Assignments'!$B$5:$B$868,"General",'Policy Assignments'!$E$5:$E$868,"Conditional")&gt;0,"C",IF(COUNTIFS('Policy Assignments'!$C$5:$C$868,$A73,'Policy Assignments'!$B$5:$B$868,"General")&gt;0,"G",""))))))</x:f>
        <x:v>C</x:v>
      </x:c>
      <x:c r="O73" s="94" t="str">
        <x:f>IF(COUNTIFS('Policy Assignments'!$C$5:$C$868,$A73,'Policy Assignments'!$B$5:$B$868,O$4,'Policy Assignments'!$E$5:$E$868,"Hold")&gt;0,"H",IF(COUNTIFS('Policy Assignments'!$C$5:$C$868,$A73,'Policy Assignments'!$B$5:$B$868,O$4,'Policy Assignments'!$E$5:$E$868,"Core")&gt;0,"R",IF(COUNTIFS('Policy Assignments'!$C$5:$C$868,$A73,'Policy Assignments'!$B$5:$B$868,O$4,'Policy Assignments'!$E$5:$E$868,"Conditional")&gt;0,"C","")))</x:f>
      </x:c>
      <x:c r="P73" s="90" t="str">
        <x:v>Mapped</x:v>
      </x:c>
    </x:row>
    <x:row r="74" ht="22" customHeight="1">
      <x:c r="A74" s="90" t="str">
        <x:v>CL-SD-022</x:v>
      </x:c>
      <x:c r="B74" s="90" t="str">
        <x:v>Behavioral Health Screening &amp; Referral</x:v>
      </x:c>
      <x:c r="C74" s="94" t="str">
        <x:f>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c>
      <x:c r="D74" s="94" t="str">
        <x:f>IF(COUNTIFS('Policy Assignments'!$C$5:$C$868,$A74,'Policy Assignments'!$B$5:$B$868,D$4,'Policy Assignments'!$E$5:$E$868,"Hold")&gt;0,"H",IF(COUNTIFS('Policy Assignments'!$C$5:$C$868,$A74,'Policy Assignments'!$B$5:$B$868,D$4,'Policy Assignments'!$E$5:$E$868,"Core")&gt;0,"R",IF(COUNTIFS('Policy Assignments'!$C$5:$C$868,$A74,'Policy Assignments'!$B$5:$B$868,D$4,'Policy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E74" s="94" t="str">
        <x:f>IF(COUNTIFS('Policy Assignments'!$C$5:$C$868,$A74,'Policy Assignments'!$B$5:$B$868,E$4,'Policy Assignments'!$E$5:$E$868,"Hold")&gt;0,"H",IF(COUNTIFS('Policy Assignments'!$C$5:$C$868,$A74,'Policy Assignments'!$B$5:$B$868,E$4,'Policy Assignments'!$E$5:$E$868,"Core")&gt;0,"R",IF(COUNTIFS('Policy Assignments'!$C$5:$C$868,$A74,'Policy Assignments'!$B$5:$B$868,E$4,'Policy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F74" s="94" t="str">
        <x:f>IF(COUNTIFS('Policy Assignments'!$C$5:$C$868,$A74,'Policy Assignments'!$B$5:$B$868,F$4,'Policy Assignments'!$E$5:$E$868,"Hold")&gt;0,"H",IF(COUNTIFS('Policy Assignments'!$C$5:$C$868,$A74,'Policy Assignments'!$B$5:$B$868,F$4,'Policy Assignments'!$E$5:$E$868,"Core")&gt;0,"R",IF(COUNTIFS('Policy Assignments'!$C$5:$C$868,$A74,'Policy Assignments'!$B$5:$B$868,F$4,'Policy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G74" s="94" t="str">
        <x:f>IF(COUNTIFS('Policy Assignments'!$C$5:$C$868,$A74,'Policy Assignments'!$B$5:$B$868,G$4,'Policy Assignments'!$E$5:$E$868,"Hold")&gt;0,"H",IF(COUNTIFS('Policy Assignments'!$C$5:$C$868,$A74,'Policy Assignments'!$B$5:$B$868,G$4,'Policy Assignments'!$E$5:$E$868,"Core")&gt;0,"R",IF(COUNTIFS('Policy Assignments'!$C$5:$C$868,$A74,'Policy Assignments'!$B$5:$B$868,G$4,'Policy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H74" s="94" t="str">
        <x:f>IF(COUNTIFS('Policy Assignments'!$C$5:$C$868,$A74,'Policy Assignments'!$B$5:$B$868,H$4,'Policy Assignments'!$E$5:$E$868,"Hold")&gt;0,"H",IF(COUNTIFS('Policy Assignments'!$C$5:$C$868,$A74,'Policy Assignments'!$B$5:$B$868,H$4,'Policy Assignments'!$E$5:$E$868,"Core")&gt;0,"R",IF(COUNTIFS('Policy Assignments'!$C$5:$C$868,$A74,'Policy Assignments'!$B$5:$B$868,H$4,'Policy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I74" s="94" t="str">
        <x:f>IF(COUNTIFS('Policy Assignments'!$C$5:$C$868,$A74,'Policy Assignments'!$B$5:$B$868,I$4,'Policy Assignments'!$E$5:$E$868,"Hold")&gt;0,"H",IF(COUNTIFS('Policy Assignments'!$C$5:$C$868,$A74,'Policy Assignments'!$B$5:$B$868,I$4,'Policy Assignments'!$E$5:$E$868,"Core")&gt;0,"R",IF(COUNTIFS('Policy Assignments'!$C$5:$C$868,$A74,'Policy Assignments'!$B$5:$B$868,I$4,'Policy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J74" s="94" t="str">
        <x:f>IF(COUNTIFS('Policy Assignments'!$C$5:$C$868,$A74,'Policy Assignments'!$B$5:$B$868,J$4,'Policy Assignments'!$E$5:$E$868,"Hold")&gt;0,"H",IF(COUNTIFS('Policy Assignments'!$C$5:$C$868,$A74,'Policy Assignments'!$B$5:$B$868,J$4,'Policy Assignments'!$E$5:$E$868,"Core")&gt;0,"R",IF(COUNTIFS('Policy Assignments'!$C$5:$C$868,$A74,'Policy Assignments'!$B$5:$B$868,J$4,'Policy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K74" s="94" t="str">
        <x:f>IF(COUNTIFS('Policy Assignments'!$C$5:$C$868,$A74,'Policy Assignments'!$B$5:$B$868,K$4,'Policy Assignments'!$E$5:$E$868,"Hold")&gt;0,"H",IF(COUNTIFS('Policy Assignments'!$C$5:$C$868,$A74,'Policy Assignments'!$B$5:$B$868,K$4,'Policy Assignments'!$E$5:$E$868,"Core")&gt;0,"R",IF(COUNTIFS('Policy Assignments'!$C$5:$C$868,$A74,'Policy Assignments'!$B$5:$B$868,K$4,'Policy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L74" s="94" t="str">
        <x:f>IF(COUNTIFS('Policy Assignments'!$C$5:$C$868,$A74,'Policy Assignments'!$B$5:$B$868,L$4,'Policy Assignments'!$E$5:$E$868,"Hold")&gt;0,"H",IF(COUNTIFS('Policy Assignments'!$C$5:$C$868,$A74,'Policy Assignments'!$B$5:$B$868,L$4,'Policy Assignments'!$E$5:$E$868,"Core")&gt;0,"R",IF(COUNTIFS('Policy Assignments'!$C$5:$C$868,$A74,'Policy Assignments'!$B$5:$B$868,L$4,'Policy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M74" s="94" t="str">
        <x:f>IF(COUNTIFS('Policy Assignments'!$C$5:$C$868,$A74,'Policy Assignments'!$B$5:$B$868,M$4,'Policy Assignments'!$E$5:$E$868,"Hold")&gt;0,"H",IF(COUNTIFS('Policy Assignments'!$C$5:$C$868,$A74,'Policy Assignments'!$B$5:$B$868,M$4,'Policy Assignments'!$E$5:$E$868,"Core")&gt;0,"R",IF(COUNTIFS('Policy Assignments'!$C$5:$C$868,$A74,'Policy Assignments'!$B$5:$B$868,M$4,'Policy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c>
      <x:c r="N74" s="94" t="str">
        <x:f>IF(COUNTIFS('Policy Assignments'!$C$5:$C$868,$A74,'Policy Assignments'!$B$5:$B$868,N$4,'Policy Assignments'!$E$5:$E$868,"Hold")&gt;0,"H",IF(COUNTIFS('Policy Assignments'!$C$5:$C$868,$A74,'Policy Assignments'!$B$5:$B$868,N$4,'Policy Assignments'!$E$5:$E$868,"Core")&gt;0,"R",IF(COUNTIFS('Policy Assignments'!$C$5:$C$868,$A74,'Policy Assignments'!$B$5:$B$868,N$4,'Policy Assignments'!$E$5:$E$868,"Conditional")&gt;0,"C",IF(COUNTIFS('Policy Assignments'!$C$5:$C$868,$A74,'Policy Assignments'!$B$5:$B$868,"General",'Policy Assignments'!$E$5:$E$868,"Hold")&gt;0,"H",IF(COUNTIFS('Policy Assignments'!$C$5:$C$868,$A74,'Policy Assignments'!$B$5:$B$868,"General",'Policy Assignments'!$E$5:$E$868,"Conditional")&gt;0,"C",IF(COUNTIFS('Policy Assignments'!$C$5:$C$868,$A74,'Policy Assignments'!$B$5:$B$868,"General")&gt;0,"G",""))))))</x:f>
        <x:v>C</x:v>
      </x:c>
      <x:c r="O74" s="94" t="str">
        <x:f>IF(COUNTIFS('Policy Assignments'!$C$5:$C$868,$A74,'Policy Assignments'!$B$5:$B$868,O$4,'Policy Assignments'!$E$5:$E$868,"Hold")&gt;0,"H",IF(COUNTIFS('Policy Assignments'!$C$5:$C$868,$A74,'Policy Assignments'!$B$5:$B$868,O$4,'Policy Assignments'!$E$5:$E$868,"Core")&gt;0,"R",IF(COUNTIFS('Policy Assignments'!$C$5:$C$868,$A74,'Policy Assignments'!$B$5:$B$868,O$4,'Policy Assignments'!$E$5:$E$868,"Conditional")&gt;0,"C","")))</x:f>
      </x:c>
      <x:c r="P74" s="90" t="str">
        <x:v>Mapped</x:v>
      </x:c>
    </x:row>
    <x:row r="75" ht="22" customHeight="1">
      <x:c r="A75" s="90" t="str">
        <x:v>CL-SD-023</x:v>
      </x:c>
      <x:c r="B75" s="90" t="str">
        <x:v>Palliative &amp; End-of-Life Care</x:v>
      </x:c>
      <x:c r="C75" s="94" t="str">
        <x:f>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c>
      <x:c r="D75" s="94" t="str">
        <x:f>IF(COUNTIFS('Policy Assignments'!$C$5:$C$868,$A75,'Policy Assignments'!$B$5:$B$868,D$4,'Policy Assignments'!$E$5:$E$868,"Hold")&gt;0,"H",IF(COUNTIFS('Policy Assignments'!$C$5:$C$868,$A75,'Policy Assignments'!$B$5:$B$868,D$4,'Policy Assignments'!$E$5:$E$868,"Core")&gt;0,"R",IF(COUNTIFS('Policy Assignments'!$C$5:$C$868,$A75,'Policy Assignments'!$B$5:$B$868,D$4,'Policy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E75" s="94" t="str">
        <x:f>IF(COUNTIFS('Policy Assignments'!$C$5:$C$868,$A75,'Policy Assignments'!$B$5:$B$868,E$4,'Policy Assignments'!$E$5:$E$868,"Hold")&gt;0,"H",IF(COUNTIFS('Policy Assignments'!$C$5:$C$868,$A75,'Policy Assignments'!$B$5:$B$868,E$4,'Policy Assignments'!$E$5:$E$868,"Core")&gt;0,"R",IF(COUNTIFS('Policy Assignments'!$C$5:$C$868,$A75,'Policy Assignments'!$B$5:$B$868,E$4,'Policy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F75" s="94" t="str">
        <x:f>IF(COUNTIFS('Policy Assignments'!$C$5:$C$868,$A75,'Policy Assignments'!$B$5:$B$868,F$4,'Policy Assignments'!$E$5:$E$868,"Hold")&gt;0,"H",IF(COUNTIFS('Policy Assignments'!$C$5:$C$868,$A75,'Policy Assignments'!$B$5:$B$868,F$4,'Policy Assignments'!$E$5:$E$868,"Core")&gt;0,"R",IF(COUNTIFS('Policy Assignments'!$C$5:$C$868,$A75,'Policy Assignments'!$B$5:$B$868,F$4,'Policy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G75" s="94" t="str">
        <x:f>IF(COUNTIFS('Policy Assignments'!$C$5:$C$868,$A75,'Policy Assignments'!$B$5:$B$868,G$4,'Policy Assignments'!$E$5:$E$868,"Hold")&gt;0,"H",IF(COUNTIFS('Policy Assignments'!$C$5:$C$868,$A75,'Policy Assignments'!$B$5:$B$868,G$4,'Policy Assignments'!$E$5:$E$868,"Core")&gt;0,"R",IF(COUNTIFS('Policy Assignments'!$C$5:$C$868,$A75,'Policy Assignments'!$B$5:$B$868,G$4,'Policy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H75" s="94" t="str">
        <x:f>IF(COUNTIFS('Policy Assignments'!$C$5:$C$868,$A75,'Policy Assignments'!$B$5:$B$868,H$4,'Policy Assignments'!$E$5:$E$868,"Hold")&gt;0,"H",IF(COUNTIFS('Policy Assignments'!$C$5:$C$868,$A75,'Policy Assignments'!$B$5:$B$868,H$4,'Policy Assignments'!$E$5:$E$868,"Core")&gt;0,"R",IF(COUNTIFS('Policy Assignments'!$C$5:$C$868,$A75,'Policy Assignments'!$B$5:$B$868,H$4,'Policy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I75" s="94" t="str">
        <x:f>IF(COUNTIFS('Policy Assignments'!$C$5:$C$868,$A75,'Policy Assignments'!$B$5:$B$868,I$4,'Policy Assignments'!$E$5:$E$868,"Hold")&gt;0,"H",IF(COUNTIFS('Policy Assignments'!$C$5:$C$868,$A75,'Policy Assignments'!$B$5:$B$868,I$4,'Policy Assignments'!$E$5:$E$868,"Core")&gt;0,"R",IF(COUNTIFS('Policy Assignments'!$C$5:$C$868,$A75,'Policy Assignments'!$B$5:$B$868,I$4,'Policy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J75" s="94" t="str">
        <x:f>IF(COUNTIFS('Policy Assignments'!$C$5:$C$868,$A75,'Policy Assignments'!$B$5:$B$868,J$4,'Policy Assignments'!$E$5:$E$868,"Hold")&gt;0,"H",IF(COUNTIFS('Policy Assignments'!$C$5:$C$868,$A75,'Policy Assignments'!$B$5:$B$868,J$4,'Policy Assignments'!$E$5:$E$868,"Core")&gt;0,"R",IF(COUNTIFS('Policy Assignments'!$C$5:$C$868,$A75,'Policy Assignments'!$B$5:$B$868,J$4,'Policy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K75" s="94" t="str">
        <x:f>IF(COUNTIFS('Policy Assignments'!$C$5:$C$868,$A75,'Policy Assignments'!$B$5:$B$868,K$4,'Policy Assignments'!$E$5:$E$868,"Hold")&gt;0,"H",IF(COUNTIFS('Policy Assignments'!$C$5:$C$868,$A75,'Policy Assignments'!$B$5:$B$868,K$4,'Policy Assignments'!$E$5:$E$868,"Core")&gt;0,"R",IF(COUNTIFS('Policy Assignments'!$C$5:$C$868,$A75,'Policy Assignments'!$B$5:$B$868,K$4,'Policy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L75" s="94" t="str">
        <x:f>IF(COUNTIFS('Policy Assignments'!$C$5:$C$868,$A75,'Policy Assignments'!$B$5:$B$868,L$4,'Policy Assignments'!$E$5:$E$868,"Hold")&gt;0,"H",IF(COUNTIFS('Policy Assignments'!$C$5:$C$868,$A75,'Policy Assignments'!$B$5:$B$868,L$4,'Policy Assignments'!$E$5:$E$868,"Core")&gt;0,"R",IF(COUNTIFS('Policy Assignments'!$C$5:$C$868,$A75,'Policy Assignments'!$B$5:$B$868,L$4,'Policy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M75" s="94" t="str">
        <x:f>IF(COUNTIFS('Policy Assignments'!$C$5:$C$868,$A75,'Policy Assignments'!$B$5:$B$868,M$4,'Policy Assignments'!$E$5:$E$868,"Hold")&gt;0,"H",IF(COUNTIFS('Policy Assignments'!$C$5:$C$868,$A75,'Policy Assignments'!$B$5:$B$868,M$4,'Policy Assignments'!$E$5:$E$868,"Core")&gt;0,"R",IF(COUNTIFS('Policy Assignments'!$C$5:$C$868,$A75,'Policy Assignments'!$B$5:$B$868,M$4,'Policy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c>
      <x:c r="N75" s="94" t="str">
        <x:f>IF(COUNTIFS('Policy Assignments'!$C$5:$C$868,$A75,'Policy Assignments'!$B$5:$B$868,N$4,'Policy Assignments'!$E$5:$E$868,"Hold")&gt;0,"H",IF(COUNTIFS('Policy Assignments'!$C$5:$C$868,$A75,'Policy Assignments'!$B$5:$B$868,N$4,'Policy Assignments'!$E$5:$E$868,"Core")&gt;0,"R",IF(COUNTIFS('Policy Assignments'!$C$5:$C$868,$A75,'Policy Assignments'!$B$5:$B$868,N$4,'Policy Assignments'!$E$5:$E$868,"Conditional")&gt;0,"C",IF(COUNTIFS('Policy Assignments'!$C$5:$C$868,$A75,'Policy Assignments'!$B$5:$B$868,"General",'Policy Assignments'!$E$5:$E$868,"Hold")&gt;0,"H",IF(COUNTIFS('Policy Assignments'!$C$5:$C$868,$A75,'Policy Assignments'!$B$5:$B$868,"General",'Policy Assignments'!$E$5:$E$868,"Conditional")&gt;0,"C",IF(COUNTIFS('Policy Assignments'!$C$5:$C$868,$A75,'Policy Assignments'!$B$5:$B$868,"General")&gt;0,"G",""))))))</x:f>
        <x:v>C</x:v>
      </x:c>
      <x:c r="O75" s="94" t="str">
        <x:f>IF(COUNTIFS('Policy Assignments'!$C$5:$C$868,$A75,'Policy Assignments'!$B$5:$B$868,O$4,'Policy Assignments'!$E$5:$E$868,"Hold")&gt;0,"H",IF(COUNTIFS('Policy Assignments'!$C$5:$C$868,$A75,'Policy Assignments'!$B$5:$B$868,O$4,'Policy Assignments'!$E$5:$E$868,"Core")&gt;0,"R",IF(COUNTIFS('Policy Assignments'!$C$5:$C$868,$A75,'Policy Assignments'!$B$5:$B$868,O$4,'Policy Assignments'!$E$5:$E$868,"Conditional")&gt;0,"C","")))</x:f>
      </x:c>
      <x:c r="P75" s="90" t="str">
        <x:v>Mapped</x:v>
      </x:c>
    </x:row>
    <x:row r="76" ht="22" customHeight="1">
      <x:c r="A76" s="90" t="str">
        <x:v>CL-SD-024</x:v>
      </x:c>
      <x:c r="B76" s="90" t="str">
        <x:v>Missed Visit &amp; Rescheduling</x:v>
      </x:c>
      <x:c r="C76" s="94" t="str">
        <x:f>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c>
      <x:c r="D76" s="94" t="str">
        <x:f>IF(COUNTIFS('Policy Assignments'!$C$5:$C$868,$A76,'Policy Assignments'!$B$5:$B$868,D$4,'Policy Assignments'!$E$5:$E$868,"Hold")&gt;0,"H",IF(COUNTIFS('Policy Assignments'!$C$5:$C$868,$A76,'Policy Assignments'!$B$5:$B$868,D$4,'Policy Assignments'!$E$5:$E$868,"Core")&gt;0,"R",IF(COUNTIFS('Policy Assignments'!$C$5:$C$868,$A76,'Policy Assignments'!$B$5:$B$868,D$4,'Policy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R</x:v>
      </x:c>
      <x:c r="E76" s="94" t="str">
        <x:f>IF(COUNTIFS('Policy Assignments'!$C$5:$C$868,$A76,'Policy Assignments'!$B$5:$B$868,E$4,'Policy Assignments'!$E$5:$E$868,"Hold")&gt;0,"H",IF(COUNTIFS('Policy Assignments'!$C$5:$C$868,$A76,'Policy Assignments'!$B$5:$B$868,E$4,'Policy Assignments'!$E$5:$E$868,"Core")&gt;0,"R",IF(COUNTIFS('Policy Assignments'!$C$5:$C$868,$A76,'Policy Assignments'!$B$5:$B$868,E$4,'Policy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R</x:v>
      </x:c>
      <x:c r="F76" s="94" t="str">
        <x:f>IF(COUNTIFS('Policy Assignments'!$C$5:$C$868,$A76,'Policy Assignments'!$B$5:$B$868,F$4,'Policy Assignments'!$E$5:$E$868,"Hold")&gt;0,"H",IF(COUNTIFS('Policy Assignments'!$C$5:$C$868,$A76,'Policy Assignments'!$B$5:$B$868,F$4,'Policy Assignments'!$E$5:$E$868,"Core")&gt;0,"R",IF(COUNTIFS('Policy Assignments'!$C$5:$C$868,$A76,'Policy Assignments'!$B$5:$B$868,F$4,'Policy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R</x:v>
      </x:c>
      <x:c r="G76" s="94" t="str">
        <x:f>IF(COUNTIFS('Policy Assignments'!$C$5:$C$868,$A76,'Policy Assignments'!$B$5:$B$868,G$4,'Policy Assignments'!$E$5:$E$868,"Hold")&gt;0,"H",IF(COUNTIFS('Policy Assignments'!$C$5:$C$868,$A76,'Policy Assignments'!$B$5:$B$868,G$4,'Policy Assignments'!$E$5:$E$868,"Core")&gt;0,"R",IF(COUNTIFS('Policy Assignments'!$C$5:$C$868,$A76,'Policy Assignments'!$B$5:$B$868,G$4,'Policy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C</x:v>
      </x:c>
      <x:c r="H76" s="94" t="str">
        <x:f>IF(COUNTIFS('Policy Assignments'!$C$5:$C$868,$A76,'Policy Assignments'!$B$5:$B$868,H$4,'Policy Assignments'!$E$5:$E$868,"Hold")&gt;0,"H",IF(COUNTIFS('Policy Assignments'!$C$5:$C$868,$A76,'Policy Assignments'!$B$5:$B$868,H$4,'Policy Assignments'!$E$5:$E$868,"Core")&gt;0,"R",IF(COUNTIFS('Policy Assignments'!$C$5:$C$868,$A76,'Policy Assignments'!$B$5:$B$868,H$4,'Policy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C</x:v>
      </x:c>
      <x:c r="I76" s="94" t="str">
        <x:f>IF(COUNTIFS('Policy Assignments'!$C$5:$C$868,$A76,'Policy Assignments'!$B$5:$B$868,I$4,'Policy Assignments'!$E$5:$E$868,"Hold")&gt;0,"H",IF(COUNTIFS('Policy Assignments'!$C$5:$C$868,$A76,'Policy Assignments'!$B$5:$B$868,I$4,'Policy Assignments'!$E$5:$E$868,"Core")&gt;0,"R",IF(COUNTIFS('Policy Assignments'!$C$5:$C$868,$A76,'Policy Assignments'!$B$5:$B$868,I$4,'Policy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C</x:v>
      </x:c>
      <x:c r="J76" s="94" t="str">
        <x:f>IF(COUNTIFS('Policy Assignments'!$C$5:$C$868,$A76,'Policy Assignments'!$B$5:$B$868,J$4,'Policy Assignments'!$E$5:$E$868,"Hold")&gt;0,"H",IF(COUNTIFS('Policy Assignments'!$C$5:$C$868,$A76,'Policy Assignments'!$B$5:$B$868,J$4,'Policy Assignments'!$E$5:$E$868,"Core")&gt;0,"R",IF(COUNTIFS('Policy Assignments'!$C$5:$C$868,$A76,'Policy Assignments'!$B$5:$B$868,J$4,'Policy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C</x:v>
      </x:c>
      <x:c r="K76" s="94" t="str">
        <x:f>IF(COUNTIFS('Policy Assignments'!$C$5:$C$868,$A76,'Policy Assignments'!$B$5:$B$868,K$4,'Policy Assignments'!$E$5:$E$868,"Hold")&gt;0,"H",IF(COUNTIFS('Policy Assignments'!$C$5:$C$868,$A76,'Policy Assignments'!$B$5:$B$868,K$4,'Policy Assignments'!$E$5:$E$868,"Core")&gt;0,"R",IF(COUNTIFS('Policy Assignments'!$C$5:$C$868,$A76,'Policy Assignments'!$B$5:$B$868,K$4,'Policy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C</x:v>
      </x:c>
      <x:c r="L76" s="94" t="str">
        <x:f>IF(COUNTIFS('Policy Assignments'!$C$5:$C$868,$A76,'Policy Assignments'!$B$5:$B$868,L$4,'Policy Assignments'!$E$5:$E$868,"Hold")&gt;0,"H",IF(COUNTIFS('Policy Assignments'!$C$5:$C$868,$A76,'Policy Assignments'!$B$5:$B$868,L$4,'Policy Assignments'!$E$5:$E$868,"Core")&gt;0,"R",IF(COUNTIFS('Policy Assignments'!$C$5:$C$868,$A76,'Policy Assignments'!$B$5:$B$868,L$4,'Policy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R</x:v>
      </x:c>
      <x:c r="M76" s="94" t="str">
        <x:f>IF(COUNTIFS('Policy Assignments'!$C$5:$C$868,$A76,'Policy Assignments'!$B$5:$B$868,M$4,'Policy Assignments'!$E$5:$E$868,"Hold")&gt;0,"H",IF(COUNTIFS('Policy Assignments'!$C$5:$C$868,$A76,'Policy Assignments'!$B$5:$B$868,M$4,'Policy Assignments'!$E$5:$E$868,"Core")&gt;0,"R",IF(COUNTIFS('Policy Assignments'!$C$5:$C$868,$A76,'Policy Assignments'!$B$5:$B$868,M$4,'Policy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c>
      <x:c r="N76" s="94" t="str">
        <x:f>IF(COUNTIFS('Policy Assignments'!$C$5:$C$868,$A76,'Policy Assignments'!$B$5:$B$868,N$4,'Policy Assignments'!$E$5:$E$868,"Hold")&gt;0,"H",IF(COUNTIFS('Policy Assignments'!$C$5:$C$868,$A76,'Policy Assignments'!$B$5:$B$868,N$4,'Policy Assignments'!$E$5:$E$868,"Core")&gt;0,"R",IF(COUNTIFS('Policy Assignments'!$C$5:$C$868,$A76,'Policy Assignments'!$B$5:$B$868,N$4,'Policy Assignments'!$E$5:$E$868,"Conditional")&gt;0,"C",IF(COUNTIFS('Policy Assignments'!$C$5:$C$868,$A76,'Policy Assignments'!$B$5:$B$868,"General",'Policy Assignments'!$E$5:$E$868,"Hold")&gt;0,"H",IF(COUNTIFS('Policy Assignments'!$C$5:$C$868,$A76,'Policy Assignments'!$B$5:$B$868,"General",'Policy Assignments'!$E$5:$E$868,"Conditional")&gt;0,"C",IF(COUNTIFS('Policy Assignments'!$C$5:$C$868,$A76,'Policy Assignments'!$B$5:$B$868,"General")&gt;0,"G",""))))))</x:f>
        <x:v>R</x:v>
      </x:c>
      <x:c r="O76" s="94" t="str">
        <x:f>IF(COUNTIFS('Policy Assignments'!$C$5:$C$868,$A76,'Policy Assignments'!$B$5:$B$868,O$4,'Policy Assignments'!$E$5:$E$868,"Hold")&gt;0,"H",IF(COUNTIFS('Policy Assignments'!$C$5:$C$868,$A76,'Policy Assignments'!$B$5:$B$868,O$4,'Policy Assignments'!$E$5:$E$868,"Core")&gt;0,"R",IF(COUNTIFS('Policy Assignments'!$C$5:$C$868,$A76,'Policy Assignments'!$B$5:$B$868,O$4,'Policy Assignments'!$E$5:$E$868,"Conditional")&gt;0,"C","")))</x:f>
      </x:c>
      <x:c r="P76" s="90" t="str">
        <x:v>Mapped</x:v>
      </x:c>
    </x:row>
    <x:row r="77" ht="22" customHeight="1">
      <x:c r="A77" s="90" t="str">
        <x:v>CL-SD-025</x:v>
      </x:c>
      <x:c r="B77" s="90" t="str">
        <x:v>Ordered Visit Frequency Compliance &amp; Monitoring</x:v>
      </x:c>
      <x:c r="C77" s="94" t="str">
        <x:f>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c>
      <x:c r="D77" s="94" t="str">
        <x:f>IF(COUNTIFS('Policy Assignments'!$C$5:$C$868,$A77,'Policy Assignments'!$B$5:$B$868,D$4,'Policy Assignments'!$E$5:$E$868,"Hold")&gt;0,"H",IF(COUNTIFS('Policy Assignments'!$C$5:$C$868,$A77,'Policy Assignments'!$B$5:$B$868,D$4,'Policy Assignments'!$E$5:$E$868,"Core")&gt;0,"R",IF(COUNTIFS('Policy Assignments'!$C$5:$C$868,$A77,'Policy Assignments'!$B$5:$B$868,D$4,'Policy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R</x:v>
      </x:c>
      <x:c r="E77" s="94" t="str">
        <x:f>IF(COUNTIFS('Policy Assignments'!$C$5:$C$868,$A77,'Policy Assignments'!$B$5:$B$868,E$4,'Policy Assignments'!$E$5:$E$868,"Hold")&gt;0,"H",IF(COUNTIFS('Policy Assignments'!$C$5:$C$868,$A77,'Policy Assignments'!$B$5:$B$868,E$4,'Policy Assignments'!$E$5:$E$868,"Core")&gt;0,"R",IF(COUNTIFS('Policy Assignments'!$C$5:$C$868,$A77,'Policy Assignments'!$B$5:$B$868,E$4,'Policy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R</x:v>
      </x:c>
      <x:c r="F77" s="94" t="str">
        <x:f>IF(COUNTIFS('Policy Assignments'!$C$5:$C$868,$A77,'Policy Assignments'!$B$5:$B$868,F$4,'Policy Assignments'!$E$5:$E$868,"Hold")&gt;0,"H",IF(COUNTIFS('Policy Assignments'!$C$5:$C$868,$A77,'Policy Assignments'!$B$5:$B$868,F$4,'Policy Assignments'!$E$5:$E$868,"Core")&gt;0,"R",IF(COUNTIFS('Policy Assignments'!$C$5:$C$868,$A77,'Policy Assignments'!$B$5:$B$868,F$4,'Policy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R</x:v>
      </x:c>
      <x:c r="G77" s="94" t="str">
        <x:f>IF(COUNTIFS('Policy Assignments'!$C$5:$C$868,$A77,'Policy Assignments'!$B$5:$B$868,G$4,'Policy Assignments'!$E$5:$E$868,"Hold")&gt;0,"H",IF(COUNTIFS('Policy Assignments'!$C$5:$C$868,$A77,'Policy Assignments'!$B$5:$B$868,G$4,'Policy Assignments'!$E$5:$E$868,"Core")&gt;0,"R",IF(COUNTIFS('Policy Assignments'!$C$5:$C$868,$A77,'Policy Assignments'!$B$5:$B$868,G$4,'Policy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C</x:v>
      </x:c>
      <x:c r="H77" s="94" t="str">
        <x:f>IF(COUNTIFS('Policy Assignments'!$C$5:$C$868,$A77,'Policy Assignments'!$B$5:$B$868,H$4,'Policy Assignments'!$E$5:$E$868,"Hold")&gt;0,"H",IF(COUNTIFS('Policy Assignments'!$C$5:$C$868,$A77,'Policy Assignments'!$B$5:$B$868,H$4,'Policy Assignments'!$E$5:$E$868,"Core")&gt;0,"R",IF(COUNTIFS('Policy Assignments'!$C$5:$C$868,$A77,'Policy Assignments'!$B$5:$B$868,H$4,'Policy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C</x:v>
      </x:c>
      <x:c r="I77" s="94" t="str">
        <x:f>IF(COUNTIFS('Policy Assignments'!$C$5:$C$868,$A77,'Policy Assignments'!$B$5:$B$868,I$4,'Policy Assignments'!$E$5:$E$868,"Hold")&gt;0,"H",IF(COUNTIFS('Policy Assignments'!$C$5:$C$868,$A77,'Policy Assignments'!$B$5:$B$868,I$4,'Policy Assignments'!$E$5:$E$868,"Core")&gt;0,"R",IF(COUNTIFS('Policy Assignments'!$C$5:$C$868,$A77,'Policy Assignments'!$B$5:$B$868,I$4,'Policy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C</x:v>
      </x:c>
      <x:c r="J77" s="94" t="str">
        <x:f>IF(COUNTIFS('Policy Assignments'!$C$5:$C$868,$A77,'Policy Assignments'!$B$5:$B$868,J$4,'Policy Assignments'!$E$5:$E$868,"Hold")&gt;0,"H",IF(COUNTIFS('Policy Assignments'!$C$5:$C$868,$A77,'Policy Assignments'!$B$5:$B$868,J$4,'Policy Assignments'!$E$5:$E$868,"Core")&gt;0,"R",IF(COUNTIFS('Policy Assignments'!$C$5:$C$868,$A77,'Policy Assignments'!$B$5:$B$868,J$4,'Policy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C</x:v>
      </x:c>
      <x:c r="K77" s="94" t="str">
        <x:f>IF(COUNTIFS('Policy Assignments'!$C$5:$C$868,$A77,'Policy Assignments'!$B$5:$B$868,K$4,'Policy Assignments'!$E$5:$E$868,"Hold")&gt;0,"H",IF(COUNTIFS('Policy Assignments'!$C$5:$C$868,$A77,'Policy Assignments'!$B$5:$B$868,K$4,'Policy Assignments'!$E$5:$E$868,"Core")&gt;0,"R",IF(COUNTIFS('Policy Assignments'!$C$5:$C$868,$A77,'Policy Assignments'!$B$5:$B$868,K$4,'Policy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C</x:v>
      </x:c>
      <x:c r="L77" s="94" t="str">
        <x:f>IF(COUNTIFS('Policy Assignments'!$C$5:$C$868,$A77,'Policy Assignments'!$B$5:$B$868,L$4,'Policy Assignments'!$E$5:$E$868,"Hold")&gt;0,"H",IF(COUNTIFS('Policy Assignments'!$C$5:$C$868,$A77,'Policy Assignments'!$B$5:$B$868,L$4,'Policy Assignments'!$E$5:$E$868,"Core")&gt;0,"R",IF(COUNTIFS('Policy Assignments'!$C$5:$C$868,$A77,'Policy Assignments'!$B$5:$B$868,L$4,'Policy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R</x:v>
      </x:c>
      <x:c r="M77" s="94" t="str">
        <x:f>IF(COUNTIFS('Policy Assignments'!$C$5:$C$868,$A77,'Policy Assignments'!$B$5:$B$868,M$4,'Policy Assignments'!$E$5:$E$868,"Hold")&gt;0,"H",IF(COUNTIFS('Policy Assignments'!$C$5:$C$868,$A77,'Policy Assignments'!$B$5:$B$868,M$4,'Policy Assignments'!$E$5:$E$868,"Core")&gt;0,"R",IF(COUNTIFS('Policy Assignments'!$C$5:$C$868,$A77,'Policy Assignments'!$B$5:$B$868,M$4,'Policy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c>
      <x:c r="N77" s="94" t="str">
        <x:f>IF(COUNTIFS('Policy Assignments'!$C$5:$C$868,$A77,'Policy Assignments'!$B$5:$B$868,N$4,'Policy Assignments'!$E$5:$E$868,"Hold")&gt;0,"H",IF(COUNTIFS('Policy Assignments'!$C$5:$C$868,$A77,'Policy Assignments'!$B$5:$B$868,N$4,'Policy Assignments'!$E$5:$E$868,"Core")&gt;0,"R",IF(COUNTIFS('Policy Assignments'!$C$5:$C$868,$A77,'Policy Assignments'!$B$5:$B$868,N$4,'Policy Assignments'!$E$5:$E$868,"Conditional")&gt;0,"C",IF(COUNTIFS('Policy Assignments'!$C$5:$C$868,$A77,'Policy Assignments'!$B$5:$B$868,"General",'Policy Assignments'!$E$5:$E$868,"Hold")&gt;0,"H",IF(COUNTIFS('Policy Assignments'!$C$5:$C$868,$A77,'Policy Assignments'!$B$5:$B$868,"General",'Policy Assignments'!$E$5:$E$868,"Conditional")&gt;0,"C",IF(COUNTIFS('Policy Assignments'!$C$5:$C$868,$A77,'Policy Assignments'!$B$5:$B$868,"General")&gt;0,"G",""))))))</x:f>
        <x:v>R</x:v>
      </x:c>
      <x:c r="O77" s="94" t="str">
        <x:f>IF(COUNTIFS('Policy Assignments'!$C$5:$C$868,$A77,'Policy Assignments'!$B$5:$B$868,O$4,'Policy Assignments'!$E$5:$E$868,"Hold")&gt;0,"H",IF(COUNTIFS('Policy Assignments'!$C$5:$C$868,$A77,'Policy Assignments'!$B$5:$B$868,O$4,'Policy Assignments'!$E$5:$E$868,"Core")&gt;0,"R",IF(COUNTIFS('Policy Assignments'!$C$5:$C$868,$A77,'Policy Assignments'!$B$5:$B$868,O$4,'Policy Assignments'!$E$5:$E$868,"Conditional")&gt;0,"C","")))</x:f>
      </x:c>
      <x:c r="P77" s="90" t="str">
        <x:v>Mapped</x:v>
      </x:c>
    </x:row>
    <x:row r="78" ht="22" customHeight="1">
      <x:c r="A78" s="90" t="str">
        <x:v>CO-AI-101</x:v>
      </x:c>
      <x:c r="B78" s="90" t="str">
        <x:v>AI &amp; Automated Systems Governance</x:v>
      </x:c>
      <x:c r="C78" s="94" t="str">
        <x:f>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D78" s="94" t="str">
        <x:f>IF(COUNTIFS('Policy Assignments'!$C$5:$C$868,$A78,'Policy Assignments'!$B$5:$B$868,D$4,'Policy Assignments'!$E$5:$E$868,"Hold")&gt;0,"H",IF(COUNTIFS('Policy Assignments'!$C$5:$C$868,$A78,'Policy Assignments'!$B$5:$B$868,D$4,'Policy Assignments'!$E$5:$E$868,"Core")&gt;0,"R",IF(COUNTIFS('Policy Assignments'!$C$5:$C$868,$A78,'Policy Assignments'!$B$5:$B$868,D$4,'Policy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E78" s="94" t="str">
        <x:f>IF(COUNTIFS('Policy Assignments'!$C$5:$C$868,$A78,'Policy Assignments'!$B$5:$B$868,E$4,'Policy Assignments'!$E$5:$E$868,"Hold")&gt;0,"H",IF(COUNTIFS('Policy Assignments'!$C$5:$C$868,$A78,'Policy Assignments'!$B$5:$B$868,E$4,'Policy Assignments'!$E$5:$E$868,"Core")&gt;0,"R",IF(COUNTIFS('Policy Assignments'!$C$5:$C$868,$A78,'Policy Assignments'!$B$5:$B$868,E$4,'Policy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F78" s="94" t="str">
        <x:f>IF(COUNTIFS('Policy Assignments'!$C$5:$C$868,$A78,'Policy Assignments'!$B$5:$B$868,F$4,'Policy Assignments'!$E$5:$E$868,"Hold")&gt;0,"H",IF(COUNTIFS('Policy Assignments'!$C$5:$C$868,$A78,'Policy Assignments'!$B$5:$B$868,F$4,'Policy Assignments'!$E$5:$E$868,"Core")&gt;0,"R",IF(COUNTIFS('Policy Assignments'!$C$5:$C$868,$A78,'Policy Assignments'!$B$5:$B$868,F$4,'Policy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G78" s="94" t="str">
        <x:f>IF(COUNTIFS('Policy Assignments'!$C$5:$C$868,$A78,'Policy Assignments'!$B$5:$B$868,G$4,'Policy Assignments'!$E$5:$E$868,"Hold")&gt;0,"H",IF(COUNTIFS('Policy Assignments'!$C$5:$C$868,$A78,'Policy Assignments'!$B$5:$B$868,G$4,'Policy Assignments'!$E$5:$E$868,"Core")&gt;0,"R",IF(COUNTIFS('Policy Assignments'!$C$5:$C$868,$A78,'Policy Assignments'!$B$5:$B$868,G$4,'Policy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H78" s="94" t="str">
        <x:f>IF(COUNTIFS('Policy Assignments'!$C$5:$C$868,$A78,'Policy Assignments'!$B$5:$B$868,H$4,'Policy Assignments'!$E$5:$E$868,"Hold")&gt;0,"H",IF(COUNTIFS('Policy Assignments'!$C$5:$C$868,$A78,'Policy Assignments'!$B$5:$B$868,H$4,'Policy Assignments'!$E$5:$E$868,"Core")&gt;0,"R",IF(COUNTIFS('Policy Assignments'!$C$5:$C$868,$A78,'Policy Assignments'!$B$5:$B$868,H$4,'Policy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I78" s="94" t="str">
        <x:f>IF(COUNTIFS('Policy Assignments'!$C$5:$C$868,$A78,'Policy Assignments'!$B$5:$B$868,I$4,'Policy Assignments'!$E$5:$E$868,"Hold")&gt;0,"H",IF(COUNTIFS('Policy Assignments'!$C$5:$C$868,$A78,'Policy Assignments'!$B$5:$B$868,I$4,'Policy Assignments'!$E$5:$E$868,"Core")&gt;0,"R",IF(COUNTIFS('Policy Assignments'!$C$5:$C$868,$A78,'Policy Assignments'!$B$5:$B$868,I$4,'Policy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J78" s="94" t="str">
        <x:f>IF(COUNTIFS('Policy Assignments'!$C$5:$C$868,$A78,'Policy Assignments'!$B$5:$B$868,J$4,'Policy Assignments'!$E$5:$E$868,"Hold")&gt;0,"H",IF(COUNTIFS('Policy Assignments'!$C$5:$C$868,$A78,'Policy Assignments'!$B$5:$B$868,J$4,'Policy Assignments'!$E$5:$E$868,"Core")&gt;0,"R",IF(COUNTIFS('Policy Assignments'!$C$5:$C$868,$A78,'Policy Assignments'!$B$5:$B$868,J$4,'Policy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K78" s="94" t="str">
        <x:f>IF(COUNTIFS('Policy Assignments'!$C$5:$C$868,$A78,'Policy Assignments'!$B$5:$B$868,K$4,'Policy Assignments'!$E$5:$E$868,"Hold")&gt;0,"H",IF(COUNTIFS('Policy Assignments'!$C$5:$C$868,$A78,'Policy Assignments'!$B$5:$B$868,K$4,'Policy Assignments'!$E$5:$E$868,"Core")&gt;0,"R",IF(COUNTIFS('Policy Assignments'!$C$5:$C$868,$A78,'Policy Assignments'!$B$5:$B$868,K$4,'Policy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L78" s="94" t="str">
        <x:f>IF(COUNTIFS('Policy Assignments'!$C$5:$C$868,$A78,'Policy Assignments'!$B$5:$B$868,L$4,'Policy Assignments'!$E$5:$E$868,"Hold")&gt;0,"H",IF(COUNTIFS('Policy Assignments'!$C$5:$C$868,$A78,'Policy Assignments'!$B$5:$B$868,L$4,'Policy Assignments'!$E$5:$E$868,"Core")&gt;0,"R",IF(COUNTIFS('Policy Assignments'!$C$5:$C$868,$A78,'Policy Assignments'!$B$5:$B$868,L$4,'Policy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M78" s="94" t="str">
        <x:f>IF(COUNTIFS('Policy Assignments'!$C$5:$C$868,$A78,'Policy Assignments'!$B$5:$B$868,M$4,'Policy Assignments'!$E$5:$E$868,"Hold")&gt;0,"H",IF(COUNTIFS('Policy Assignments'!$C$5:$C$868,$A78,'Policy Assignments'!$B$5:$B$868,M$4,'Policy Assignments'!$E$5:$E$868,"Core")&gt;0,"R",IF(COUNTIFS('Policy Assignments'!$C$5:$C$868,$A78,'Policy Assignments'!$B$5:$B$868,M$4,'Policy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N78" s="94" t="str">
        <x:f>IF(COUNTIFS('Policy Assignments'!$C$5:$C$868,$A78,'Policy Assignments'!$B$5:$B$868,N$4,'Policy Assignments'!$E$5:$E$868,"Hold")&gt;0,"H",IF(COUNTIFS('Policy Assignments'!$C$5:$C$868,$A78,'Policy Assignments'!$B$5:$B$868,N$4,'Policy Assignments'!$E$5:$E$868,"Core")&gt;0,"R",IF(COUNTIFS('Policy Assignments'!$C$5:$C$868,$A78,'Policy Assignments'!$B$5:$B$868,N$4,'Policy Assignments'!$E$5:$E$868,"Conditional")&gt;0,"C",IF(COUNTIFS('Policy Assignments'!$C$5:$C$868,$A78,'Policy Assignments'!$B$5:$B$868,"General",'Policy Assignments'!$E$5:$E$868,"Hold")&gt;0,"H",IF(COUNTIFS('Policy Assignments'!$C$5:$C$868,$A78,'Policy Assignments'!$B$5:$B$868,"General",'Policy Assignments'!$E$5:$E$868,"Conditional")&gt;0,"C",IF(COUNTIFS('Policy Assignments'!$C$5:$C$868,$A78,'Policy Assignments'!$B$5:$B$868,"General")&gt;0,"G",""))))))</x:f>
        <x:v>C</x:v>
      </x:c>
      <x:c r="O78" s="94" t="str">
        <x:f>IF(COUNTIFS('Policy Assignments'!$C$5:$C$868,$A78,'Policy Assignments'!$B$5:$B$868,O$4,'Policy Assignments'!$E$5:$E$868,"Hold")&gt;0,"H",IF(COUNTIFS('Policy Assignments'!$C$5:$C$868,$A78,'Policy Assignments'!$B$5:$B$868,O$4,'Policy Assignments'!$E$5:$E$868,"Core")&gt;0,"R",IF(COUNTIFS('Policy Assignments'!$C$5:$C$868,$A78,'Policy Assignments'!$B$5:$B$868,O$4,'Policy Assignments'!$E$5:$E$868,"Conditional")&gt;0,"C","")))</x:f>
      </x:c>
      <x:c r="P78" s="90" t="str">
        <x:v>Mapped</x:v>
      </x:c>
    </x:row>
    <x:row r="79" ht="22" customHeight="1">
      <x:c r="A79" s="90" t="str">
        <x:v>CO-CP-001</x:v>
      </x:c>
      <x:c r="B79" s="90" t="str">
        <x:v>Corporate Compliance Program</x:v>
      </x:c>
      <x:c r="C79" s="94" t="str">
        <x:f>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D79" s="94" t="str">
        <x:f>IF(COUNTIFS('Policy Assignments'!$C$5:$C$868,$A79,'Policy Assignments'!$B$5:$B$868,D$4,'Policy Assignments'!$E$5:$E$868,"Hold")&gt;0,"H",IF(COUNTIFS('Policy Assignments'!$C$5:$C$868,$A79,'Policy Assignments'!$B$5:$B$868,D$4,'Policy Assignments'!$E$5:$E$868,"Core")&gt;0,"R",IF(COUNTIFS('Policy Assignments'!$C$5:$C$868,$A79,'Policy Assignments'!$B$5:$B$868,D$4,'Policy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E79" s="94" t="str">
        <x:f>IF(COUNTIFS('Policy Assignments'!$C$5:$C$868,$A79,'Policy Assignments'!$B$5:$B$868,E$4,'Policy Assignments'!$E$5:$E$868,"Hold")&gt;0,"H",IF(COUNTIFS('Policy Assignments'!$C$5:$C$868,$A79,'Policy Assignments'!$B$5:$B$868,E$4,'Policy Assignments'!$E$5:$E$868,"Core")&gt;0,"R",IF(COUNTIFS('Policy Assignments'!$C$5:$C$868,$A79,'Policy Assignments'!$B$5:$B$868,E$4,'Policy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F79" s="94" t="str">
        <x:f>IF(COUNTIFS('Policy Assignments'!$C$5:$C$868,$A79,'Policy Assignments'!$B$5:$B$868,F$4,'Policy Assignments'!$E$5:$E$868,"Hold")&gt;0,"H",IF(COUNTIFS('Policy Assignments'!$C$5:$C$868,$A79,'Policy Assignments'!$B$5:$B$868,F$4,'Policy Assignments'!$E$5:$E$868,"Core")&gt;0,"R",IF(COUNTIFS('Policy Assignments'!$C$5:$C$868,$A79,'Policy Assignments'!$B$5:$B$868,F$4,'Policy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G79" s="94" t="str">
        <x:f>IF(COUNTIFS('Policy Assignments'!$C$5:$C$868,$A79,'Policy Assignments'!$B$5:$B$868,G$4,'Policy Assignments'!$E$5:$E$868,"Hold")&gt;0,"H",IF(COUNTIFS('Policy Assignments'!$C$5:$C$868,$A79,'Policy Assignments'!$B$5:$B$868,G$4,'Policy Assignments'!$E$5:$E$868,"Core")&gt;0,"R",IF(COUNTIFS('Policy Assignments'!$C$5:$C$868,$A79,'Policy Assignments'!$B$5:$B$868,G$4,'Policy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H79" s="94" t="str">
        <x:f>IF(COUNTIFS('Policy Assignments'!$C$5:$C$868,$A79,'Policy Assignments'!$B$5:$B$868,H$4,'Policy Assignments'!$E$5:$E$868,"Hold")&gt;0,"H",IF(COUNTIFS('Policy Assignments'!$C$5:$C$868,$A79,'Policy Assignments'!$B$5:$B$868,H$4,'Policy Assignments'!$E$5:$E$868,"Core")&gt;0,"R",IF(COUNTIFS('Policy Assignments'!$C$5:$C$868,$A79,'Policy Assignments'!$B$5:$B$868,H$4,'Policy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I79" s="94" t="str">
        <x:f>IF(COUNTIFS('Policy Assignments'!$C$5:$C$868,$A79,'Policy Assignments'!$B$5:$B$868,I$4,'Policy Assignments'!$E$5:$E$868,"Hold")&gt;0,"H",IF(COUNTIFS('Policy Assignments'!$C$5:$C$868,$A79,'Policy Assignments'!$B$5:$B$868,I$4,'Policy Assignments'!$E$5:$E$868,"Core")&gt;0,"R",IF(COUNTIFS('Policy Assignments'!$C$5:$C$868,$A79,'Policy Assignments'!$B$5:$B$868,I$4,'Policy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J79" s="94" t="str">
        <x:f>IF(COUNTIFS('Policy Assignments'!$C$5:$C$868,$A79,'Policy Assignments'!$B$5:$B$868,J$4,'Policy Assignments'!$E$5:$E$868,"Hold")&gt;0,"H",IF(COUNTIFS('Policy Assignments'!$C$5:$C$868,$A79,'Policy Assignments'!$B$5:$B$868,J$4,'Policy Assignments'!$E$5:$E$868,"Core")&gt;0,"R",IF(COUNTIFS('Policy Assignments'!$C$5:$C$868,$A79,'Policy Assignments'!$B$5:$B$868,J$4,'Policy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K79" s="94" t="str">
        <x:f>IF(COUNTIFS('Policy Assignments'!$C$5:$C$868,$A79,'Policy Assignments'!$B$5:$B$868,K$4,'Policy Assignments'!$E$5:$E$868,"Hold")&gt;0,"H",IF(COUNTIFS('Policy Assignments'!$C$5:$C$868,$A79,'Policy Assignments'!$B$5:$B$868,K$4,'Policy Assignments'!$E$5:$E$868,"Core")&gt;0,"R",IF(COUNTIFS('Policy Assignments'!$C$5:$C$868,$A79,'Policy Assignments'!$B$5:$B$868,K$4,'Policy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L79" s="94" t="str">
        <x:f>IF(COUNTIFS('Policy Assignments'!$C$5:$C$868,$A79,'Policy Assignments'!$B$5:$B$868,L$4,'Policy Assignments'!$E$5:$E$868,"Hold")&gt;0,"H",IF(COUNTIFS('Policy Assignments'!$C$5:$C$868,$A79,'Policy Assignments'!$B$5:$B$868,L$4,'Policy Assignments'!$E$5:$E$868,"Core")&gt;0,"R",IF(COUNTIFS('Policy Assignments'!$C$5:$C$868,$A79,'Policy Assignments'!$B$5:$B$868,L$4,'Policy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M79" s="94" t="str">
        <x:f>IF(COUNTIFS('Policy Assignments'!$C$5:$C$868,$A79,'Policy Assignments'!$B$5:$B$868,M$4,'Policy Assignments'!$E$5:$E$868,"Hold")&gt;0,"H",IF(COUNTIFS('Policy Assignments'!$C$5:$C$868,$A79,'Policy Assignments'!$B$5:$B$868,M$4,'Policy Assignments'!$E$5:$E$868,"Core")&gt;0,"R",IF(COUNTIFS('Policy Assignments'!$C$5:$C$868,$A79,'Policy Assignments'!$B$5:$B$868,M$4,'Policy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N79" s="94" t="str">
        <x:f>IF(COUNTIFS('Policy Assignments'!$C$5:$C$868,$A79,'Policy Assignments'!$B$5:$B$868,N$4,'Policy Assignments'!$E$5:$E$868,"Hold")&gt;0,"H",IF(COUNTIFS('Policy Assignments'!$C$5:$C$868,$A79,'Policy Assignments'!$B$5:$B$868,N$4,'Policy Assignments'!$E$5:$E$868,"Core")&gt;0,"R",IF(COUNTIFS('Policy Assignments'!$C$5:$C$868,$A79,'Policy Assignments'!$B$5:$B$868,N$4,'Policy Assignments'!$E$5:$E$868,"Conditional")&gt;0,"C",IF(COUNTIFS('Policy Assignments'!$C$5:$C$868,$A79,'Policy Assignments'!$B$5:$B$868,"General",'Policy Assignments'!$E$5:$E$868,"Hold")&gt;0,"H",IF(COUNTIFS('Policy Assignments'!$C$5:$C$868,$A79,'Policy Assignments'!$B$5:$B$868,"General",'Policy Assignments'!$E$5:$E$868,"Conditional")&gt;0,"C",IF(COUNTIFS('Policy Assignments'!$C$5:$C$868,$A79,'Policy Assignments'!$B$5:$B$868,"General")&gt;0,"G",""))))))</x:f>
        <x:v>G</x:v>
      </x:c>
      <x:c r="O79" s="94" t="str">
        <x:f>IF(COUNTIFS('Policy Assignments'!$C$5:$C$868,$A79,'Policy Assignments'!$B$5:$B$868,O$4,'Policy Assignments'!$E$5:$E$868,"Hold")&gt;0,"H",IF(COUNTIFS('Policy Assignments'!$C$5:$C$868,$A79,'Policy Assignments'!$B$5:$B$868,O$4,'Policy Assignments'!$E$5:$E$868,"Core")&gt;0,"R",IF(COUNTIFS('Policy Assignments'!$C$5:$C$868,$A79,'Policy Assignments'!$B$5:$B$868,O$4,'Policy Assignments'!$E$5:$E$868,"Conditional")&gt;0,"C","")))</x:f>
        <x:v>R</x:v>
      </x:c>
      <x:c r="P79" s="90" t="str">
        <x:v>Mapped</x:v>
      </x:c>
    </x:row>
    <x:row r="80" ht="22" customHeight="1">
      <x:c r="A80" s="90" t="str">
        <x:v>CO-CP-002</x:v>
      </x:c>
      <x:c r="B80" s="90" t="str">
        <x:v>Compliance Officer Designation &amp; Authority</x:v>
      </x:c>
      <x:c r="C80" s="94" t="str">
        <x:f>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D80" s="94" t="str">
        <x:f>IF(COUNTIFS('Policy Assignments'!$C$5:$C$868,$A80,'Policy Assignments'!$B$5:$B$868,D$4,'Policy Assignments'!$E$5:$E$868,"Hold")&gt;0,"H",IF(COUNTIFS('Policy Assignments'!$C$5:$C$868,$A80,'Policy Assignments'!$B$5:$B$868,D$4,'Policy Assignments'!$E$5:$E$868,"Core")&gt;0,"R",IF(COUNTIFS('Policy Assignments'!$C$5:$C$868,$A80,'Policy Assignments'!$B$5:$B$868,D$4,'Policy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E80" s="94" t="str">
        <x:f>IF(COUNTIFS('Policy Assignments'!$C$5:$C$868,$A80,'Policy Assignments'!$B$5:$B$868,E$4,'Policy Assignments'!$E$5:$E$868,"Hold")&gt;0,"H",IF(COUNTIFS('Policy Assignments'!$C$5:$C$868,$A80,'Policy Assignments'!$B$5:$B$868,E$4,'Policy Assignments'!$E$5:$E$868,"Core")&gt;0,"R",IF(COUNTIFS('Policy Assignments'!$C$5:$C$868,$A80,'Policy Assignments'!$B$5:$B$868,E$4,'Policy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F80" s="94" t="str">
        <x:f>IF(COUNTIFS('Policy Assignments'!$C$5:$C$868,$A80,'Policy Assignments'!$B$5:$B$868,F$4,'Policy Assignments'!$E$5:$E$868,"Hold")&gt;0,"H",IF(COUNTIFS('Policy Assignments'!$C$5:$C$868,$A80,'Policy Assignments'!$B$5:$B$868,F$4,'Policy Assignments'!$E$5:$E$868,"Core")&gt;0,"R",IF(COUNTIFS('Policy Assignments'!$C$5:$C$868,$A80,'Policy Assignments'!$B$5:$B$868,F$4,'Policy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G80" s="94" t="str">
        <x:f>IF(COUNTIFS('Policy Assignments'!$C$5:$C$868,$A80,'Policy Assignments'!$B$5:$B$868,G$4,'Policy Assignments'!$E$5:$E$868,"Hold")&gt;0,"H",IF(COUNTIFS('Policy Assignments'!$C$5:$C$868,$A80,'Policy Assignments'!$B$5:$B$868,G$4,'Policy Assignments'!$E$5:$E$868,"Core")&gt;0,"R",IF(COUNTIFS('Policy Assignments'!$C$5:$C$868,$A80,'Policy Assignments'!$B$5:$B$868,G$4,'Policy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H80" s="94" t="str">
        <x:f>IF(COUNTIFS('Policy Assignments'!$C$5:$C$868,$A80,'Policy Assignments'!$B$5:$B$868,H$4,'Policy Assignments'!$E$5:$E$868,"Hold")&gt;0,"H",IF(COUNTIFS('Policy Assignments'!$C$5:$C$868,$A80,'Policy Assignments'!$B$5:$B$868,H$4,'Policy Assignments'!$E$5:$E$868,"Core")&gt;0,"R",IF(COUNTIFS('Policy Assignments'!$C$5:$C$868,$A80,'Policy Assignments'!$B$5:$B$868,H$4,'Policy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I80" s="94" t="str">
        <x:f>IF(COUNTIFS('Policy Assignments'!$C$5:$C$868,$A80,'Policy Assignments'!$B$5:$B$868,I$4,'Policy Assignments'!$E$5:$E$868,"Hold")&gt;0,"H",IF(COUNTIFS('Policy Assignments'!$C$5:$C$868,$A80,'Policy Assignments'!$B$5:$B$868,I$4,'Policy Assignments'!$E$5:$E$868,"Core")&gt;0,"R",IF(COUNTIFS('Policy Assignments'!$C$5:$C$868,$A80,'Policy Assignments'!$B$5:$B$868,I$4,'Policy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J80" s="94" t="str">
        <x:f>IF(COUNTIFS('Policy Assignments'!$C$5:$C$868,$A80,'Policy Assignments'!$B$5:$B$868,J$4,'Policy Assignments'!$E$5:$E$868,"Hold")&gt;0,"H",IF(COUNTIFS('Policy Assignments'!$C$5:$C$868,$A80,'Policy Assignments'!$B$5:$B$868,J$4,'Policy Assignments'!$E$5:$E$868,"Core")&gt;0,"R",IF(COUNTIFS('Policy Assignments'!$C$5:$C$868,$A80,'Policy Assignments'!$B$5:$B$868,J$4,'Policy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K80" s="94" t="str">
        <x:f>IF(COUNTIFS('Policy Assignments'!$C$5:$C$868,$A80,'Policy Assignments'!$B$5:$B$868,K$4,'Policy Assignments'!$E$5:$E$868,"Hold")&gt;0,"H",IF(COUNTIFS('Policy Assignments'!$C$5:$C$868,$A80,'Policy Assignments'!$B$5:$B$868,K$4,'Policy Assignments'!$E$5:$E$868,"Core")&gt;0,"R",IF(COUNTIFS('Policy Assignments'!$C$5:$C$868,$A80,'Policy Assignments'!$B$5:$B$868,K$4,'Policy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L80" s="94" t="str">
        <x:f>IF(COUNTIFS('Policy Assignments'!$C$5:$C$868,$A80,'Policy Assignments'!$B$5:$B$868,L$4,'Policy Assignments'!$E$5:$E$868,"Hold")&gt;0,"H",IF(COUNTIFS('Policy Assignments'!$C$5:$C$868,$A80,'Policy Assignments'!$B$5:$B$868,L$4,'Policy Assignments'!$E$5:$E$868,"Core")&gt;0,"R",IF(COUNTIFS('Policy Assignments'!$C$5:$C$868,$A80,'Policy Assignments'!$B$5:$B$868,L$4,'Policy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M80" s="94" t="str">
        <x:f>IF(COUNTIFS('Policy Assignments'!$C$5:$C$868,$A80,'Policy Assignments'!$B$5:$B$868,M$4,'Policy Assignments'!$E$5:$E$868,"Hold")&gt;0,"H",IF(COUNTIFS('Policy Assignments'!$C$5:$C$868,$A80,'Policy Assignments'!$B$5:$B$868,M$4,'Policy Assignments'!$E$5:$E$868,"Core")&gt;0,"R",IF(COUNTIFS('Policy Assignments'!$C$5:$C$868,$A80,'Policy Assignments'!$B$5:$B$868,M$4,'Policy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v>R</x:v>
      </x:c>
      <x:c r="N80" s="94" t="str">
        <x:f>IF(COUNTIFS('Policy Assignments'!$C$5:$C$868,$A80,'Policy Assignments'!$B$5:$B$868,N$4,'Policy Assignments'!$E$5:$E$868,"Hold")&gt;0,"H",IF(COUNTIFS('Policy Assignments'!$C$5:$C$868,$A80,'Policy Assignments'!$B$5:$B$868,N$4,'Policy Assignments'!$E$5:$E$868,"Core")&gt;0,"R",IF(COUNTIFS('Policy Assignments'!$C$5:$C$868,$A80,'Policy Assignments'!$B$5:$B$868,N$4,'Policy Assignments'!$E$5:$E$868,"Conditional")&gt;0,"C",IF(COUNTIFS('Policy Assignments'!$C$5:$C$868,$A80,'Policy Assignments'!$B$5:$B$868,"General",'Policy Assignments'!$E$5:$E$868,"Hold")&gt;0,"H",IF(COUNTIFS('Policy Assignments'!$C$5:$C$868,$A80,'Policy Assignments'!$B$5:$B$868,"General",'Policy Assignments'!$E$5:$E$868,"Conditional")&gt;0,"C",IF(COUNTIFS('Policy Assignments'!$C$5:$C$868,$A80,'Policy Assignments'!$B$5:$B$868,"General")&gt;0,"G",""))))))</x:f>
      </x:c>
      <x:c r="O80" s="94" t="str">
        <x:f>IF(COUNTIFS('Policy Assignments'!$C$5:$C$868,$A80,'Policy Assignments'!$B$5:$B$868,O$4,'Policy Assignments'!$E$5:$E$868,"Hold")&gt;0,"H",IF(COUNTIFS('Policy Assignments'!$C$5:$C$868,$A80,'Policy Assignments'!$B$5:$B$868,O$4,'Policy Assignments'!$E$5:$E$868,"Core")&gt;0,"R",IF(COUNTIFS('Policy Assignments'!$C$5:$C$868,$A80,'Policy Assignments'!$B$5:$B$868,O$4,'Policy Assignments'!$E$5:$E$868,"Conditional")&gt;0,"C","")))</x:f>
        <x:v>R</x:v>
      </x:c>
      <x:c r="P80" s="90" t="str">
        <x:v>Mapped</x:v>
      </x:c>
    </x:row>
    <x:row r="81" ht="22" customHeight="1">
      <x:c r="A81" s="90" t="str">
        <x:v>CO-CP-003</x:v>
      </x:c>
      <x:c r="B81" s="90" t="str">
        <x:v>Compliance Committee Structure &amp; Function</x:v>
      </x:c>
      <x:c r="C81" s="94" t="str">
        <x:f>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D81" s="94" t="str">
        <x:f>IF(COUNTIFS('Policy Assignments'!$C$5:$C$868,$A81,'Policy Assignments'!$B$5:$B$868,D$4,'Policy Assignments'!$E$5:$E$868,"Hold")&gt;0,"H",IF(COUNTIFS('Policy Assignments'!$C$5:$C$868,$A81,'Policy Assignments'!$B$5:$B$868,D$4,'Policy Assignments'!$E$5:$E$868,"Core")&gt;0,"R",IF(COUNTIFS('Policy Assignments'!$C$5:$C$868,$A81,'Policy Assignments'!$B$5:$B$868,D$4,'Policy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E81" s="94" t="str">
        <x:f>IF(COUNTIFS('Policy Assignments'!$C$5:$C$868,$A81,'Policy Assignments'!$B$5:$B$868,E$4,'Policy Assignments'!$E$5:$E$868,"Hold")&gt;0,"H",IF(COUNTIFS('Policy Assignments'!$C$5:$C$868,$A81,'Policy Assignments'!$B$5:$B$868,E$4,'Policy Assignments'!$E$5:$E$868,"Core")&gt;0,"R",IF(COUNTIFS('Policy Assignments'!$C$5:$C$868,$A81,'Policy Assignments'!$B$5:$B$868,E$4,'Policy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F81" s="94" t="str">
        <x:f>IF(COUNTIFS('Policy Assignments'!$C$5:$C$868,$A81,'Policy Assignments'!$B$5:$B$868,F$4,'Policy Assignments'!$E$5:$E$868,"Hold")&gt;0,"H",IF(COUNTIFS('Policy Assignments'!$C$5:$C$868,$A81,'Policy Assignments'!$B$5:$B$868,F$4,'Policy Assignments'!$E$5:$E$868,"Core")&gt;0,"R",IF(COUNTIFS('Policy Assignments'!$C$5:$C$868,$A81,'Policy Assignments'!$B$5:$B$868,F$4,'Policy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G81" s="94" t="str">
        <x:f>IF(COUNTIFS('Policy Assignments'!$C$5:$C$868,$A81,'Policy Assignments'!$B$5:$B$868,G$4,'Policy Assignments'!$E$5:$E$868,"Hold")&gt;0,"H",IF(COUNTIFS('Policy Assignments'!$C$5:$C$868,$A81,'Policy Assignments'!$B$5:$B$868,G$4,'Policy Assignments'!$E$5:$E$868,"Core")&gt;0,"R",IF(COUNTIFS('Policy Assignments'!$C$5:$C$868,$A81,'Policy Assignments'!$B$5:$B$868,G$4,'Policy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H81" s="94" t="str">
        <x:f>IF(COUNTIFS('Policy Assignments'!$C$5:$C$868,$A81,'Policy Assignments'!$B$5:$B$868,H$4,'Policy Assignments'!$E$5:$E$868,"Hold")&gt;0,"H",IF(COUNTIFS('Policy Assignments'!$C$5:$C$868,$A81,'Policy Assignments'!$B$5:$B$868,H$4,'Policy Assignments'!$E$5:$E$868,"Core")&gt;0,"R",IF(COUNTIFS('Policy Assignments'!$C$5:$C$868,$A81,'Policy Assignments'!$B$5:$B$868,H$4,'Policy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I81" s="94" t="str">
        <x:f>IF(COUNTIFS('Policy Assignments'!$C$5:$C$868,$A81,'Policy Assignments'!$B$5:$B$868,I$4,'Policy Assignments'!$E$5:$E$868,"Hold")&gt;0,"H",IF(COUNTIFS('Policy Assignments'!$C$5:$C$868,$A81,'Policy Assignments'!$B$5:$B$868,I$4,'Policy Assignments'!$E$5:$E$868,"Core")&gt;0,"R",IF(COUNTIFS('Policy Assignments'!$C$5:$C$868,$A81,'Policy Assignments'!$B$5:$B$868,I$4,'Policy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J81" s="94" t="str">
        <x:f>IF(COUNTIFS('Policy Assignments'!$C$5:$C$868,$A81,'Policy Assignments'!$B$5:$B$868,J$4,'Policy Assignments'!$E$5:$E$868,"Hold")&gt;0,"H",IF(COUNTIFS('Policy Assignments'!$C$5:$C$868,$A81,'Policy Assignments'!$B$5:$B$868,J$4,'Policy Assignments'!$E$5:$E$868,"Core")&gt;0,"R",IF(COUNTIFS('Policy Assignments'!$C$5:$C$868,$A81,'Policy Assignments'!$B$5:$B$868,J$4,'Policy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K81" s="94" t="str">
        <x:f>IF(COUNTIFS('Policy Assignments'!$C$5:$C$868,$A81,'Policy Assignments'!$B$5:$B$868,K$4,'Policy Assignments'!$E$5:$E$868,"Hold")&gt;0,"H",IF(COUNTIFS('Policy Assignments'!$C$5:$C$868,$A81,'Policy Assignments'!$B$5:$B$868,K$4,'Policy Assignments'!$E$5:$E$868,"Core")&gt;0,"R",IF(COUNTIFS('Policy Assignments'!$C$5:$C$868,$A81,'Policy Assignments'!$B$5:$B$868,K$4,'Policy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L81" s="94" t="str">
        <x:f>IF(COUNTIFS('Policy Assignments'!$C$5:$C$868,$A81,'Policy Assignments'!$B$5:$B$868,L$4,'Policy Assignments'!$E$5:$E$868,"Hold")&gt;0,"H",IF(COUNTIFS('Policy Assignments'!$C$5:$C$868,$A81,'Policy Assignments'!$B$5:$B$868,L$4,'Policy Assignments'!$E$5:$E$868,"Core")&gt;0,"R",IF(COUNTIFS('Policy Assignments'!$C$5:$C$868,$A81,'Policy Assignments'!$B$5:$B$868,L$4,'Policy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M81" s="94" t="str">
        <x:f>IF(COUNTIFS('Policy Assignments'!$C$5:$C$868,$A81,'Policy Assignments'!$B$5:$B$868,M$4,'Policy Assignments'!$E$5:$E$868,"Hold")&gt;0,"H",IF(COUNTIFS('Policy Assignments'!$C$5:$C$868,$A81,'Policy Assignments'!$B$5:$B$868,M$4,'Policy Assignments'!$E$5:$E$868,"Core")&gt;0,"R",IF(COUNTIFS('Policy Assignments'!$C$5:$C$868,$A81,'Policy Assignments'!$B$5:$B$868,M$4,'Policy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v>R</x:v>
      </x:c>
      <x:c r="N81" s="94" t="str">
        <x:f>IF(COUNTIFS('Policy Assignments'!$C$5:$C$868,$A81,'Policy Assignments'!$B$5:$B$868,N$4,'Policy Assignments'!$E$5:$E$868,"Hold")&gt;0,"H",IF(COUNTIFS('Policy Assignments'!$C$5:$C$868,$A81,'Policy Assignments'!$B$5:$B$868,N$4,'Policy Assignments'!$E$5:$E$868,"Core")&gt;0,"R",IF(COUNTIFS('Policy Assignments'!$C$5:$C$868,$A81,'Policy Assignments'!$B$5:$B$868,N$4,'Policy Assignments'!$E$5:$E$868,"Conditional")&gt;0,"C",IF(COUNTIFS('Policy Assignments'!$C$5:$C$868,$A81,'Policy Assignments'!$B$5:$B$868,"General",'Policy Assignments'!$E$5:$E$868,"Hold")&gt;0,"H",IF(COUNTIFS('Policy Assignments'!$C$5:$C$868,$A81,'Policy Assignments'!$B$5:$B$868,"General",'Policy Assignments'!$E$5:$E$868,"Conditional")&gt;0,"C",IF(COUNTIFS('Policy Assignments'!$C$5:$C$868,$A81,'Policy Assignments'!$B$5:$B$868,"General")&gt;0,"G",""))))))</x:f>
      </x:c>
      <x:c r="O81" s="94" t="str">
        <x:f>IF(COUNTIFS('Policy Assignments'!$C$5:$C$868,$A81,'Policy Assignments'!$B$5:$B$868,O$4,'Policy Assignments'!$E$5:$E$868,"Hold")&gt;0,"H",IF(COUNTIFS('Policy Assignments'!$C$5:$C$868,$A81,'Policy Assignments'!$B$5:$B$868,O$4,'Policy Assignments'!$E$5:$E$868,"Core")&gt;0,"R",IF(COUNTIFS('Policy Assignments'!$C$5:$C$868,$A81,'Policy Assignments'!$B$5:$B$868,O$4,'Policy Assignments'!$E$5:$E$868,"Conditional")&gt;0,"C","")))</x:f>
        <x:v>R</x:v>
      </x:c>
      <x:c r="P81" s="90" t="str">
        <x:v>Mapped</x:v>
      </x:c>
    </x:row>
    <x:row r="82" ht="22" customHeight="1">
      <x:c r="A82" s="90" t="str">
        <x:v>CO-CP-004</x:v>
      </x:c>
      <x:c r="B82" s="90" t="str">
        <x:v>Code of Conduct &amp; Ethics</x:v>
      </x:c>
      <x:c r="C82" s="94" t="str">
        <x:f>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D82" s="94" t="str">
        <x:f>IF(COUNTIFS('Policy Assignments'!$C$5:$C$868,$A82,'Policy Assignments'!$B$5:$B$868,D$4,'Policy Assignments'!$E$5:$E$868,"Hold")&gt;0,"H",IF(COUNTIFS('Policy Assignments'!$C$5:$C$868,$A82,'Policy Assignments'!$B$5:$B$868,D$4,'Policy Assignments'!$E$5:$E$868,"Core")&gt;0,"R",IF(COUNTIFS('Policy Assignments'!$C$5:$C$868,$A82,'Policy Assignments'!$B$5:$B$868,D$4,'Policy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E82" s="94" t="str">
        <x:f>IF(COUNTIFS('Policy Assignments'!$C$5:$C$868,$A82,'Policy Assignments'!$B$5:$B$868,E$4,'Policy Assignments'!$E$5:$E$868,"Hold")&gt;0,"H",IF(COUNTIFS('Policy Assignments'!$C$5:$C$868,$A82,'Policy Assignments'!$B$5:$B$868,E$4,'Policy Assignments'!$E$5:$E$868,"Core")&gt;0,"R",IF(COUNTIFS('Policy Assignments'!$C$5:$C$868,$A82,'Policy Assignments'!$B$5:$B$868,E$4,'Policy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F82" s="94" t="str">
        <x:f>IF(COUNTIFS('Policy Assignments'!$C$5:$C$868,$A82,'Policy Assignments'!$B$5:$B$868,F$4,'Policy Assignments'!$E$5:$E$868,"Hold")&gt;0,"H",IF(COUNTIFS('Policy Assignments'!$C$5:$C$868,$A82,'Policy Assignments'!$B$5:$B$868,F$4,'Policy Assignments'!$E$5:$E$868,"Core")&gt;0,"R",IF(COUNTIFS('Policy Assignments'!$C$5:$C$868,$A82,'Policy Assignments'!$B$5:$B$868,F$4,'Policy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G82" s="94" t="str">
        <x:f>IF(COUNTIFS('Policy Assignments'!$C$5:$C$868,$A82,'Policy Assignments'!$B$5:$B$868,G$4,'Policy Assignments'!$E$5:$E$868,"Hold")&gt;0,"H",IF(COUNTIFS('Policy Assignments'!$C$5:$C$868,$A82,'Policy Assignments'!$B$5:$B$868,G$4,'Policy Assignments'!$E$5:$E$868,"Core")&gt;0,"R",IF(COUNTIFS('Policy Assignments'!$C$5:$C$868,$A82,'Policy Assignments'!$B$5:$B$868,G$4,'Policy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H82" s="94" t="str">
        <x:f>IF(COUNTIFS('Policy Assignments'!$C$5:$C$868,$A82,'Policy Assignments'!$B$5:$B$868,H$4,'Policy Assignments'!$E$5:$E$868,"Hold")&gt;0,"H",IF(COUNTIFS('Policy Assignments'!$C$5:$C$868,$A82,'Policy Assignments'!$B$5:$B$868,H$4,'Policy Assignments'!$E$5:$E$868,"Core")&gt;0,"R",IF(COUNTIFS('Policy Assignments'!$C$5:$C$868,$A82,'Policy Assignments'!$B$5:$B$868,H$4,'Policy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I82" s="94" t="str">
        <x:f>IF(COUNTIFS('Policy Assignments'!$C$5:$C$868,$A82,'Policy Assignments'!$B$5:$B$868,I$4,'Policy Assignments'!$E$5:$E$868,"Hold")&gt;0,"H",IF(COUNTIFS('Policy Assignments'!$C$5:$C$868,$A82,'Policy Assignments'!$B$5:$B$868,I$4,'Policy Assignments'!$E$5:$E$868,"Core")&gt;0,"R",IF(COUNTIFS('Policy Assignments'!$C$5:$C$868,$A82,'Policy Assignments'!$B$5:$B$868,I$4,'Policy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J82" s="94" t="str">
        <x:f>IF(COUNTIFS('Policy Assignments'!$C$5:$C$868,$A82,'Policy Assignments'!$B$5:$B$868,J$4,'Policy Assignments'!$E$5:$E$868,"Hold")&gt;0,"H",IF(COUNTIFS('Policy Assignments'!$C$5:$C$868,$A82,'Policy Assignments'!$B$5:$B$868,J$4,'Policy Assignments'!$E$5:$E$868,"Core")&gt;0,"R",IF(COUNTIFS('Policy Assignments'!$C$5:$C$868,$A82,'Policy Assignments'!$B$5:$B$868,J$4,'Policy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K82" s="94" t="str">
        <x:f>IF(COUNTIFS('Policy Assignments'!$C$5:$C$868,$A82,'Policy Assignments'!$B$5:$B$868,K$4,'Policy Assignments'!$E$5:$E$868,"Hold")&gt;0,"H",IF(COUNTIFS('Policy Assignments'!$C$5:$C$868,$A82,'Policy Assignments'!$B$5:$B$868,K$4,'Policy Assignments'!$E$5:$E$868,"Core")&gt;0,"R",IF(COUNTIFS('Policy Assignments'!$C$5:$C$868,$A82,'Policy Assignments'!$B$5:$B$868,K$4,'Policy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L82" s="94" t="str">
        <x:f>IF(COUNTIFS('Policy Assignments'!$C$5:$C$868,$A82,'Policy Assignments'!$B$5:$B$868,L$4,'Policy Assignments'!$E$5:$E$868,"Hold")&gt;0,"H",IF(COUNTIFS('Policy Assignments'!$C$5:$C$868,$A82,'Policy Assignments'!$B$5:$B$868,L$4,'Policy Assignments'!$E$5:$E$868,"Core")&gt;0,"R",IF(COUNTIFS('Policy Assignments'!$C$5:$C$868,$A82,'Policy Assignments'!$B$5:$B$868,L$4,'Policy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M82" s="94" t="str">
        <x:f>IF(COUNTIFS('Policy Assignments'!$C$5:$C$868,$A82,'Policy Assignments'!$B$5:$B$868,M$4,'Policy Assignments'!$E$5:$E$868,"Hold")&gt;0,"H",IF(COUNTIFS('Policy Assignments'!$C$5:$C$868,$A82,'Policy Assignments'!$B$5:$B$868,M$4,'Policy Assignments'!$E$5:$E$868,"Core")&gt;0,"R",IF(COUNTIFS('Policy Assignments'!$C$5:$C$868,$A82,'Policy Assignments'!$B$5:$B$868,M$4,'Policy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N82" s="94" t="str">
        <x:f>IF(COUNTIFS('Policy Assignments'!$C$5:$C$868,$A82,'Policy Assignments'!$B$5:$B$868,N$4,'Policy Assignments'!$E$5:$E$868,"Hold")&gt;0,"H",IF(COUNTIFS('Policy Assignments'!$C$5:$C$868,$A82,'Policy Assignments'!$B$5:$B$868,N$4,'Policy Assignments'!$E$5:$E$868,"Core")&gt;0,"R",IF(COUNTIFS('Policy Assignments'!$C$5:$C$868,$A82,'Policy Assignments'!$B$5:$B$868,N$4,'Policy Assignments'!$E$5:$E$868,"Conditional")&gt;0,"C",IF(COUNTIFS('Policy Assignments'!$C$5:$C$868,$A82,'Policy Assignments'!$B$5:$B$868,"General",'Policy Assignments'!$E$5:$E$868,"Hold")&gt;0,"H",IF(COUNTIFS('Policy Assignments'!$C$5:$C$868,$A82,'Policy Assignments'!$B$5:$B$868,"General",'Policy Assignments'!$E$5:$E$868,"Conditional")&gt;0,"C",IF(COUNTIFS('Policy Assignments'!$C$5:$C$868,$A82,'Policy Assignments'!$B$5:$B$868,"General")&gt;0,"G",""))))))</x:f>
        <x:v>G</x:v>
      </x:c>
      <x:c r="O82" s="94" t="str">
        <x:f>IF(COUNTIFS('Policy Assignments'!$C$5:$C$868,$A82,'Policy Assignments'!$B$5:$B$868,O$4,'Policy Assignments'!$E$5:$E$868,"Hold")&gt;0,"H",IF(COUNTIFS('Policy Assignments'!$C$5:$C$868,$A82,'Policy Assignments'!$B$5:$B$868,O$4,'Policy Assignments'!$E$5:$E$868,"Core")&gt;0,"R",IF(COUNTIFS('Policy Assignments'!$C$5:$C$868,$A82,'Policy Assignments'!$B$5:$B$868,O$4,'Policy Assignments'!$E$5:$E$868,"Conditional")&gt;0,"C","")))</x:f>
        <x:v>R</x:v>
      </x:c>
      <x:c r="P82" s="90" t="str">
        <x:v>Mapped</x:v>
      </x:c>
    </x:row>
    <x:row r="83" ht="22" customHeight="1">
      <x:c r="A83" s="90" t="str">
        <x:v>CO-CP-005</x:v>
      </x:c>
      <x:c r="B83" s="90" t="str">
        <x:v>Whistleblower Protection &amp; Non-Retaliation</x:v>
      </x:c>
      <x:c r="C83" s="94" t="str">
        <x:f>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D83" s="94" t="str">
        <x:f>IF(COUNTIFS('Policy Assignments'!$C$5:$C$868,$A83,'Policy Assignments'!$B$5:$B$868,D$4,'Policy Assignments'!$E$5:$E$868,"Hold")&gt;0,"H",IF(COUNTIFS('Policy Assignments'!$C$5:$C$868,$A83,'Policy Assignments'!$B$5:$B$868,D$4,'Policy Assignments'!$E$5:$E$868,"Core")&gt;0,"R",IF(COUNTIFS('Policy Assignments'!$C$5:$C$868,$A83,'Policy Assignments'!$B$5:$B$868,D$4,'Policy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E83" s="94" t="str">
        <x:f>IF(COUNTIFS('Policy Assignments'!$C$5:$C$868,$A83,'Policy Assignments'!$B$5:$B$868,E$4,'Policy Assignments'!$E$5:$E$868,"Hold")&gt;0,"H",IF(COUNTIFS('Policy Assignments'!$C$5:$C$868,$A83,'Policy Assignments'!$B$5:$B$868,E$4,'Policy Assignments'!$E$5:$E$868,"Core")&gt;0,"R",IF(COUNTIFS('Policy Assignments'!$C$5:$C$868,$A83,'Policy Assignments'!$B$5:$B$868,E$4,'Policy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F83" s="94" t="str">
        <x:f>IF(COUNTIFS('Policy Assignments'!$C$5:$C$868,$A83,'Policy Assignments'!$B$5:$B$868,F$4,'Policy Assignments'!$E$5:$E$868,"Hold")&gt;0,"H",IF(COUNTIFS('Policy Assignments'!$C$5:$C$868,$A83,'Policy Assignments'!$B$5:$B$868,F$4,'Policy Assignments'!$E$5:$E$868,"Core")&gt;0,"R",IF(COUNTIFS('Policy Assignments'!$C$5:$C$868,$A83,'Policy Assignments'!$B$5:$B$868,F$4,'Policy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G83" s="94" t="str">
        <x:f>IF(COUNTIFS('Policy Assignments'!$C$5:$C$868,$A83,'Policy Assignments'!$B$5:$B$868,G$4,'Policy Assignments'!$E$5:$E$868,"Hold")&gt;0,"H",IF(COUNTIFS('Policy Assignments'!$C$5:$C$868,$A83,'Policy Assignments'!$B$5:$B$868,G$4,'Policy Assignments'!$E$5:$E$868,"Core")&gt;0,"R",IF(COUNTIFS('Policy Assignments'!$C$5:$C$868,$A83,'Policy Assignments'!$B$5:$B$868,G$4,'Policy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H83" s="94" t="str">
        <x:f>IF(COUNTIFS('Policy Assignments'!$C$5:$C$868,$A83,'Policy Assignments'!$B$5:$B$868,H$4,'Policy Assignments'!$E$5:$E$868,"Hold")&gt;0,"H",IF(COUNTIFS('Policy Assignments'!$C$5:$C$868,$A83,'Policy Assignments'!$B$5:$B$868,H$4,'Policy Assignments'!$E$5:$E$868,"Core")&gt;0,"R",IF(COUNTIFS('Policy Assignments'!$C$5:$C$868,$A83,'Policy Assignments'!$B$5:$B$868,H$4,'Policy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I83" s="94" t="str">
        <x:f>IF(COUNTIFS('Policy Assignments'!$C$5:$C$868,$A83,'Policy Assignments'!$B$5:$B$868,I$4,'Policy Assignments'!$E$5:$E$868,"Hold")&gt;0,"H",IF(COUNTIFS('Policy Assignments'!$C$5:$C$868,$A83,'Policy Assignments'!$B$5:$B$868,I$4,'Policy Assignments'!$E$5:$E$868,"Core")&gt;0,"R",IF(COUNTIFS('Policy Assignments'!$C$5:$C$868,$A83,'Policy Assignments'!$B$5:$B$868,I$4,'Policy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J83" s="94" t="str">
        <x:f>IF(COUNTIFS('Policy Assignments'!$C$5:$C$868,$A83,'Policy Assignments'!$B$5:$B$868,J$4,'Policy Assignments'!$E$5:$E$868,"Hold")&gt;0,"H",IF(COUNTIFS('Policy Assignments'!$C$5:$C$868,$A83,'Policy Assignments'!$B$5:$B$868,J$4,'Policy Assignments'!$E$5:$E$868,"Core")&gt;0,"R",IF(COUNTIFS('Policy Assignments'!$C$5:$C$868,$A83,'Policy Assignments'!$B$5:$B$868,J$4,'Policy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K83" s="94" t="str">
        <x:f>IF(COUNTIFS('Policy Assignments'!$C$5:$C$868,$A83,'Policy Assignments'!$B$5:$B$868,K$4,'Policy Assignments'!$E$5:$E$868,"Hold")&gt;0,"H",IF(COUNTIFS('Policy Assignments'!$C$5:$C$868,$A83,'Policy Assignments'!$B$5:$B$868,K$4,'Policy Assignments'!$E$5:$E$868,"Core")&gt;0,"R",IF(COUNTIFS('Policy Assignments'!$C$5:$C$868,$A83,'Policy Assignments'!$B$5:$B$868,K$4,'Policy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L83" s="94" t="str">
        <x:f>IF(COUNTIFS('Policy Assignments'!$C$5:$C$868,$A83,'Policy Assignments'!$B$5:$B$868,L$4,'Policy Assignments'!$E$5:$E$868,"Hold")&gt;0,"H",IF(COUNTIFS('Policy Assignments'!$C$5:$C$868,$A83,'Policy Assignments'!$B$5:$B$868,L$4,'Policy Assignments'!$E$5:$E$868,"Core")&gt;0,"R",IF(COUNTIFS('Policy Assignments'!$C$5:$C$868,$A83,'Policy Assignments'!$B$5:$B$868,L$4,'Policy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M83" s="94" t="str">
        <x:f>IF(COUNTIFS('Policy Assignments'!$C$5:$C$868,$A83,'Policy Assignments'!$B$5:$B$868,M$4,'Policy Assignments'!$E$5:$E$868,"Hold")&gt;0,"H",IF(COUNTIFS('Policy Assignments'!$C$5:$C$868,$A83,'Policy Assignments'!$B$5:$B$868,M$4,'Policy Assignments'!$E$5:$E$868,"Core")&gt;0,"R",IF(COUNTIFS('Policy Assignments'!$C$5:$C$868,$A83,'Policy Assignments'!$B$5:$B$868,M$4,'Policy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N83" s="94" t="str">
        <x:f>IF(COUNTIFS('Policy Assignments'!$C$5:$C$868,$A83,'Policy Assignments'!$B$5:$B$868,N$4,'Policy Assignments'!$E$5:$E$868,"Hold")&gt;0,"H",IF(COUNTIFS('Policy Assignments'!$C$5:$C$868,$A83,'Policy Assignments'!$B$5:$B$868,N$4,'Policy Assignments'!$E$5:$E$868,"Core")&gt;0,"R",IF(COUNTIFS('Policy Assignments'!$C$5:$C$868,$A83,'Policy Assignments'!$B$5:$B$868,N$4,'Policy Assignments'!$E$5:$E$868,"Conditional")&gt;0,"C",IF(COUNTIFS('Policy Assignments'!$C$5:$C$868,$A83,'Policy Assignments'!$B$5:$B$868,"General",'Policy Assignments'!$E$5:$E$868,"Hold")&gt;0,"H",IF(COUNTIFS('Policy Assignments'!$C$5:$C$868,$A83,'Policy Assignments'!$B$5:$B$868,"General",'Policy Assignments'!$E$5:$E$868,"Conditional")&gt;0,"C",IF(COUNTIFS('Policy Assignments'!$C$5:$C$868,$A83,'Policy Assignments'!$B$5:$B$868,"General")&gt;0,"G",""))))))</x:f>
        <x:v>G</x:v>
      </x:c>
      <x:c r="O83" s="94" t="str">
        <x:f>IF(COUNTIFS('Policy Assignments'!$C$5:$C$868,$A83,'Policy Assignments'!$B$5:$B$868,O$4,'Policy Assignments'!$E$5:$E$868,"Hold")&gt;0,"H",IF(COUNTIFS('Policy Assignments'!$C$5:$C$868,$A83,'Policy Assignments'!$B$5:$B$868,O$4,'Policy Assignments'!$E$5:$E$868,"Core")&gt;0,"R",IF(COUNTIFS('Policy Assignments'!$C$5:$C$868,$A83,'Policy Assignments'!$B$5:$B$868,O$4,'Policy Assignments'!$E$5:$E$868,"Conditional")&gt;0,"C","")))</x:f>
        <x:v>R</x:v>
      </x:c>
      <x:c r="P83" s="90" t="str">
        <x:v>Mapped</x:v>
      </x:c>
    </x:row>
    <x:row r="84" ht="22" customHeight="1">
      <x:c r="A84" s="90" t="str">
        <x:v>CO-CP-006</x:v>
      </x:c>
      <x:c r="B84" s="90" t="str">
        <x:v>Compliance Hotline &amp; Reporting Mechanisms</x:v>
      </x:c>
      <x:c r="C84" s="94" t="str">
        <x:f>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D84" s="94" t="str">
        <x:f>IF(COUNTIFS('Policy Assignments'!$C$5:$C$868,$A84,'Policy Assignments'!$B$5:$B$868,D$4,'Policy Assignments'!$E$5:$E$868,"Hold")&gt;0,"H",IF(COUNTIFS('Policy Assignments'!$C$5:$C$868,$A84,'Policy Assignments'!$B$5:$B$868,D$4,'Policy Assignments'!$E$5:$E$868,"Core")&gt;0,"R",IF(COUNTIFS('Policy Assignments'!$C$5:$C$868,$A84,'Policy Assignments'!$B$5:$B$868,D$4,'Policy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E84" s="94" t="str">
        <x:f>IF(COUNTIFS('Policy Assignments'!$C$5:$C$868,$A84,'Policy Assignments'!$B$5:$B$868,E$4,'Policy Assignments'!$E$5:$E$868,"Hold")&gt;0,"H",IF(COUNTIFS('Policy Assignments'!$C$5:$C$868,$A84,'Policy Assignments'!$B$5:$B$868,E$4,'Policy Assignments'!$E$5:$E$868,"Core")&gt;0,"R",IF(COUNTIFS('Policy Assignments'!$C$5:$C$868,$A84,'Policy Assignments'!$B$5:$B$868,E$4,'Policy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F84" s="94" t="str">
        <x:f>IF(COUNTIFS('Policy Assignments'!$C$5:$C$868,$A84,'Policy Assignments'!$B$5:$B$868,F$4,'Policy Assignments'!$E$5:$E$868,"Hold")&gt;0,"H",IF(COUNTIFS('Policy Assignments'!$C$5:$C$868,$A84,'Policy Assignments'!$B$5:$B$868,F$4,'Policy Assignments'!$E$5:$E$868,"Core")&gt;0,"R",IF(COUNTIFS('Policy Assignments'!$C$5:$C$868,$A84,'Policy Assignments'!$B$5:$B$868,F$4,'Policy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G84" s="94" t="str">
        <x:f>IF(COUNTIFS('Policy Assignments'!$C$5:$C$868,$A84,'Policy Assignments'!$B$5:$B$868,G$4,'Policy Assignments'!$E$5:$E$868,"Hold")&gt;0,"H",IF(COUNTIFS('Policy Assignments'!$C$5:$C$868,$A84,'Policy Assignments'!$B$5:$B$868,G$4,'Policy Assignments'!$E$5:$E$868,"Core")&gt;0,"R",IF(COUNTIFS('Policy Assignments'!$C$5:$C$868,$A84,'Policy Assignments'!$B$5:$B$868,G$4,'Policy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H84" s="94" t="str">
        <x:f>IF(COUNTIFS('Policy Assignments'!$C$5:$C$868,$A84,'Policy Assignments'!$B$5:$B$868,H$4,'Policy Assignments'!$E$5:$E$868,"Hold")&gt;0,"H",IF(COUNTIFS('Policy Assignments'!$C$5:$C$868,$A84,'Policy Assignments'!$B$5:$B$868,H$4,'Policy Assignments'!$E$5:$E$868,"Core")&gt;0,"R",IF(COUNTIFS('Policy Assignments'!$C$5:$C$868,$A84,'Policy Assignments'!$B$5:$B$868,H$4,'Policy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I84" s="94" t="str">
        <x:f>IF(COUNTIFS('Policy Assignments'!$C$5:$C$868,$A84,'Policy Assignments'!$B$5:$B$868,I$4,'Policy Assignments'!$E$5:$E$868,"Hold")&gt;0,"H",IF(COUNTIFS('Policy Assignments'!$C$5:$C$868,$A84,'Policy Assignments'!$B$5:$B$868,I$4,'Policy Assignments'!$E$5:$E$868,"Core")&gt;0,"R",IF(COUNTIFS('Policy Assignments'!$C$5:$C$868,$A84,'Policy Assignments'!$B$5:$B$868,I$4,'Policy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J84" s="94" t="str">
        <x:f>IF(COUNTIFS('Policy Assignments'!$C$5:$C$868,$A84,'Policy Assignments'!$B$5:$B$868,J$4,'Policy Assignments'!$E$5:$E$868,"Hold")&gt;0,"H",IF(COUNTIFS('Policy Assignments'!$C$5:$C$868,$A84,'Policy Assignments'!$B$5:$B$868,J$4,'Policy Assignments'!$E$5:$E$868,"Core")&gt;0,"R",IF(COUNTIFS('Policy Assignments'!$C$5:$C$868,$A84,'Policy Assignments'!$B$5:$B$868,J$4,'Policy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K84" s="94" t="str">
        <x:f>IF(COUNTIFS('Policy Assignments'!$C$5:$C$868,$A84,'Policy Assignments'!$B$5:$B$868,K$4,'Policy Assignments'!$E$5:$E$868,"Hold")&gt;0,"H",IF(COUNTIFS('Policy Assignments'!$C$5:$C$868,$A84,'Policy Assignments'!$B$5:$B$868,K$4,'Policy Assignments'!$E$5:$E$868,"Core")&gt;0,"R",IF(COUNTIFS('Policy Assignments'!$C$5:$C$868,$A84,'Policy Assignments'!$B$5:$B$868,K$4,'Policy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L84" s="94" t="str">
        <x:f>IF(COUNTIFS('Policy Assignments'!$C$5:$C$868,$A84,'Policy Assignments'!$B$5:$B$868,L$4,'Policy Assignments'!$E$5:$E$868,"Hold")&gt;0,"H",IF(COUNTIFS('Policy Assignments'!$C$5:$C$868,$A84,'Policy Assignments'!$B$5:$B$868,L$4,'Policy Assignments'!$E$5:$E$868,"Core")&gt;0,"R",IF(COUNTIFS('Policy Assignments'!$C$5:$C$868,$A84,'Policy Assignments'!$B$5:$B$868,L$4,'Policy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M84" s="94" t="str">
        <x:f>IF(COUNTIFS('Policy Assignments'!$C$5:$C$868,$A84,'Policy Assignments'!$B$5:$B$868,M$4,'Policy Assignments'!$E$5:$E$868,"Hold")&gt;0,"H",IF(COUNTIFS('Policy Assignments'!$C$5:$C$868,$A84,'Policy Assignments'!$B$5:$B$868,M$4,'Policy Assignments'!$E$5:$E$868,"Core")&gt;0,"R",IF(COUNTIFS('Policy Assignments'!$C$5:$C$868,$A84,'Policy Assignments'!$B$5:$B$868,M$4,'Policy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N84" s="94" t="str">
        <x:f>IF(COUNTIFS('Policy Assignments'!$C$5:$C$868,$A84,'Policy Assignments'!$B$5:$B$868,N$4,'Policy Assignments'!$E$5:$E$868,"Hold")&gt;0,"H",IF(COUNTIFS('Policy Assignments'!$C$5:$C$868,$A84,'Policy Assignments'!$B$5:$B$868,N$4,'Policy Assignments'!$E$5:$E$868,"Core")&gt;0,"R",IF(COUNTIFS('Policy Assignments'!$C$5:$C$868,$A84,'Policy Assignments'!$B$5:$B$868,N$4,'Policy Assignments'!$E$5:$E$868,"Conditional")&gt;0,"C",IF(COUNTIFS('Policy Assignments'!$C$5:$C$868,$A84,'Policy Assignments'!$B$5:$B$868,"General",'Policy Assignments'!$E$5:$E$868,"Hold")&gt;0,"H",IF(COUNTIFS('Policy Assignments'!$C$5:$C$868,$A84,'Policy Assignments'!$B$5:$B$868,"General",'Policy Assignments'!$E$5:$E$868,"Conditional")&gt;0,"C",IF(COUNTIFS('Policy Assignments'!$C$5:$C$868,$A84,'Policy Assignments'!$B$5:$B$868,"General")&gt;0,"G",""))))))</x:f>
        <x:v>G</x:v>
      </x:c>
      <x:c r="O84" s="94" t="str">
        <x:f>IF(COUNTIFS('Policy Assignments'!$C$5:$C$868,$A84,'Policy Assignments'!$B$5:$B$868,O$4,'Policy Assignments'!$E$5:$E$868,"Hold")&gt;0,"H",IF(COUNTIFS('Policy Assignments'!$C$5:$C$868,$A84,'Policy Assignments'!$B$5:$B$868,O$4,'Policy Assignments'!$E$5:$E$868,"Core")&gt;0,"R",IF(COUNTIFS('Policy Assignments'!$C$5:$C$868,$A84,'Policy Assignments'!$B$5:$B$868,O$4,'Policy Assignments'!$E$5:$E$868,"Conditional")&gt;0,"C","")))</x:f>
      </x:c>
      <x:c r="P84" s="90" t="str">
        <x:v>Mapped</x:v>
      </x:c>
    </x:row>
    <x:row r="85" ht="22" customHeight="1">
      <x:c r="A85" s="90" t="str">
        <x:v>CO-CP-007</x:v>
      </x:c>
      <x:c r="B85" s="90" t="str">
        <x:v>Compliance Investigation Process</x:v>
      </x:c>
      <x:c r="C85" s="94" t="str">
        <x:f>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D85" s="94" t="str">
        <x:f>IF(COUNTIFS('Policy Assignments'!$C$5:$C$868,$A85,'Policy Assignments'!$B$5:$B$868,D$4,'Policy Assignments'!$E$5:$E$868,"Hold")&gt;0,"H",IF(COUNTIFS('Policy Assignments'!$C$5:$C$868,$A85,'Policy Assignments'!$B$5:$B$868,D$4,'Policy Assignments'!$E$5:$E$868,"Core")&gt;0,"R",IF(COUNTIFS('Policy Assignments'!$C$5:$C$868,$A85,'Policy Assignments'!$B$5:$B$868,D$4,'Policy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E85" s="94" t="str">
        <x:f>IF(COUNTIFS('Policy Assignments'!$C$5:$C$868,$A85,'Policy Assignments'!$B$5:$B$868,E$4,'Policy Assignments'!$E$5:$E$868,"Hold")&gt;0,"H",IF(COUNTIFS('Policy Assignments'!$C$5:$C$868,$A85,'Policy Assignments'!$B$5:$B$868,E$4,'Policy Assignments'!$E$5:$E$868,"Core")&gt;0,"R",IF(COUNTIFS('Policy Assignments'!$C$5:$C$868,$A85,'Policy Assignments'!$B$5:$B$868,E$4,'Policy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F85" s="94" t="str">
        <x:f>IF(COUNTIFS('Policy Assignments'!$C$5:$C$868,$A85,'Policy Assignments'!$B$5:$B$868,F$4,'Policy Assignments'!$E$5:$E$868,"Hold")&gt;0,"H",IF(COUNTIFS('Policy Assignments'!$C$5:$C$868,$A85,'Policy Assignments'!$B$5:$B$868,F$4,'Policy Assignments'!$E$5:$E$868,"Core")&gt;0,"R",IF(COUNTIFS('Policy Assignments'!$C$5:$C$868,$A85,'Policy Assignments'!$B$5:$B$868,F$4,'Policy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G85" s="94" t="str">
        <x:f>IF(COUNTIFS('Policy Assignments'!$C$5:$C$868,$A85,'Policy Assignments'!$B$5:$B$868,G$4,'Policy Assignments'!$E$5:$E$868,"Hold")&gt;0,"H",IF(COUNTIFS('Policy Assignments'!$C$5:$C$868,$A85,'Policy Assignments'!$B$5:$B$868,G$4,'Policy Assignments'!$E$5:$E$868,"Core")&gt;0,"R",IF(COUNTIFS('Policy Assignments'!$C$5:$C$868,$A85,'Policy Assignments'!$B$5:$B$868,G$4,'Policy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H85" s="94" t="str">
        <x:f>IF(COUNTIFS('Policy Assignments'!$C$5:$C$868,$A85,'Policy Assignments'!$B$5:$B$868,H$4,'Policy Assignments'!$E$5:$E$868,"Hold")&gt;0,"H",IF(COUNTIFS('Policy Assignments'!$C$5:$C$868,$A85,'Policy Assignments'!$B$5:$B$868,H$4,'Policy Assignments'!$E$5:$E$868,"Core")&gt;0,"R",IF(COUNTIFS('Policy Assignments'!$C$5:$C$868,$A85,'Policy Assignments'!$B$5:$B$868,H$4,'Policy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I85" s="94" t="str">
        <x:f>IF(COUNTIFS('Policy Assignments'!$C$5:$C$868,$A85,'Policy Assignments'!$B$5:$B$868,I$4,'Policy Assignments'!$E$5:$E$868,"Hold")&gt;0,"H",IF(COUNTIFS('Policy Assignments'!$C$5:$C$868,$A85,'Policy Assignments'!$B$5:$B$868,I$4,'Policy Assignments'!$E$5:$E$868,"Core")&gt;0,"R",IF(COUNTIFS('Policy Assignments'!$C$5:$C$868,$A85,'Policy Assignments'!$B$5:$B$868,I$4,'Policy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J85" s="94" t="str">
        <x:f>IF(COUNTIFS('Policy Assignments'!$C$5:$C$868,$A85,'Policy Assignments'!$B$5:$B$868,J$4,'Policy Assignments'!$E$5:$E$868,"Hold")&gt;0,"H",IF(COUNTIFS('Policy Assignments'!$C$5:$C$868,$A85,'Policy Assignments'!$B$5:$B$868,J$4,'Policy Assignments'!$E$5:$E$868,"Core")&gt;0,"R",IF(COUNTIFS('Policy Assignments'!$C$5:$C$868,$A85,'Policy Assignments'!$B$5:$B$868,J$4,'Policy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K85" s="94" t="str">
        <x:f>IF(COUNTIFS('Policy Assignments'!$C$5:$C$868,$A85,'Policy Assignments'!$B$5:$B$868,K$4,'Policy Assignments'!$E$5:$E$868,"Hold")&gt;0,"H",IF(COUNTIFS('Policy Assignments'!$C$5:$C$868,$A85,'Policy Assignments'!$B$5:$B$868,K$4,'Policy Assignments'!$E$5:$E$868,"Core")&gt;0,"R",IF(COUNTIFS('Policy Assignments'!$C$5:$C$868,$A85,'Policy Assignments'!$B$5:$B$868,K$4,'Policy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L85" s="94" t="str">
        <x:f>IF(COUNTIFS('Policy Assignments'!$C$5:$C$868,$A85,'Policy Assignments'!$B$5:$B$868,L$4,'Policy Assignments'!$E$5:$E$868,"Hold")&gt;0,"H",IF(COUNTIFS('Policy Assignments'!$C$5:$C$868,$A85,'Policy Assignments'!$B$5:$B$868,L$4,'Policy Assignments'!$E$5:$E$868,"Core")&gt;0,"R",IF(COUNTIFS('Policy Assignments'!$C$5:$C$868,$A85,'Policy Assignments'!$B$5:$B$868,L$4,'Policy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M85" s="94" t="str">
        <x:f>IF(COUNTIFS('Policy Assignments'!$C$5:$C$868,$A85,'Policy Assignments'!$B$5:$B$868,M$4,'Policy Assignments'!$E$5:$E$868,"Hold")&gt;0,"H",IF(COUNTIFS('Policy Assignments'!$C$5:$C$868,$A85,'Policy Assignments'!$B$5:$B$868,M$4,'Policy Assignments'!$E$5:$E$868,"Core")&gt;0,"R",IF(COUNTIFS('Policy Assignments'!$C$5:$C$868,$A85,'Policy Assignments'!$B$5:$B$868,M$4,'Policy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v>R</x:v>
      </x:c>
      <x:c r="N85" s="94" t="str">
        <x:f>IF(COUNTIFS('Policy Assignments'!$C$5:$C$868,$A85,'Policy Assignments'!$B$5:$B$868,N$4,'Policy Assignments'!$E$5:$E$868,"Hold")&gt;0,"H",IF(COUNTIFS('Policy Assignments'!$C$5:$C$868,$A85,'Policy Assignments'!$B$5:$B$868,N$4,'Policy Assignments'!$E$5:$E$868,"Core")&gt;0,"R",IF(COUNTIFS('Policy Assignments'!$C$5:$C$868,$A85,'Policy Assignments'!$B$5:$B$868,N$4,'Policy Assignments'!$E$5:$E$868,"Conditional")&gt;0,"C",IF(COUNTIFS('Policy Assignments'!$C$5:$C$868,$A85,'Policy Assignments'!$B$5:$B$868,"General",'Policy Assignments'!$E$5:$E$868,"Hold")&gt;0,"H",IF(COUNTIFS('Policy Assignments'!$C$5:$C$868,$A85,'Policy Assignments'!$B$5:$B$868,"General",'Policy Assignments'!$E$5:$E$868,"Conditional")&gt;0,"C",IF(COUNTIFS('Policy Assignments'!$C$5:$C$868,$A85,'Policy Assignments'!$B$5:$B$868,"General")&gt;0,"G",""))))))</x:f>
      </x:c>
      <x:c r="O85" s="94" t="str">
        <x:f>IF(COUNTIFS('Policy Assignments'!$C$5:$C$868,$A85,'Policy Assignments'!$B$5:$B$868,O$4,'Policy Assignments'!$E$5:$E$868,"Hold")&gt;0,"H",IF(COUNTIFS('Policy Assignments'!$C$5:$C$868,$A85,'Policy Assignments'!$B$5:$B$868,O$4,'Policy Assignments'!$E$5:$E$868,"Core")&gt;0,"R",IF(COUNTIFS('Policy Assignments'!$C$5:$C$868,$A85,'Policy Assignments'!$B$5:$B$868,O$4,'Policy Assignments'!$E$5:$E$868,"Conditional")&gt;0,"C","")))</x:f>
      </x:c>
      <x:c r="P85" s="90" t="str">
        <x:v>Mapped</x:v>
      </x:c>
    </x:row>
    <x:row r="86" ht="22" customHeight="1">
      <x:c r="A86" s="90" t="str">
        <x:v>CO-CP-008</x:v>
      </x:c>
      <x:c r="B86" s="90" t="str">
        <x:v>Compliance Training &amp; Education</x:v>
      </x:c>
      <x:c r="C86" s="94" t="str">
        <x:f>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D86" s="94" t="str">
        <x:f>IF(COUNTIFS('Policy Assignments'!$C$5:$C$868,$A86,'Policy Assignments'!$B$5:$B$868,D$4,'Policy Assignments'!$E$5:$E$868,"Hold")&gt;0,"H",IF(COUNTIFS('Policy Assignments'!$C$5:$C$868,$A86,'Policy Assignments'!$B$5:$B$868,D$4,'Policy Assignments'!$E$5:$E$868,"Core")&gt;0,"R",IF(COUNTIFS('Policy Assignments'!$C$5:$C$868,$A86,'Policy Assignments'!$B$5:$B$868,D$4,'Policy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E86" s="94" t="str">
        <x:f>IF(COUNTIFS('Policy Assignments'!$C$5:$C$868,$A86,'Policy Assignments'!$B$5:$B$868,E$4,'Policy Assignments'!$E$5:$E$868,"Hold")&gt;0,"H",IF(COUNTIFS('Policy Assignments'!$C$5:$C$868,$A86,'Policy Assignments'!$B$5:$B$868,E$4,'Policy Assignments'!$E$5:$E$868,"Core")&gt;0,"R",IF(COUNTIFS('Policy Assignments'!$C$5:$C$868,$A86,'Policy Assignments'!$B$5:$B$868,E$4,'Policy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F86" s="94" t="str">
        <x:f>IF(COUNTIFS('Policy Assignments'!$C$5:$C$868,$A86,'Policy Assignments'!$B$5:$B$868,F$4,'Policy Assignments'!$E$5:$E$868,"Hold")&gt;0,"H",IF(COUNTIFS('Policy Assignments'!$C$5:$C$868,$A86,'Policy Assignments'!$B$5:$B$868,F$4,'Policy Assignments'!$E$5:$E$868,"Core")&gt;0,"R",IF(COUNTIFS('Policy Assignments'!$C$5:$C$868,$A86,'Policy Assignments'!$B$5:$B$868,F$4,'Policy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G86" s="94" t="str">
        <x:f>IF(COUNTIFS('Policy Assignments'!$C$5:$C$868,$A86,'Policy Assignments'!$B$5:$B$868,G$4,'Policy Assignments'!$E$5:$E$868,"Hold")&gt;0,"H",IF(COUNTIFS('Policy Assignments'!$C$5:$C$868,$A86,'Policy Assignments'!$B$5:$B$868,G$4,'Policy Assignments'!$E$5:$E$868,"Core")&gt;0,"R",IF(COUNTIFS('Policy Assignments'!$C$5:$C$868,$A86,'Policy Assignments'!$B$5:$B$868,G$4,'Policy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H86" s="94" t="str">
        <x:f>IF(COUNTIFS('Policy Assignments'!$C$5:$C$868,$A86,'Policy Assignments'!$B$5:$B$868,H$4,'Policy Assignments'!$E$5:$E$868,"Hold")&gt;0,"H",IF(COUNTIFS('Policy Assignments'!$C$5:$C$868,$A86,'Policy Assignments'!$B$5:$B$868,H$4,'Policy Assignments'!$E$5:$E$868,"Core")&gt;0,"R",IF(COUNTIFS('Policy Assignments'!$C$5:$C$868,$A86,'Policy Assignments'!$B$5:$B$868,H$4,'Policy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I86" s="94" t="str">
        <x:f>IF(COUNTIFS('Policy Assignments'!$C$5:$C$868,$A86,'Policy Assignments'!$B$5:$B$868,I$4,'Policy Assignments'!$E$5:$E$868,"Hold")&gt;0,"H",IF(COUNTIFS('Policy Assignments'!$C$5:$C$868,$A86,'Policy Assignments'!$B$5:$B$868,I$4,'Policy Assignments'!$E$5:$E$868,"Core")&gt;0,"R",IF(COUNTIFS('Policy Assignments'!$C$5:$C$868,$A86,'Policy Assignments'!$B$5:$B$868,I$4,'Policy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J86" s="94" t="str">
        <x:f>IF(COUNTIFS('Policy Assignments'!$C$5:$C$868,$A86,'Policy Assignments'!$B$5:$B$868,J$4,'Policy Assignments'!$E$5:$E$868,"Hold")&gt;0,"H",IF(COUNTIFS('Policy Assignments'!$C$5:$C$868,$A86,'Policy Assignments'!$B$5:$B$868,J$4,'Policy Assignments'!$E$5:$E$868,"Core")&gt;0,"R",IF(COUNTIFS('Policy Assignments'!$C$5:$C$868,$A86,'Policy Assignments'!$B$5:$B$868,J$4,'Policy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K86" s="94" t="str">
        <x:f>IF(COUNTIFS('Policy Assignments'!$C$5:$C$868,$A86,'Policy Assignments'!$B$5:$B$868,K$4,'Policy Assignments'!$E$5:$E$868,"Hold")&gt;0,"H",IF(COUNTIFS('Policy Assignments'!$C$5:$C$868,$A86,'Policy Assignments'!$B$5:$B$868,K$4,'Policy Assignments'!$E$5:$E$868,"Core")&gt;0,"R",IF(COUNTIFS('Policy Assignments'!$C$5:$C$868,$A86,'Policy Assignments'!$B$5:$B$868,K$4,'Policy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L86" s="94" t="str">
        <x:f>IF(COUNTIFS('Policy Assignments'!$C$5:$C$868,$A86,'Policy Assignments'!$B$5:$B$868,L$4,'Policy Assignments'!$E$5:$E$868,"Hold")&gt;0,"H",IF(COUNTIFS('Policy Assignments'!$C$5:$C$868,$A86,'Policy Assignments'!$B$5:$B$868,L$4,'Policy Assignments'!$E$5:$E$868,"Core")&gt;0,"R",IF(COUNTIFS('Policy Assignments'!$C$5:$C$868,$A86,'Policy Assignments'!$B$5:$B$868,L$4,'Policy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M86" s="94" t="str">
        <x:f>IF(COUNTIFS('Policy Assignments'!$C$5:$C$868,$A86,'Policy Assignments'!$B$5:$B$868,M$4,'Policy Assignments'!$E$5:$E$868,"Hold")&gt;0,"H",IF(COUNTIFS('Policy Assignments'!$C$5:$C$868,$A86,'Policy Assignments'!$B$5:$B$868,M$4,'Policy Assignments'!$E$5:$E$868,"Core")&gt;0,"R",IF(COUNTIFS('Policy Assignments'!$C$5:$C$868,$A86,'Policy Assignments'!$B$5:$B$868,M$4,'Policy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N86" s="94" t="str">
        <x:f>IF(COUNTIFS('Policy Assignments'!$C$5:$C$868,$A86,'Policy Assignments'!$B$5:$B$868,N$4,'Policy Assignments'!$E$5:$E$868,"Hold")&gt;0,"H",IF(COUNTIFS('Policy Assignments'!$C$5:$C$868,$A86,'Policy Assignments'!$B$5:$B$868,N$4,'Policy Assignments'!$E$5:$E$868,"Core")&gt;0,"R",IF(COUNTIFS('Policy Assignments'!$C$5:$C$868,$A86,'Policy Assignments'!$B$5:$B$868,N$4,'Policy Assignments'!$E$5:$E$868,"Conditional")&gt;0,"C",IF(COUNTIFS('Policy Assignments'!$C$5:$C$868,$A86,'Policy Assignments'!$B$5:$B$868,"General",'Policy Assignments'!$E$5:$E$868,"Hold")&gt;0,"H",IF(COUNTIFS('Policy Assignments'!$C$5:$C$868,$A86,'Policy Assignments'!$B$5:$B$868,"General",'Policy Assignments'!$E$5:$E$868,"Conditional")&gt;0,"C",IF(COUNTIFS('Policy Assignments'!$C$5:$C$868,$A86,'Policy Assignments'!$B$5:$B$868,"General")&gt;0,"G",""))))))</x:f>
        <x:v>G</x:v>
      </x:c>
      <x:c r="O86" s="94" t="str">
        <x:f>IF(COUNTIFS('Policy Assignments'!$C$5:$C$868,$A86,'Policy Assignments'!$B$5:$B$868,O$4,'Policy Assignments'!$E$5:$E$868,"Hold")&gt;0,"H",IF(COUNTIFS('Policy Assignments'!$C$5:$C$868,$A86,'Policy Assignments'!$B$5:$B$868,O$4,'Policy Assignments'!$E$5:$E$868,"Core")&gt;0,"R",IF(COUNTIFS('Policy Assignments'!$C$5:$C$868,$A86,'Policy Assignments'!$B$5:$B$868,O$4,'Policy Assignments'!$E$5:$E$868,"Conditional")&gt;0,"C","")))</x:f>
        <x:v>R</x:v>
      </x:c>
      <x:c r="P86" s="90" t="str">
        <x:v>Mapped</x:v>
      </x:c>
    </x:row>
    <x:row r="87" ht="22" customHeight="1">
      <x:c r="A87" s="90" t="str">
        <x:v>CO-DC-001</x:v>
      </x:c>
      <x:c r="B87" s="90" t="str">
        <x:v>Assessment Audit Trail and Data Integrity</x:v>
      </x:c>
      <x:c r="C87" s="94" t="str">
        <x:f>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D87" s="94" t="str">
        <x:f>IF(COUNTIFS('Policy Assignments'!$C$5:$C$868,$A87,'Policy Assignments'!$B$5:$B$868,D$4,'Policy Assignments'!$E$5:$E$868,"Hold")&gt;0,"H",IF(COUNTIFS('Policy Assignments'!$C$5:$C$868,$A87,'Policy Assignments'!$B$5:$B$868,D$4,'Policy Assignments'!$E$5:$E$868,"Core")&gt;0,"R",IF(COUNTIFS('Policy Assignments'!$C$5:$C$868,$A87,'Policy Assignments'!$B$5:$B$868,D$4,'Policy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E87" s="94" t="str">
        <x:f>IF(COUNTIFS('Policy Assignments'!$C$5:$C$868,$A87,'Policy Assignments'!$B$5:$B$868,E$4,'Policy Assignments'!$E$5:$E$868,"Hold")&gt;0,"H",IF(COUNTIFS('Policy Assignments'!$C$5:$C$868,$A87,'Policy Assignments'!$B$5:$B$868,E$4,'Policy Assignments'!$E$5:$E$868,"Core")&gt;0,"R",IF(COUNTIFS('Policy Assignments'!$C$5:$C$868,$A87,'Policy Assignments'!$B$5:$B$868,E$4,'Policy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v>R</x:v>
      </x:c>
      <x:c r="F87" s="94" t="str">
        <x:f>IF(COUNTIFS('Policy Assignments'!$C$5:$C$868,$A87,'Policy Assignments'!$B$5:$B$868,F$4,'Policy Assignments'!$E$5:$E$868,"Hold")&gt;0,"H",IF(COUNTIFS('Policy Assignments'!$C$5:$C$868,$A87,'Policy Assignments'!$B$5:$B$868,F$4,'Policy Assignments'!$E$5:$E$868,"Core")&gt;0,"R",IF(COUNTIFS('Policy Assignments'!$C$5:$C$868,$A87,'Policy Assignments'!$B$5:$B$868,F$4,'Policy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G87" s="94" t="str">
        <x:f>IF(COUNTIFS('Policy Assignments'!$C$5:$C$868,$A87,'Policy Assignments'!$B$5:$B$868,G$4,'Policy Assignments'!$E$5:$E$868,"Hold")&gt;0,"H",IF(COUNTIFS('Policy Assignments'!$C$5:$C$868,$A87,'Policy Assignments'!$B$5:$B$868,G$4,'Policy Assignments'!$E$5:$E$868,"Core")&gt;0,"R",IF(COUNTIFS('Policy Assignments'!$C$5:$C$868,$A87,'Policy Assignments'!$B$5:$B$868,G$4,'Policy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H87" s="94" t="str">
        <x:f>IF(COUNTIFS('Policy Assignments'!$C$5:$C$868,$A87,'Policy Assignments'!$B$5:$B$868,H$4,'Policy Assignments'!$E$5:$E$868,"Hold")&gt;0,"H",IF(COUNTIFS('Policy Assignments'!$C$5:$C$868,$A87,'Policy Assignments'!$B$5:$B$868,H$4,'Policy Assignments'!$E$5:$E$868,"Core")&gt;0,"R",IF(COUNTIFS('Policy Assignments'!$C$5:$C$868,$A87,'Policy Assignments'!$B$5:$B$868,H$4,'Policy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I87" s="94" t="str">
        <x:f>IF(COUNTIFS('Policy Assignments'!$C$5:$C$868,$A87,'Policy Assignments'!$B$5:$B$868,I$4,'Policy Assignments'!$E$5:$E$868,"Hold")&gt;0,"H",IF(COUNTIFS('Policy Assignments'!$C$5:$C$868,$A87,'Policy Assignments'!$B$5:$B$868,I$4,'Policy Assignments'!$E$5:$E$868,"Core")&gt;0,"R",IF(COUNTIFS('Policy Assignments'!$C$5:$C$868,$A87,'Policy Assignments'!$B$5:$B$868,I$4,'Policy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J87" s="94" t="str">
        <x:f>IF(COUNTIFS('Policy Assignments'!$C$5:$C$868,$A87,'Policy Assignments'!$B$5:$B$868,J$4,'Policy Assignments'!$E$5:$E$868,"Hold")&gt;0,"H",IF(COUNTIFS('Policy Assignments'!$C$5:$C$868,$A87,'Policy Assignments'!$B$5:$B$868,J$4,'Policy Assignments'!$E$5:$E$868,"Core")&gt;0,"R",IF(COUNTIFS('Policy Assignments'!$C$5:$C$868,$A87,'Policy Assignments'!$B$5:$B$868,J$4,'Policy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K87" s="94" t="str">
        <x:f>IF(COUNTIFS('Policy Assignments'!$C$5:$C$868,$A87,'Policy Assignments'!$B$5:$B$868,K$4,'Policy Assignments'!$E$5:$E$868,"Hold")&gt;0,"H",IF(COUNTIFS('Policy Assignments'!$C$5:$C$868,$A87,'Policy Assignments'!$B$5:$B$868,K$4,'Policy Assignments'!$E$5:$E$868,"Core")&gt;0,"R",IF(COUNTIFS('Policy Assignments'!$C$5:$C$868,$A87,'Policy Assignments'!$B$5:$B$868,K$4,'Policy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L87" s="94" t="str">
        <x:f>IF(COUNTIFS('Policy Assignments'!$C$5:$C$868,$A87,'Policy Assignments'!$B$5:$B$868,L$4,'Policy Assignments'!$E$5:$E$868,"Hold")&gt;0,"H",IF(COUNTIFS('Policy Assignments'!$C$5:$C$868,$A87,'Policy Assignments'!$B$5:$B$868,L$4,'Policy Assignments'!$E$5:$E$868,"Core")&gt;0,"R",IF(COUNTIFS('Policy Assignments'!$C$5:$C$868,$A87,'Policy Assignments'!$B$5:$B$868,L$4,'Policy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M87" s="94" t="str">
        <x:f>IF(COUNTIFS('Policy Assignments'!$C$5:$C$868,$A87,'Policy Assignments'!$B$5:$B$868,M$4,'Policy Assignments'!$E$5:$E$868,"Hold")&gt;0,"H",IF(COUNTIFS('Policy Assignments'!$C$5:$C$868,$A87,'Policy Assignments'!$B$5:$B$868,M$4,'Policy Assignments'!$E$5:$E$868,"Core")&gt;0,"R",IF(COUNTIFS('Policy Assignments'!$C$5:$C$868,$A87,'Policy Assignments'!$B$5:$B$868,M$4,'Policy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c>
      <x:c r="N87" s="94" t="str">
        <x:f>IF(COUNTIFS('Policy Assignments'!$C$5:$C$868,$A87,'Policy Assignments'!$B$5:$B$868,N$4,'Policy Assignments'!$E$5:$E$868,"Hold")&gt;0,"H",IF(COUNTIFS('Policy Assignments'!$C$5:$C$868,$A87,'Policy Assignments'!$B$5:$B$868,N$4,'Policy Assignments'!$E$5:$E$868,"Core")&gt;0,"R",IF(COUNTIFS('Policy Assignments'!$C$5:$C$868,$A87,'Policy Assignments'!$B$5:$B$868,N$4,'Policy Assignments'!$E$5:$E$868,"Conditional")&gt;0,"C",IF(COUNTIFS('Policy Assignments'!$C$5:$C$868,$A87,'Policy Assignments'!$B$5:$B$868,"General",'Policy Assignments'!$E$5:$E$868,"Hold")&gt;0,"H",IF(COUNTIFS('Policy Assignments'!$C$5:$C$868,$A87,'Policy Assignments'!$B$5:$B$868,"General",'Policy Assignments'!$E$5:$E$868,"Conditional")&gt;0,"C",IF(COUNTIFS('Policy Assignments'!$C$5:$C$868,$A87,'Policy Assignments'!$B$5:$B$868,"General")&gt;0,"G",""))))))</x:f>
        <x:v>R</x:v>
      </x:c>
      <x:c r="O87" s="94" t="str">
        <x:f>IF(COUNTIFS('Policy Assignments'!$C$5:$C$868,$A87,'Policy Assignments'!$B$5:$B$868,O$4,'Policy Assignments'!$E$5:$E$868,"Hold")&gt;0,"H",IF(COUNTIFS('Policy Assignments'!$C$5:$C$868,$A87,'Policy Assignments'!$B$5:$B$868,O$4,'Policy Assignments'!$E$5:$E$868,"Core")&gt;0,"R",IF(COUNTIFS('Policy Assignments'!$C$5:$C$868,$A87,'Policy Assignments'!$B$5:$B$868,O$4,'Policy Assignments'!$E$5:$E$868,"Conditional")&gt;0,"C","")))</x:f>
      </x:c>
      <x:c r="P87" s="90" t="str">
        <x:v>Mapped</x:v>
      </x:c>
    </x:row>
    <x:row r="88" ht="22" customHeight="1">
      <x:c r="A88" s="90" t="str">
        <x:v>CO-DC-002</x:v>
      </x:c>
      <x:c r="B88" s="90" t="str">
        <x:v>Documentation Audit &amp; Monitoring Program</x:v>
      </x:c>
      <x:c r="C88" s="94" t="str">
        <x:f>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D88" s="94" t="str">
        <x:f>IF(COUNTIFS('Policy Assignments'!$C$5:$C$868,$A88,'Policy Assignments'!$B$5:$B$868,D$4,'Policy Assignments'!$E$5:$E$868,"Hold")&gt;0,"H",IF(COUNTIFS('Policy Assignments'!$C$5:$C$868,$A88,'Policy Assignments'!$B$5:$B$868,D$4,'Policy Assignments'!$E$5:$E$868,"Core")&gt;0,"R",IF(COUNTIFS('Policy Assignments'!$C$5:$C$868,$A88,'Policy Assignments'!$B$5:$B$868,D$4,'Policy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E88" s="94" t="str">
        <x:f>IF(COUNTIFS('Policy Assignments'!$C$5:$C$868,$A88,'Policy Assignments'!$B$5:$B$868,E$4,'Policy Assignments'!$E$5:$E$868,"Hold")&gt;0,"H",IF(COUNTIFS('Policy Assignments'!$C$5:$C$868,$A88,'Policy Assignments'!$B$5:$B$868,E$4,'Policy Assignments'!$E$5:$E$868,"Core")&gt;0,"R",IF(COUNTIFS('Policy Assignments'!$C$5:$C$868,$A88,'Policy Assignments'!$B$5:$B$868,E$4,'Policy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v>R</x:v>
      </x:c>
      <x:c r="F88" s="94" t="str">
        <x:f>IF(COUNTIFS('Policy Assignments'!$C$5:$C$868,$A88,'Policy Assignments'!$B$5:$B$868,F$4,'Policy Assignments'!$E$5:$E$868,"Hold")&gt;0,"H",IF(COUNTIFS('Policy Assignments'!$C$5:$C$868,$A88,'Policy Assignments'!$B$5:$B$868,F$4,'Policy Assignments'!$E$5:$E$868,"Core")&gt;0,"R",IF(COUNTIFS('Policy Assignments'!$C$5:$C$868,$A88,'Policy Assignments'!$B$5:$B$868,F$4,'Policy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G88" s="94" t="str">
        <x:f>IF(COUNTIFS('Policy Assignments'!$C$5:$C$868,$A88,'Policy Assignments'!$B$5:$B$868,G$4,'Policy Assignments'!$E$5:$E$868,"Hold")&gt;0,"H",IF(COUNTIFS('Policy Assignments'!$C$5:$C$868,$A88,'Policy Assignments'!$B$5:$B$868,G$4,'Policy Assignments'!$E$5:$E$868,"Core")&gt;0,"R",IF(COUNTIFS('Policy Assignments'!$C$5:$C$868,$A88,'Policy Assignments'!$B$5:$B$868,G$4,'Policy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H88" s="94" t="str">
        <x:f>IF(COUNTIFS('Policy Assignments'!$C$5:$C$868,$A88,'Policy Assignments'!$B$5:$B$868,H$4,'Policy Assignments'!$E$5:$E$868,"Hold")&gt;0,"H",IF(COUNTIFS('Policy Assignments'!$C$5:$C$868,$A88,'Policy Assignments'!$B$5:$B$868,H$4,'Policy Assignments'!$E$5:$E$868,"Core")&gt;0,"R",IF(COUNTIFS('Policy Assignments'!$C$5:$C$868,$A88,'Policy Assignments'!$B$5:$B$868,H$4,'Policy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I88" s="94" t="str">
        <x:f>IF(COUNTIFS('Policy Assignments'!$C$5:$C$868,$A88,'Policy Assignments'!$B$5:$B$868,I$4,'Policy Assignments'!$E$5:$E$868,"Hold")&gt;0,"H",IF(COUNTIFS('Policy Assignments'!$C$5:$C$868,$A88,'Policy Assignments'!$B$5:$B$868,I$4,'Policy Assignments'!$E$5:$E$868,"Core")&gt;0,"R",IF(COUNTIFS('Policy Assignments'!$C$5:$C$868,$A88,'Policy Assignments'!$B$5:$B$868,I$4,'Policy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J88" s="94" t="str">
        <x:f>IF(COUNTIFS('Policy Assignments'!$C$5:$C$868,$A88,'Policy Assignments'!$B$5:$B$868,J$4,'Policy Assignments'!$E$5:$E$868,"Hold")&gt;0,"H",IF(COUNTIFS('Policy Assignments'!$C$5:$C$868,$A88,'Policy Assignments'!$B$5:$B$868,J$4,'Policy Assignments'!$E$5:$E$868,"Core")&gt;0,"R",IF(COUNTIFS('Policy Assignments'!$C$5:$C$868,$A88,'Policy Assignments'!$B$5:$B$868,J$4,'Policy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K88" s="94" t="str">
        <x:f>IF(COUNTIFS('Policy Assignments'!$C$5:$C$868,$A88,'Policy Assignments'!$B$5:$B$868,K$4,'Policy Assignments'!$E$5:$E$868,"Hold")&gt;0,"H",IF(COUNTIFS('Policy Assignments'!$C$5:$C$868,$A88,'Policy Assignments'!$B$5:$B$868,K$4,'Policy Assignments'!$E$5:$E$868,"Core")&gt;0,"R",IF(COUNTIFS('Policy Assignments'!$C$5:$C$868,$A88,'Policy Assignments'!$B$5:$B$868,K$4,'Policy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L88" s="94" t="str">
        <x:f>IF(COUNTIFS('Policy Assignments'!$C$5:$C$868,$A88,'Policy Assignments'!$B$5:$B$868,L$4,'Policy Assignments'!$E$5:$E$868,"Hold")&gt;0,"H",IF(COUNTIFS('Policy Assignments'!$C$5:$C$868,$A88,'Policy Assignments'!$B$5:$B$868,L$4,'Policy Assignments'!$E$5:$E$868,"Core")&gt;0,"R",IF(COUNTIFS('Policy Assignments'!$C$5:$C$868,$A88,'Policy Assignments'!$B$5:$B$868,L$4,'Policy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M88" s="94" t="str">
        <x:f>IF(COUNTIFS('Policy Assignments'!$C$5:$C$868,$A88,'Policy Assignments'!$B$5:$B$868,M$4,'Policy Assignments'!$E$5:$E$868,"Hold")&gt;0,"H",IF(COUNTIFS('Policy Assignments'!$C$5:$C$868,$A88,'Policy Assignments'!$B$5:$B$868,M$4,'Policy Assignments'!$E$5:$E$868,"Core")&gt;0,"R",IF(COUNTIFS('Policy Assignments'!$C$5:$C$868,$A88,'Policy Assignments'!$B$5:$B$868,M$4,'Policy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c>
      <x:c r="N88" s="94" t="str">
        <x:f>IF(COUNTIFS('Policy Assignments'!$C$5:$C$868,$A88,'Policy Assignments'!$B$5:$B$868,N$4,'Policy Assignments'!$E$5:$E$868,"Hold")&gt;0,"H",IF(COUNTIFS('Policy Assignments'!$C$5:$C$868,$A88,'Policy Assignments'!$B$5:$B$868,N$4,'Policy Assignments'!$E$5:$E$868,"Core")&gt;0,"R",IF(COUNTIFS('Policy Assignments'!$C$5:$C$868,$A88,'Policy Assignments'!$B$5:$B$868,N$4,'Policy Assignments'!$E$5:$E$868,"Conditional")&gt;0,"C",IF(COUNTIFS('Policy Assignments'!$C$5:$C$868,$A88,'Policy Assignments'!$B$5:$B$868,"General",'Policy Assignments'!$E$5:$E$868,"Hold")&gt;0,"H",IF(COUNTIFS('Policy Assignments'!$C$5:$C$868,$A88,'Policy Assignments'!$B$5:$B$868,"General",'Policy Assignments'!$E$5:$E$868,"Conditional")&gt;0,"C",IF(COUNTIFS('Policy Assignments'!$C$5:$C$868,$A88,'Policy Assignments'!$B$5:$B$868,"General")&gt;0,"G",""))))))</x:f>
        <x:v>R</x:v>
      </x:c>
      <x:c r="O88" s="94" t="str">
        <x:f>IF(COUNTIFS('Policy Assignments'!$C$5:$C$868,$A88,'Policy Assignments'!$B$5:$B$868,O$4,'Policy Assignments'!$E$5:$E$868,"Hold")&gt;0,"H",IF(COUNTIFS('Policy Assignments'!$C$5:$C$868,$A88,'Policy Assignments'!$B$5:$B$868,O$4,'Policy Assignments'!$E$5:$E$868,"Core")&gt;0,"R",IF(COUNTIFS('Policy Assignments'!$C$5:$C$868,$A88,'Policy Assignments'!$B$5:$B$868,O$4,'Policy Assignments'!$E$5:$E$868,"Conditional")&gt;0,"C","")))</x:f>
      </x:c>
      <x:c r="P88" s="90" t="str">
        <x:v>Mapped</x:v>
      </x:c>
    </x:row>
    <x:row r="89" ht="22" customHeight="1">
      <x:c r="A89" s="90" t="str">
        <x:v>CO-DC-003</x:v>
      </x:c>
      <x:c r="B89" s="90" t="str">
        <x:v>Late Entry, Correction &amp; Amendment Standards</x:v>
      </x:c>
      <x:c r="C89" s="94" t="str">
        <x:f>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c>
      <x:c r="D89" s="94" t="str">
        <x:f>IF(COUNTIFS('Policy Assignments'!$C$5:$C$868,$A89,'Policy Assignments'!$B$5:$B$868,D$4,'Policy Assignments'!$E$5:$E$868,"Hold")&gt;0,"H",IF(COUNTIFS('Policy Assignments'!$C$5:$C$868,$A89,'Policy Assignments'!$B$5:$B$868,D$4,'Policy Assignments'!$E$5:$E$868,"Core")&gt;0,"R",IF(COUNTIFS('Policy Assignments'!$C$5:$C$868,$A89,'Policy Assignments'!$B$5:$B$868,D$4,'Policy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E89" s="94" t="str">
        <x:f>IF(COUNTIFS('Policy Assignments'!$C$5:$C$868,$A89,'Policy Assignments'!$B$5:$B$868,E$4,'Policy Assignments'!$E$5:$E$868,"Hold")&gt;0,"H",IF(COUNTIFS('Policy Assignments'!$C$5:$C$868,$A89,'Policy Assignments'!$B$5:$B$868,E$4,'Policy Assignments'!$E$5:$E$868,"Core")&gt;0,"R",IF(COUNTIFS('Policy Assignments'!$C$5:$C$868,$A89,'Policy Assignments'!$B$5:$B$868,E$4,'Policy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F89" s="94" t="str">
        <x:f>IF(COUNTIFS('Policy Assignments'!$C$5:$C$868,$A89,'Policy Assignments'!$B$5:$B$868,F$4,'Policy Assignments'!$E$5:$E$868,"Hold")&gt;0,"H",IF(COUNTIFS('Policy Assignments'!$C$5:$C$868,$A89,'Policy Assignments'!$B$5:$B$868,F$4,'Policy Assignments'!$E$5:$E$868,"Core")&gt;0,"R",IF(COUNTIFS('Policy Assignments'!$C$5:$C$868,$A89,'Policy Assignments'!$B$5:$B$868,F$4,'Policy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c>
      <x:c r="G89" s="94" t="str">
        <x:f>IF(COUNTIFS('Policy Assignments'!$C$5:$C$868,$A89,'Policy Assignments'!$B$5:$B$868,G$4,'Policy Assignments'!$E$5:$E$868,"Hold")&gt;0,"H",IF(COUNTIFS('Policy Assignments'!$C$5:$C$868,$A89,'Policy Assignments'!$B$5:$B$868,G$4,'Policy Assignments'!$E$5:$E$868,"Core")&gt;0,"R",IF(COUNTIFS('Policy Assignments'!$C$5:$C$868,$A89,'Policy Assignments'!$B$5:$B$868,G$4,'Policy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H89" s="94" t="str">
        <x:f>IF(COUNTIFS('Policy Assignments'!$C$5:$C$868,$A89,'Policy Assignments'!$B$5:$B$868,H$4,'Policy Assignments'!$E$5:$E$868,"Hold")&gt;0,"H",IF(COUNTIFS('Policy Assignments'!$C$5:$C$868,$A89,'Policy Assignments'!$B$5:$B$868,H$4,'Policy Assignments'!$E$5:$E$868,"Core")&gt;0,"R",IF(COUNTIFS('Policy Assignments'!$C$5:$C$868,$A89,'Policy Assignments'!$B$5:$B$868,H$4,'Policy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I89" s="94" t="str">
        <x:f>IF(COUNTIFS('Policy Assignments'!$C$5:$C$868,$A89,'Policy Assignments'!$B$5:$B$868,I$4,'Policy Assignments'!$E$5:$E$868,"Hold")&gt;0,"H",IF(COUNTIFS('Policy Assignments'!$C$5:$C$868,$A89,'Policy Assignments'!$B$5:$B$868,I$4,'Policy Assignments'!$E$5:$E$868,"Core")&gt;0,"R",IF(COUNTIFS('Policy Assignments'!$C$5:$C$868,$A89,'Policy Assignments'!$B$5:$B$868,I$4,'Policy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J89" s="94" t="str">
        <x:f>IF(COUNTIFS('Policy Assignments'!$C$5:$C$868,$A89,'Policy Assignments'!$B$5:$B$868,J$4,'Policy Assignments'!$E$5:$E$868,"Hold")&gt;0,"H",IF(COUNTIFS('Policy Assignments'!$C$5:$C$868,$A89,'Policy Assignments'!$B$5:$B$868,J$4,'Policy Assignments'!$E$5:$E$868,"Core")&gt;0,"R",IF(COUNTIFS('Policy Assignments'!$C$5:$C$868,$A89,'Policy Assignments'!$B$5:$B$868,J$4,'Policy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K89" s="94" t="str">
        <x:f>IF(COUNTIFS('Policy Assignments'!$C$5:$C$868,$A89,'Policy Assignments'!$B$5:$B$868,K$4,'Policy Assignments'!$E$5:$E$868,"Hold")&gt;0,"H",IF(COUNTIFS('Policy Assignments'!$C$5:$C$868,$A89,'Policy Assignments'!$B$5:$B$868,K$4,'Policy Assignments'!$E$5:$E$868,"Core")&gt;0,"R",IF(COUNTIFS('Policy Assignments'!$C$5:$C$868,$A89,'Policy Assignments'!$B$5:$B$868,K$4,'Policy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L89" s="94" t="str">
        <x:f>IF(COUNTIFS('Policy Assignments'!$C$5:$C$868,$A89,'Policy Assignments'!$B$5:$B$868,L$4,'Policy Assignments'!$E$5:$E$868,"Hold")&gt;0,"H",IF(COUNTIFS('Policy Assignments'!$C$5:$C$868,$A89,'Policy Assignments'!$B$5:$B$868,L$4,'Policy Assignments'!$E$5:$E$868,"Core")&gt;0,"R",IF(COUNTIFS('Policy Assignments'!$C$5:$C$868,$A89,'Policy Assignments'!$B$5:$B$868,L$4,'Policy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M89" s="94" t="str">
        <x:f>IF(COUNTIFS('Policy Assignments'!$C$5:$C$868,$A89,'Policy Assignments'!$B$5:$B$868,M$4,'Policy Assignments'!$E$5:$E$868,"Hold")&gt;0,"H",IF(COUNTIFS('Policy Assignments'!$C$5:$C$868,$A89,'Policy Assignments'!$B$5:$B$868,M$4,'Policy Assignments'!$E$5:$E$868,"Core")&gt;0,"R",IF(COUNTIFS('Policy Assignments'!$C$5:$C$868,$A89,'Policy Assignments'!$B$5:$B$868,M$4,'Policy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c>
      <x:c r="N89" s="94" t="str">
        <x:f>IF(COUNTIFS('Policy Assignments'!$C$5:$C$868,$A89,'Policy Assignments'!$B$5:$B$868,N$4,'Policy Assignments'!$E$5:$E$868,"Hold")&gt;0,"H",IF(COUNTIFS('Policy Assignments'!$C$5:$C$868,$A89,'Policy Assignments'!$B$5:$B$868,N$4,'Policy Assignments'!$E$5:$E$868,"Core")&gt;0,"R",IF(COUNTIFS('Policy Assignments'!$C$5:$C$868,$A89,'Policy Assignments'!$B$5:$B$868,N$4,'Policy Assignments'!$E$5:$E$868,"Conditional")&gt;0,"C",IF(COUNTIFS('Policy Assignments'!$C$5:$C$868,$A89,'Policy Assignments'!$B$5:$B$868,"General",'Policy Assignments'!$E$5:$E$868,"Hold")&gt;0,"H",IF(COUNTIFS('Policy Assignments'!$C$5:$C$868,$A89,'Policy Assignments'!$B$5:$B$868,"General",'Policy Assignments'!$E$5:$E$868,"Conditional")&gt;0,"C",IF(COUNTIFS('Policy Assignments'!$C$5:$C$868,$A89,'Policy Assignments'!$B$5:$B$868,"General")&gt;0,"G",""))))))</x:f>
        <x:v>R</x:v>
      </x:c>
      <x:c r="O89" s="94" t="str">
        <x:f>IF(COUNTIFS('Policy Assignments'!$C$5:$C$868,$A89,'Policy Assignments'!$B$5:$B$868,O$4,'Policy Assignments'!$E$5:$E$868,"Hold")&gt;0,"H",IF(COUNTIFS('Policy Assignments'!$C$5:$C$868,$A89,'Policy Assignments'!$B$5:$B$868,O$4,'Policy Assignments'!$E$5:$E$868,"Core")&gt;0,"R",IF(COUNTIFS('Policy Assignments'!$C$5:$C$868,$A89,'Policy Assignments'!$B$5:$B$868,O$4,'Policy Assignments'!$E$5:$E$868,"Conditional")&gt;0,"C","")))</x:f>
      </x:c>
      <x:c r="P89" s="90" t="str">
        <x:v>Mapped</x:v>
      </x:c>
    </x:row>
    <x:row r="90" ht="22" customHeight="1">
      <x:c r="A90" s="90" t="str">
        <x:v>CO-DC-004</x:v>
      </x:c>
      <x:c r="B90" s="90" t="str">
        <x:v>Clinical, Documentation, and Billing Alignment Audit</x:v>
      </x:c>
      <x:c r="C90" s="94" t="str">
        <x:f>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D90" s="94" t="str">
        <x:f>IF(COUNTIFS('Policy Assignments'!$C$5:$C$868,$A90,'Policy Assignments'!$B$5:$B$868,D$4,'Policy Assignments'!$E$5:$E$868,"Hold")&gt;0,"H",IF(COUNTIFS('Policy Assignments'!$C$5:$C$868,$A90,'Policy Assignments'!$B$5:$B$868,D$4,'Policy Assignments'!$E$5:$E$868,"Core")&gt;0,"R",IF(COUNTIFS('Policy Assignments'!$C$5:$C$868,$A90,'Policy Assignments'!$B$5:$B$868,D$4,'Policy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E90" s="94" t="str">
        <x:f>IF(COUNTIFS('Policy Assignments'!$C$5:$C$868,$A90,'Policy Assignments'!$B$5:$B$868,E$4,'Policy Assignments'!$E$5:$E$868,"Hold")&gt;0,"H",IF(COUNTIFS('Policy Assignments'!$C$5:$C$868,$A90,'Policy Assignments'!$B$5:$B$868,E$4,'Policy Assignments'!$E$5:$E$868,"Core")&gt;0,"R",IF(COUNTIFS('Policy Assignments'!$C$5:$C$868,$A90,'Policy Assignments'!$B$5:$B$868,E$4,'Policy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v>R</x:v>
      </x:c>
      <x:c r="F90" s="94" t="str">
        <x:f>IF(COUNTIFS('Policy Assignments'!$C$5:$C$868,$A90,'Policy Assignments'!$B$5:$B$868,F$4,'Policy Assignments'!$E$5:$E$868,"Hold")&gt;0,"H",IF(COUNTIFS('Policy Assignments'!$C$5:$C$868,$A90,'Policy Assignments'!$B$5:$B$868,F$4,'Policy Assignments'!$E$5:$E$868,"Core")&gt;0,"R",IF(COUNTIFS('Policy Assignments'!$C$5:$C$868,$A90,'Policy Assignments'!$B$5:$B$868,F$4,'Policy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G90" s="94" t="str">
        <x:f>IF(COUNTIFS('Policy Assignments'!$C$5:$C$868,$A90,'Policy Assignments'!$B$5:$B$868,G$4,'Policy Assignments'!$E$5:$E$868,"Hold")&gt;0,"H",IF(COUNTIFS('Policy Assignments'!$C$5:$C$868,$A90,'Policy Assignments'!$B$5:$B$868,G$4,'Policy Assignments'!$E$5:$E$868,"Core")&gt;0,"R",IF(COUNTIFS('Policy Assignments'!$C$5:$C$868,$A90,'Policy Assignments'!$B$5:$B$868,G$4,'Policy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H90" s="94" t="str">
        <x:f>IF(COUNTIFS('Policy Assignments'!$C$5:$C$868,$A90,'Policy Assignments'!$B$5:$B$868,H$4,'Policy Assignments'!$E$5:$E$868,"Hold")&gt;0,"H",IF(COUNTIFS('Policy Assignments'!$C$5:$C$868,$A90,'Policy Assignments'!$B$5:$B$868,H$4,'Policy Assignments'!$E$5:$E$868,"Core")&gt;0,"R",IF(COUNTIFS('Policy Assignments'!$C$5:$C$868,$A90,'Policy Assignments'!$B$5:$B$868,H$4,'Policy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I90" s="94" t="str">
        <x:f>IF(COUNTIFS('Policy Assignments'!$C$5:$C$868,$A90,'Policy Assignments'!$B$5:$B$868,I$4,'Policy Assignments'!$E$5:$E$868,"Hold")&gt;0,"H",IF(COUNTIFS('Policy Assignments'!$C$5:$C$868,$A90,'Policy Assignments'!$B$5:$B$868,I$4,'Policy Assignments'!$E$5:$E$868,"Core")&gt;0,"R",IF(COUNTIFS('Policy Assignments'!$C$5:$C$868,$A90,'Policy Assignments'!$B$5:$B$868,I$4,'Policy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J90" s="94" t="str">
        <x:f>IF(COUNTIFS('Policy Assignments'!$C$5:$C$868,$A90,'Policy Assignments'!$B$5:$B$868,J$4,'Policy Assignments'!$E$5:$E$868,"Hold")&gt;0,"H",IF(COUNTIFS('Policy Assignments'!$C$5:$C$868,$A90,'Policy Assignments'!$B$5:$B$868,J$4,'Policy Assignments'!$E$5:$E$868,"Core")&gt;0,"R",IF(COUNTIFS('Policy Assignments'!$C$5:$C$868,$A90,'Policy Assignments'!$B$5:$B$868,J$4,'Policy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K90" s="94" t="str">
        <x:f>IF(COUNTIFS('Policy Assignments'!$C$5:$C$868,$A90,'Policy Assignments'!$B$5:$B$868,K$4,'Policy Assignments'!$E$5:$E$868,"Hold")&gt;0,"H",IF(COUNTIFS('Policy Assignments'!$C$5:$C$868,$A90,'Policy Assignments'!$B$5:$B$868,K$4,'Policy Assignments'!$E$5:$E$868,"Core")&gt;0,"R",IF(COUNTIFS('Policy Assignments'!$C$5:$C$868,$A90,'Policy Assignments'!$B$5:$B$868,K$4,'Policy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L90" s="94" t="str">
        <x:f>IF(COUNTIFS('Policy Assignments'!$C$5:$C$868,$A90,'Policy Assignments'!$B$5:$B$868,L$4,'Policy Assignments'!$E$5:$E$868,"Hold")&gt;0,"H",IF(COUNTIFS('Policy Assignments'!$C$5:$C$868,$A90,'Policy Assignments'!$B$5:$B$868,L$4,'Policy Assignments'!$E$5:$E$868,"Core")&gt;0,"R",IF(COUNTIFS('Policy Assignments'!$C$5:$C$868,$A90,'Policy Assignments'!$B$5:$B$868,L$4,'Policy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M90" s="94" t="str">
        <x:f>IF(COUNTIFS('Policy Assignments'!$C$5:$C$868,$A90,'Policy Assignments'!$B$5:$B$868,M$4,'Policy Assignments'!$E$5:$E$868,"Hold")&gt;0,"H",IF(COUNTIFS('Policy Assignments'!$C$5:$C$868,$A90,'Policy Assignments'!$B$5:$B$868,M$4,'Policy Assignments'!$E$5:$E$868,"Core")&gt;0,"R",IF(COUNTIFS('Policy Assignments'!$C$5:$C$868,$A90,'Policy Assignments'!$B$5:$B$868,M$4,'Policy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c>
      <x:c r="N90" s="94" t="str">
        <x:f>IF(COUNTIFS('Policy Assignments'!$C$5:$C$868,$A90,'Policy Assignments'!$B$5:$B$868,N$4,'Policy Assignments'!$E$5:$E$868,"Hold")&gt;0,"H",IF(COUNTIFS('Policy Assignments'!$C$5:$C$868,$A90,'Policy Assignments'!$B$5:$B$868,N$4,'Policy Assignments'!$E$5:$E$868,"Core")&gt;0,"R",IF(COUNTIFS('Policy Assignments'!$C$5:$C$868,$A90,'Policy Assignments'!$B$5:$B$868,N$4,'Policy Assignments'!$E$5:$E$868,"Conditional")&gt;0,"C",IF(COUNTIFS('Policy Assignments'!$C$5:$C$868,$A90,'Policy Assignments'!$B$5:$B$868,"General",'Policy Assignments'!$E$5:$E$868,"Hold")&gt;0,"H",IF(COUNTIFS('Policy Assignments'!$C$5:$C$868,$A90,'Policy Assignments'!$B$5:$B$868,"General",'Policy Assignments'!$E$5:$E$868,"Conditional")&gt;0,"C",IF(COUNTIFS('Policy Assignments'!$C$5:$C$868,$A90,'Policy Assignments'!$B$5:$B$868,"General")&gt;0,"G",""))))))</x:f>
        <x:v>R</x:v>
      </x:c>
      <x:c r="O90" s="94" t="str">
        <x:f>IF(COUNTIFS('Policy Assignments'!$C$5:$C$868,$A90,'Policy Assignments'!$B$5:$B$868,O$4,'Policy Assignments'!$E$5:$E$868,"Hold")&gt;0,"H",IF(COUNTIFS('Policy Assignments'!$C$5:$C$868,$A90,'Policy Assignments'!$B$5:$B$868,O$4,'Policy Assignments'!$E$5:$E$868,"Core")&gt;0,"R",IF(COUNTIFS('Policy Assignments'!$C$5:$C$868,$A90,'Policy Assignments'!$B$5:$B$868,O$4,'Policy Assignments'!$E$5:$E$868,"Conditional")&gt;0,"C","")))</x:f>
      </x:c>
      <x:c r="P90" s="90" t="str">
        <x:v>Mapped</x:v>
      </x:c>
    </x:row>
    <x:row r="91" ht="22" customHeight="1">
      <x:c r="A91" s="90" t="str">
        <x:v>CO-DG-101</x:v>
      </x:c>
      <x:c r="B91" s="90" t="str">
        <x:v>Data Governance &amp; Minimum Necessary Enforcement</x:v>
      </x:c>
      <x:c r="C91" s="94" t="str">
        <x:f>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D91" s="94" t="str">
        <x:f>IF(COUNTIFS('Policy Assignments'!$C$5:$C$868,$A91,'Policy Assignments'!$B$5:$B$868,D$4,'Policy Assignments'!$E$5:$E$868,"Hold")&gt;0,"H",IF(COUNTIFS('Policy Assignments'!$C$5:$C$868,$A91,'Policy Assignments'!$B$5:$B$868,D$4,'Policy Assignments'!$E$5:$E$868,"Core")&gt;0,"R",IF(COUNTIFS('Policy Assignments'!$C$5:$C$868,$A91,'Policy Assignments'!$B$5:$B$868,D$4,'Policy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E91" s="94" t="str">
        <x:f>IF(COUNTIFS('Policy Assignments'!$C$5:$C$868,$A91,'Policy Assignments'!$B$5:$B$868,E$4,'Policy Assignments'!$E$5:$E$868,"Hold")&gt;0,"H",IF(COUNTIFS('Policy Assignments'!$C$5:$C$868,$A91,'Policy Assignments'!$B$5:$B$868,E$4,'Policy Assignments'!$E$5:$E$868,"Core")&gt;0,"R",IF(COUNTIFS('Policy Assignments'!$C$5:$C$868,$A91,'Policy Assignments'!$B$5:$B$868,E$4,'Policy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F91" s="94" t="str">
        <x:f>IF(COUNTIFS('Policy Assignments'!$C$5:$C$868,$A91,'Policy Assignments'!$B$5:$B$868,F$4,'Policy Assignments'!$E$5:$E$868,"Hold")&gt;0,"H",IF(COUNTIFS('Policy Assignments'!$C$5:$C$868,$A91,'Policy Assignments'!$B$5:$B$868,F$4,'Policy Assignments'!$E$5:$E$868,"Core")&gt;0,"R",IF(COUNTIFS('Policy Assignments'!$C$5:$C$868,$A91,'Policy Assignments'!$B$5:$B$868,F$4,'Policy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G91" s="94" t="str">
        <x:f>IF(COUNTIFS('Policy Assignments'!$C$5:$C$868,$A91,'Policy Assignments'!$B$5:$B$868,G$4,'Policy Assignments'!$E$5:$E$868,"Hold")&gt;0,"H",IF(COUNTIFS('Policy Assignments'!$C$5:$C$868,$A91,'Policy Assignments'!$B$5:$B$868,G$4,'Policy Assignments'!$E$5:$E$868,"Core")&gt;0,"R",IF(COUNTIFS('Policy Assignments'!$C$5:$C$868,$A91,'Policy Assignments'!$B$5:$B$868,G$4,'Policy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H91" s="94" t="str">
        <x:f>IF(COUNTIFS('Policy Assignments'!$C$5:$C$868,$A91,'Policy Assignments'!$B$5:$B$868,H$4,'Policy Assignments'!$E$5:$E$868,"Hold")&gt;0,"H",IF(COUNTIFS('Policy Assignments'!$C$5:$C$868,$A91,'Policy Assignments'!$B$5:$B$868,H$4,'Policy Assignments'!$E$5:$E$868,"Core")&gt;0,"R",IF(COUNTIFS('Policy Assignments'!$C$5:$C$868,$A91,'Policy Assignments'!$B$5:$B$868,H$4,'Policy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I91" s="94" t="str">
        <x:f>IF(COUNTIFS('Policy Assignments'!$C$5:$C$868,$A91,'Policy Assignments'!$B$5:$B$868,I$4,'Policy Assignments'!$E$5:$E$868,"Hold")&gt;0,"H",IF(COUNTIFS('Policy Assignments'!$C$5:$C$868,$A91,'Policy Assignments'!$B$5:$B$868,I$4,'Policy Assignments'!$E$5:$E$868,"Core")&gt;0,"R",IF(COUNTIFS('Policy Assignments'!$C$5:$C$868,$A91,'Policy Assignments'!$B$5:$B$868,I$4,'Policy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J91" s="94" t="str">
        <x:f>IF(COUNTIFS('Policy Assignments'!$C$5:$C$868,$A91,'Policy Assignments'!$B$5:$B$868,J$4,'Policy Assignments'!$E$5:$E$868,"Hold")&gt;0,"H",IF(COUNTIFS('Policy Assignments'!$C$5:$C$868,$A91,'Policy Assignments'!$B$5:$B$868,J$4,'Policy Assignments'!$E$5:$E$868,"Core")&gt;0,"R",IF(COUNTIFS('Policy Assignments'!$C$5:$C$868,$A91,'Policy Assignments'!$B$5:$B$868,J$4,'Policy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K91" s="94" t="str">
        <x:f>IF(COUNTIFS('Policy Assignments'!$C$5:$C$868,$A91,'Policy Assignments'!$B$5:$B$868,K$4,'Policy Assignments'!$E$5:$E$868,"Hold")&gt;0,"H",IF(COUNTIFS('Policy Assignments'!$C$5:$C$868,$A91,'Policy Assignments'!$B$5:$B$868,K$4,'Policy Assignments'!$E$5:$E$868,"Core")&gt;0,"R",IF(COUNTIFS('Policy Assignments'!$C$5:$C$868,$A91,'Policy Assignments'!$B$5:$B$868,K$4,'Policy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L91" s="94" t="str">
        <x:f>IF(COUNTIFS('Policy Assignments'!$C$5:$C$868,$A91,'Policy Assignments'!$B$5:$B$868,L$4,'Policy Assignments'!$E$5:$E$868,"Hold")&gt;0,"H",IF(COUNTIFS('Policy Assignments'!$C$5:$C$868,$A91,'Policy Assignments'!$B$5:$B$868,L$4,'Policy Assignments'!$E$5:$E$868,"Core")&gt;0,"R",IF(COUNTIFS('Policy Assignments'!$C$5:$C$868,$A91,'Policy Assignments'!$B$5:$B$868,L$4,'Policy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M91" s="94" t="str">
        <x:f>IF(COUNTIFS('Policy Assignments'!$C$5:$C$868,$A91,'Policy Assignments'!$B$5:$B$868,M$4,'Policy Assignments'!$E$5:$E$868,"Hold")&gt;0,"H",IF(COUNTIFS('Policy Assignments'!$C$5:$C$868,$A91,'Policy Assignments'!$B$5:$B$868,M$4,'Policy Assignments'!$E$5:$E$868,"Core")&gt;0,"R",IF(COUNTIFS('Policy Assignments'!$C$5:$C$868,$A91,'Policy Assignments'!$B$5:$B$868,M$4,'Policy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N91" s="94" t="str">
        <x:f>IF(COUNTIFS('Policy Assignments'!$C$5:$C$868,$A91,'Policy Assignments'!$B$5:$B$868,N$4,'Policy Assignments'!$E$5:$E$868,"Hold")&gt;0,"H",IF(COUNTIFS('Policy Assignments'!$C$5:$C$868,$A91,'Policy Assignments'!$B$5:$B$868,N$4,'Policy Assignments'!$E$5:$E$868,"Core")&gt;0,"R",IF(COUNTIFS('Policy Assignments'!$C$5:$C$868,$A91,'Policy Assignments'!$B$5:$B$868,N$4,'Policy Assignments'!$E$5:$E$868,"Conditional")&gt;0,"C",IF(COUNTIFS('Policy Assignments'!$C$5:$C$868,$A91,'Policy Assignments'!$B$5:$B$868,"General",'Policy Assignments'!$E$5:$E$868,"Hold")&gt;0,"H",IF(COUNTIFS('Policy Assignments'!$C$5:$C$868,$A91,'Policy Assignments'!$B$5:$B$868,"General",'Policy Assignments'!$E$5:$E$868,"Conditional")&gt;0,"C",IF(COUNTIFS('Policy Assignments'!$C$5:$C$868,$A91,'Policy Assignments'!$B$5:$B$868,"General")&gt;0,"G",""))))))</x:f>
        <x:v>G</x:v>
      </x:c>
      <x:c r="O91" s="94" t="str">
        <x:f>IF(COUNTIFS('Policy Assignments'!$C$5:$C$868,$A91,'Policy Assignments'!$B$5:$B$868,O$4,'Policy Assignments'!$E$5:$E$868,"Hold")&gt;0,"H",IF(COUNTIFS('Policy Assignments'!$C$5:$C$868,$A91,'Policy Assignments'!$B$5:$B$868,O$4,'Policy Assignments'!$E$5:$E$868,"Core")&gt;0,"R",IF(COUNTIFS('Policy Assignments'!$C$5:$C$868,$A91,'Policy Assignments'!$B$5:$B$868,O$4,'Policy Assignments'!$E$5:$E$868,"Conditional")&gt;0,"C","")))</x:f>
      </x:c>
      <x:c r="P91" s="90" t="str">
        <x:v>Mapped</x:v>
      </x:c>
    </x:row>
    <x:row r="92" ht="22" customHeight="1">
      <x:c r="A92" s="90" t="str">
        <x:v>CO-FA-001</x:v>
      </x:c>
      <x:c r="B92" s="90" t="str">
        <x:v>Anti-Kickback &amp; Stark Law Compliance</x:v>
      </x:c>
      <x:c r="C92" s="94" t="str">
        <x:f>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D92" s="94" t="str">
        <x:f>IF(COUNTIFS('Policy Assignments'!$C$5:$C$868,$A92,'Policy Assignments'!$B$5:$B$868,D$4,'Policy Assignments'!$E$5:$E$868,"Hold")&gt;0,"H",IF(COUNTIFS('Policy Assignments'!$C$5:$C$868,$A92,'Policy Assignments'!$B$5:$B$868,D$4,'Policy Assignments'!$E$5:$E$868,"Core")&gt;0,"R",IF(COUNTIFS('Policy Assignments'!$C$5:$C$868,$A92,'Policy Assignments'!$B$5:$B$868,D$4,'Policy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E92" s="94" t="str">
        <x:f>IF(COUNTIFS('Policy Assignments'!$C$5:$C$868,$A92,'Policy Assignments'!$B$5:$B$868,E$4,'Policy Assignments'!$E$5:$E$868,"Hold")&gt;0,"H",IF(COUNTIFS('Policy Assignments'!$C$5:$C$868,$A92,'Policy Assignments'!$B$5:$B$868,E$4,'Policy Assignments'!$E$5:$E$868,"Core")&gt;0,"R",IF(COUNTIFS('Policy Assignments'!$C$5:$C$868,$A92,'Policy Assignments'!$B$5:$B$868,E$4,'Policy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F92" s="94" t="str">
        <x:f>IF(COUNTIFS('Policy Assignments'!$C$5:$C$868,$A92,'Policy Assignments'!$B$5:$B$868,F$4,'Policy Assignments'!$E$5:$E$868,"Hold")&gt;0,"H",IF(COUNTIFS('Policy Assignments'!$C$5:$C$868,$A92,'Policy Assignments'!$B$5:$B$868,F$4,'Policy Assignments'!$E$5:$E$868,"Core")&gt;0,"R",IF(COUNTIFS('Policy Assignments'!$C$5:$C$868,$A92,'Policy Assignments'!$B$5:$B$868,F$4,'Policy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G92" s="94" t="str">
        <x:f>IF(COUNTIFS('Policy Assignments'!$C$5:$C$868,$A92,'Policy Assignments'!$B$5:$B$868,G$4,'Policy Assignments'!$E$5:$E$868,"Hold")&gt;0,"H",IF(COUNTIFS('Policy Assignments'!$C$5:$C$868,$A92,'Policy Assignments'!$B$5:$B$868,G$4,'Policy Assignments'!$E$5:$E$868,"Core")&gt;0,"R",IF(COUNTIFS('Policy Assignments'!$C$5:$C$868,$A92,'Policy Assignments'!$B$5:$B$868,G$4,'Policy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H92" s="94" t="str">
        <x:f>IF(COUNTIFS('Policy Assignments'!$C$5:$C$868,$A92,'Policy Assignments'!$B$5:$B$868,H$4,'Policy Assignments'!$E$5:$E$868,"Hold")&gt;0,"H",IF(COUNTIFS('Policy Assignments'!$C$5:$C$868,$A92,'Policy Assignments'!$B$5:$B$868,H$4,'Policy Assignments'!$E$5:$E$868,"Core")&gt;0,"R",IF(COUNTIFS('Policy Assignments'!$C$5:$C$868,$A92,'Policy Assignments'!$B$5:$B$868,H$4,'Policy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I92" s="94" t="str">
        <x:f>IF(COUNTIFS('Policy Assignments'!$C$5:$C$868,$A92,'Policy Assignments'!$B$5:$B$868,I$4,'Policy Assignments'!$E$5:$E$868,"Hold")&gt;0,"H",IF(COUNTIFS('Policy Assignments'!$C$5:$C$868,$A92,'Policy Assignments'!$B$5:$B$868,I$4,'Policy Assignments'!$E$5:$E$868,"Core")&gt;0,"R",IF(COUNTIFS('Policy Assignments'!$C$5:$C$868,$A92,'Policy Assignments'!$B$5:$B$868,I$4,'Policy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J92" s="94" t="str">
        <x:f>IF(COUNTIFS('Policy Assignments'!$C$5:$C$868,$A92,'Policy Assignments'!$B$5:$B$868,J$4,'Policy Assignments'!$E$5:$E$868,"Hold")&gt;0,"H",IF(COUNTIFS('Policy Assignments'!$C$5:$C$868,$A92,'Policy Assignments'!$B$5:$B$868,J$4,'Policy Assignments'!$E$5:$E$868,"Core")&gt;0,"R",IF(COUNTIFS('Policy Assignments'!$C$5:$C$868,$A92,'Policy Assignments'!$B$5:$B$868,J$4,'Policy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K92" s="94" t="str">
        <x:f>IF(COUNTIFS('Policy Assignments'!$C$5:$C$868,$A92,'Policy Assignments'!$B$5:$B$868,K$4,'Policy Assignments'!$E$5:$E$868,"Hold")&gt;0,"H",IF(COUNTIFS('Policy Assignments'!$C$5:$C$868,$A92,'Policy Assignments'!$B$5:$B$868,K$4,'Policy Assignments'!$E$5:$E$868,"Core")&gt;0,"R",IF(COUNTIFS('Policy Assignments'!$C$5:$C$868,$A92,'Policy Assignments'!$B$5:$B$868,K$4,'Policy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L92" s="94" t="str">
        <x:f>IF(COUNTIFS('Policy Assignments'!$C$5:$C$868,$A92,'Policy Assignments'!$B$5:$B$868,L$4,'Policy Assignments'!$E$5:$E$868,"Hold")&gt;0,"H",IF(COUNTIFS('Policy Assignments'!$C$5:$C$868,$A92,'Policy Assignments'!$B$5:$B$868,L$4,'Policy Assignments'!$E$5:$E$868,"Core")&gt;0,"R",IF(COUNTIFS('Policy Assignments'!$C$5:$C$868,$A92,'Policy Assignments'!$B$5:$B$868,L$4,'Policy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M92" s="94" t="str">
        <x:f>IF(COUNTIFS('Policy Assignments'!$C$5:$C$868,$A92,'Policy Assignments'!$B$5:$B$868,M$4,'Policy Assignments'!$E$5:$E$868,"Hold")&gt;0,"H",IF(COUNTIFS('Policy Assignments'!$C$5:$C$868,$A92,'Policy Assignments'!$B$5:$B$868,M$4,'Policy Assignments'!$E$5:$E$868,"Core")&gt;0,"R",IF(COUNTIFS('Policy Assignments'!$C$5:$C$868,$A92,'Policy Assignments'!$B$5:$B$868,M$4,'Policy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N92" s="94" t="str">
        <x:f>IF(COUNTIFS('Policy Assignments'!$C$5:$C$868,$A92,'Policy Assignments'!$B$5:$B$868,N$4,'Policy Assignments'!$E$5:$E$868,"Hold")&gt;0,"H",IF(COUNTIFS('Policy Assignments'!$C$5:$C$868,$A92,'Policy Assignments'!$B$5:$B$868,N$4,'Policy Assignments'!$E$5:$E$868,"Core")&gt;0,"R",IF(COUNTIFS('Policy Assignments'!$C$5:$C$868,$A92,'Policy Assignments'!$B$5:$B$868,N$4,'Policy Assignments'!$E$5:$E$868,"Conditional")&gt;0,"C",IF(COUNTIFS('Policy Assignments'!$C$5:$C$868,$A92,'Policy Assignments'!$B$5:$B$868,"General",'Policy Assignments'!$E$5:$E$868,"Hold")&gt;0,"H",IF(COUNTIFS('Policy Assignments'!$C$5:$C$868,$A92,'Policy Assignments'!$B$5:$B$868,"General",'Policy Assignments'!$E$5:$E$868,"Conditional")&gt;0,"C",IF(COUNTIFS('Policy Assignments'!$C$5:$C$868,$A92,'Policy Assignments'!$B$5:$B$868,"General")&gt;0,"G",""))))))</x:f>
        <x:v>G</x:v>
      </x:c>
      <x:c r="O92" s="94" t="str">
        <x:f>IF(COUNTIFS('Policy Assignments'!$C$5:$C$868,$A92,'Policy Assignments'!$B$5:$B$868,O$4,'Policy Assignments'!$E$5:$E$868,"Hold")&gt;0,"H",IF(COUNTIFS('Policy Assignments'!$C$5:$C$868,$A92,'Policy Assignments'!$B$5:$B$868,O$4,'Policy Assignments'!$E$5:$E$868,"Core")&gt;0,"R",IF(COUNTIFS('Policy Assignments'!$C$5:$C$868,$A92,'Policy Assignments'!$B$5:$B$868,O$4,'Policy Assignments'!$E$5:$E$868,"Conditional")&gt;0,"C","")))</x:f>
        <x:v>R</x:v>
      </x:c>
      <x:c r="P92" s="90" t="str">
        <x:v>Mapped</x:v>
      </x:c>
    </x:row>
    <x:row r="93" ht="22" customHeight="1">
      <x:c r="A93" s="90" t="str">
        <x:v>CO-FA-002</x:v>
      </x:c>
      <x:c r="B93" s="90" t="str">
        <x:v>False Claims Act Awareness &amp; Prevention</x:v>
      </x:c>
      <x:c r="C93" s="94" t="str">
        <x:f>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D93" s="94" t="str">
        <x:f>IF(COUNTIFS('Policy Assignments'!$C$5:$C$868,$A93,'Policy Assignments'!$B$5:$B$868,D$4,'Policy Assignments'!$E$5:$E$868,"Hold")&gt;0,"H",IF(COUNTIFS('Policy Assignments'!$C$5:$C$868,$A93,'Policy Assignments'!$B$5:$B$868,D$4,'Policy Assignments'!$E$5:$E$868,"Core")&gt;0,"R",IF(COUNTIFS('Policy Assignments'!$C$5:$C$868,$A93,'Policy Assignments'!$B$5:$B$868,D$4,'Policy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E93" s="94" t="str">
        <x:f>IF(COUNTIFS('Policy Assignments'!$C$5:$C$868,$A93,'Policy Assignments'!$B$5:$B$868,E$4,'Policy Assignments'!$E$5:$E$868,"Hold")&gt;0,"H",IF(COUNTIFS('Policy Assignments'!$C$5:$C$868,$A93,'Policy Assignments'!$B$5:$B$868,E$4,'Policy Assignments'!$E$5:$E$868,"Core")&gt;0,"R",IF(COUNTIFS('Policy Assignments'!$C$5:$C$868,$A93,'Policy Assignments'!$B$5:$B$868,E$4,'Policy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F93" s="94" t="str">
        <x:f>IF(COUNTIFS('Policy Assignments'!$C$5:$C$868,$A93,'Policy Assignments'!$B$5:$B$868,F$4,'Policy Assignments'!$E$5:$E$868,"Hold")&gt;0,"H",IF(COUNTIFS('Policy Assignments'!$C$5:$C$868,$A93,'Policy Assignments'!$B$5:$B$868,F$4,'Policy Assignments'!$E$5:$E$868,"Core")&gt;0,"R",IF(COUNTIFS('Policy Assignments'!$C$5:$C$868,$A93,'Policy Assignments'!$B$5:$B$868,F$4,'Policy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G93" s="94" t="str">
        <x:f>IF(COUNTIFS('Policy Assignments'!$C$5:$C$868,$A93,'Policy Assignments'!$B$5:$B$868,G$4,'Policy Assignments'!$E$5:$E$868,"Hold")&gt;0,"H",IF(COUNTIFS('Policy Assignments'!$C$5:$C$868,$A93,'Policy Assignments'!$B$5:$B$868,G$4,'Policy Assignments'!$E$5:$E$868,"Core")&gt;0,"R",IF(COUNTIFS('Policy Assignments'!$C$5:$C$868,$A93,'Policy Assignments'!$B$5:$B$868,G$4,'Policy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H93" s="94" t="str">
        <x:f>IF(COUNTIFS('Policy Assignments'!$C$5:$C$868,$A93,'Policy Assignments'!$B$5:$B$868,H$4,'Policy Assignments'!$E$5:$E$868,"Hold")&gt;0,"H",IF(COUNTIFS('Policy Assignments'!$C$5:$C$868,$A93,'Policy Assignments'!$B$5:$B$868,H$4,'Policy Assignments'!$E$5:$E$868,"Core")&gt;0,"R",IF(COUNTIFS('Policy Assignments'!$C$5:$C$868,$A93,'Policy Assignments'!$B$5:$B$868,H$4,'Policy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I93" s="94" t="str">
        <x:f>IF(COUNTIFS('Policy Assignments'!$C$5:$C$868,$A93,'Policy Assignments'!$B$5:$B$868,I$4,'Policy Assignments'!$E$5:$E$868,"Hold")&gt;0,"H",IF(COUNTIFS('Policy Assignments'!$C$5:$C$868,$A93,'Policy Assignments'!$B$5:$B$868,I$4,'Policy Assignments'!$E$5:$E$868,"Core")&gt;0,"R",IF(COUNTIFS('Policy Assignments'!$C$5:$C$868,$A93,'Policy Assignments'!$B$5:$B$868,I$4,'Policy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J93" s="94" t="str">
        <x:f>IF(COUNTIFS('Policy Assignments'!$C$5:$C$868,$A93,'Policy Assignments'!$B$5:$B$868,J$4,'Policy Assignments'!$E$5:$E$868,"Hold")&gt;0,"H",IF(COUNTIFS('Policy Assignments'!$C$5:$C$868,$A93,'Policy Assignments'!$B$5:$B$868,J$4,'Policy Assignments'!$E$5:$E$868,"Core")&gt;0,"R",IF(COUNTIFS('Policy Assignments'!$C$5:$C$868,$A93,'Policy Assignments'!$B$5:$B$868,J$4,'Policy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K93" s="94" t="str">
        <x:f>IF(COUNTIFS('Policy Assignments'!$C$5:$C$868,$A93,'Policy Assignments'!$B$5:$B$868,K$4,'Policy Assignments'!$E$5:$E$868,"Hold")&gt;0,"H",IF(COUNTIFS('Policy Assignments'!$C$5:$C$868,$A93,'Policy Assignments'!$B$5:$B$868,K$4,'Policy Assignments'!$E$5:$E$868,"Core")&gt;0,"R",IF(COUNTIFS('Policy Assignments'!$C$5:$C$868,$A93,'Policy Assignments'!$B$5:$B$868,K$4,'Policy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L93" s="94" t="str">
        <x:f>IF(COUNTIFS('Policy Assignments'!$C$5:$C$868,$A93,'Policy Assignments'!$B$5:$B$868,L$4,'Policy Assignments'!$E$5:$E$868,"Hold")&gt;0,"H",IF(COUNTIFS('Policy Assignments'!$C$5:$C$868,$A93,'Policy Assignments'!$B$5:$B$868,L$4,'Policy Assignments'!$E$5:$E$868,"Core")&gt;0,"R",IF(COUNTIFS('Policy Assignments'!$C$5:$C$868,$A93,'Policy Assignments'!$B$5:$B$868,L$4,'Policy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M93" s="94" t="str">
        <x:f>IF(COUNTIFS('Policy Assignments'!$C$5:$C$868,$A93,'Policy Assignments'!$B$5:$B$868,M$4,'Policy Assignments'!$E$5:$E$868,"Hold")&gt;0,"H",IF(COUNTIFS('Policy Assignments'!$C$5:$C$868,$A93,'Policy Assignments'!$B$5:$B$868,M$4,'Policy Assignments'!$E$5:$E$868,"Core")&gt;0,"R",IF(COUNTIFS('Policy Assignments'!$C$5:$C$868,$A93,'Policy Assignments'!$B$5:$B$868,M$4,'Policy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G</x:v>
      </x:c>
      <x:c r="N93" s="94" t="str">
        <x:f>IF(COUNTIFS('Policy Assignments'!$C$5:$C$868,$A93,'Policy Assignments'!$B$5:$B$868,N$4,'Policy Assignments'!$E$5:$E$868,"Hold")&gt;0,"H",IF(COUNTIFS('Policy Assignments'!$C$5:$C$868,$A93,'Policy Assignments'!$B$5:$B$868,N$4,'Policy Assignments'!$E$5:$E$868,"Core")&gt;0,"R",IF(COUNTIFS('Policy Assignments'!$C$5:$C$868,$A93,'Policy Assignments'!$B$5:$B$868,N$4,'Policy Assignments'!$E$5:$E$868,"Conditional")&gt;0,"C",IF(COUNTIFS('Policy Assignments'!$C$5:$C$868,$A93,'Policy Assignments'!$B$5:$B$868,"General",'Policy Assignments'!$E$5:$E$868,"Hold")&gt;0,"H",IF(COUNTIFS('Policy Assignments'!$C$5:$C$868,$A93,'Policy Assignments'!$B$5:$B$868,"General",'Policy Assignments'!$E$5:$E$868,"Conditional")&gt;0,"C",IF(COUNTIFS('Policy Assignments'!$C$5:$C$868,$A93,'Policy Assignments'!$B$5:$B$868,"General")&gt;0,"G",""))))))</x:f>
        <x:v>R</x:v>
      </x:c>
      <x:c r="O93" s="94" t="str">
        <x:f>IF(COUNTIFS('Policy Assignments'!$C$5:$C$868,$A93,'Policy Assignments'!$B$5:$B$868,O$4,'Policy Assignments'!$E$5:$E$868,"Hold")&gt;0,"H",IF(COUNTIFS('Policy Assignments'!$C$5:$C$868,$A93,'Policy Assignments'!$B$5:$B$868,O$4,'Policy Assignments'!$E$5:$E$868,"Core")&gt;0,"R",IF(COUNTIFS('Policy Assignments'!$C$5:$C$868,$A93,'Policy Assignments'!$B$5:$B$868,O$4,'Policy Assignments'!$E$5:$E$868,"Conditional")&gt;0,"C","")))</x:f>
      </x:c>
      <x:c r="P93" s="90" t="str">
        <x:v>Mapped</x:v>
      </x:c>
    </x:row>
    <x:row r="94" ht="22" customHeight="1">
      <x:c r="A94" s="90" t="str">
        <x:v>CO-FW-101</x:v>
      </x:c>
      <x:c r="B94" s="90" t="str">
        <x:v>Fraud, Waste &amp; Abuse Prevention</x:v>
      </x:c>
      <x:c r="C94" s="94" t="str">
        <x:f>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D94" s="94" t="str">
        <x:f>IF(COUNTIFS('Policy Assignments'!$C$5:$C$868,$A94,'Policy Assignments'!$B$5:$B$868,D$4,'Policy Assignments'!$E$5:$E$868,"Hold")&gt;0,"H",IF(COUNTIFS('Policy Assignments'!$C$5:$C$868,$A94,'Policy Assignments'!$B$5:$B$868,D$4,'Policy Assignments'!$E$5:$E$868,"Core")&gt;0,"R",IF(COUNTIFS('Policy Assignments'!$C$5:$C$868,$A94,'Policy Assignments'!$B$5:$B$868,D$4,'Policy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E94" s="94" t="str">
        <x:f>IF(COUNTIFS('Policy Assignments'!$C$5:$C$868,$A94,'Policy Assignments'!$B$5:$B$868,E$4,'Policy Assignments'!$E$5:$E$868,"Hold")&gt;0,"H",IF(COUNTIFS('Policy Assignments'!$C$5:$C$868,$A94,'Policy Assignments'!$B$5:$B$868,E$4,'Policy Assignments'!$E$5:$E$868,"Core")&gt;0,"R",IF(COUNTIFS('Policy Assignments'!$C$5:$C$868,$A94,'Policy Assignments'!$B$5:$B$868,E$4,'Policy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F94" s="94" t="str">
        <x:f>IF(COUNTIFS('Policy Assignments'!$C$5:$C$868,$A94,'Policy Assignments'!$B$5:$B$868,F$4,'Policy Assignments'!$E$5:$E$868,"Hold")&gt;0,"H",IF(COUNTIFS('Policy Assignments'!$C$5:$C$868,$A94,'Policy Assignments'!$B$5:$B$868,F$4,'Policy Assignments'!$E$5:$E$868,"Core")&gt;0,"R",IF(COUNTIFS('Policy Assignments'!$C$5:$C$868,$A94,'Policy Assignments'!$B$5:$B$868,F$4,'Policy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G94" s="94" t="str">
        <x:f>IF(COUNTIFS('Policy Assignments'!$C$5:$C$868,$A94,'Policy Assignments'!$B$5:$B$868,G$4,'Policy Assignments'!$E$5:$E$868,"Hold")&gt;0,"H",IF(COUNTIFS('Policy Assignments'!$C$5:$C$868,$A94,'Policy Assignments'!$B$5:$B$868,G$4,'Policy Assignments'!$E$5:$E$868,"Core")&gt;0,"R",IF(COUNTIFS('Policy Assignments'!$C$5:$C$868,$A94,'Policy Assignments'!$B$5:$B$868,G$4,'Policy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H94" s="94" t="str">
        <x:f>IF(COUNTIFS('Policy Assignments'!$C$5:$C$868,$A94,'Policy Assignments'!$B$5:$B$868,H$4,'Policy Assignments'!$E$5:$E$868,"Hold")&gt;0,"H",IF(COUNTIFS('Policy Assignments'!$C$5:$C$868,$A94,'Policy Assignments'!$B$5:$B$868,H$4,'Policy Assignments'!$E$5:$E$868,"Core")&gt;0,"R",IF(COUNTIFS('Policy Assignments'!$C$5:$C$868,$A94,'Policy Assignments'!$B$5:$B$868,H$4,'Policy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I94" s="94" t="str">
        <x:f>IF(COUNTIFS('Policy Assignments'!$C$5:$C$868,$A94,'Policy Assignments'!$B$5:$B$868,I$4,'Policy Assignments'!$E$5:$E$868,"Hold")&gt;0,"H",IF(COUNTIFS('Policy Assignments'!$C$5:$C$868,$A94,'Policy Assignments'!$B$5:$B$868,I$4,'Policy Assignments'!$E$5:$E$868,"Core")&gt;0,"R",IF(COUNTIFS('Policy Assignments'!$C$5:$C$868,$A94,'Policy Assignments'!$B$5:$B$868,I$4,'Policy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J94" s="94" t="str">
        <x:f>IF(COUNTIFS('Policy Assignments'!$C$5:$C$868,$A94,'Policy Assignments'!$B$5:$B$868,J$4,'Policy Assignments'!$E$5:$E$868,"Hold")&gt;0,"H",IF(COUNTIFS('Policy Assignments'!$C$5:$C$868,$A94,'Policy Assignments'!$B$5:$B$868,J$4,'Policy Assignments'!$E$5:$E$868,"Core")&gt;0,"R",IF(COUNTIFS('Policy Assignments'!$C$5:$C$868,$A94,'Policy Assignments'!$B$5:$B$868,J$4,'Policy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K94" s="94" t="str">
        <x:f>IF(COUNTIFS('Policy Assignments'!$C$5:$C$868,$A94,'Policy Assignments'!$B$5:$B$868,K$4,'Policy Assignments'!$E$5:$E$868,"Hold")&gt;0,"H",IF(COUNTIFS('Policy Assignments'!$C$5:$C$868,$A94,'Policy Assignments'!$B$5:$B$868,K$4,'Policy Assignments'!$E$5:$E$868,"Core")&gt;0,"R",IF(COUNTIFS('Policy Assignments'!$C$5:$C$868,$A94,'Policy Assignments'!$B$5:$B$868,K$4,'Policy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L94" s="94" t="str">
        <x:f>IF(COUNTIFS('Policy Assignments'!$C$5:$C$868,$A94,'Policy Assignments'!$B$5:$B$868,L$4,'Policy Assignments'!$E$5:$E$868,"Hold")&gt;0,"H",IF(COUNTIFS('Policy Assignments'!$C$5:$C$868,$A94,'Policy Assignments'!$B$5:$B$868,L$4,'Policy Assignments'!$E$5:$E$868,"Core")&gt;0,"R",IF(COUNTIFS('Policy Assignments'!$C$5:$C$868,$A94,'Policy Assignments'!$B$5:$B$868,L$4,'Policy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M94" s="94" t="str">
        <x:f>IF(COUNTIFS('Policy Assignments'!$C$5:$C$868,$A94,'Policy Assignments'!$B$5:$B$868,M$4,'Policy Assignments'!$E$5:$E$868,"Hold")&gt;0,"H",IF(COUNTIFS('Policy Assignments'!$C$5:$C$868,$A94,'Policy Assignments'!$B$5:$B$868,M$4,'Policy Assignments'!$E$5:$E$868,"Core")&gt;0,"R",IF(COUNTIFS('Policy Assignments'!$C$5:$C$868,$A94,'Policy Assignments'!$B$5:$B$868,M$4,'Policy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G</x:v>
      </x:c>
      <x:c r="N94" s="94" t="str">
        <x:f>IF(COUNTIFS('Policy Assignments'!$C$5:$C$868,$A94,'Policy Assignments'!$B$5:$B$868,N$4,'Policy Assignments'!$E$5:$E$868,"Hold")&gt;0,"H",IF(COUNTIFS('Policy Assignments'!$C$5:$C$868,$A94,'Policy Assignments'!$B$5:$B$868,N$4,'Policy Assignments'!$E$5:$E$868,"Core")&gt;0,"R",IF(COUNTIFS('Policy Assignments'!$C$5:$C$868,$A94,'Policy Assignments'!$B$5:$B$868,N$4,'Policy Assignments'!$E$5:$E$868,"Conditional")&gt;0,"C",IF(COUNTIFS('Policy Assignments'!$C$5:$C$868,$A94,'Policy Assignments'!$B$5:$B$868,"General",'Policy Assignments'!$E$5:$E$868,"Hold")&gt;0,"H",IF(COUNTIFS('Policy Assignments'!$C$5:$C$868,$A94,'Policy Assignments'!$B$5:$B$868,"General",'Policy Assignments'!$E$5:$E$868,"Conditional")&gt;0,"C",IF(COUNTIFS('Policy Assignments'!$C$5:$C$868,$A94,'Policy Assignments'!$B$5:$B$868,"General")&gt;0,"G",""))))))</x:f>
        <x:v>R</x:v>
      </x:c>
      <x:c r="O94" s="94" t="str">
        <x:f>IF(COUNTIFS('Policy Assignments'!$C$5:$C$868,$A94,'Policy Assignments'!$B$5:$B$868,O$4,'Policy Assignments'!$E$5:$E$868,"Hold")&gt;0,"H",IF(COUNTIFS('Policy Assignments'!$C$5:$C$868,$A94,'Policy Assignments'!$B$5:$B$868,O$4,'Policy Assignments'!$E$5:$E$868,"Core")&gt;0,"R",IF(COUNTIFS('Policy Assignments'!$C$5:$C$868,$A94,'Policy Assignments'!$B$5:$B$868,O$4,'Policy Assignments'!$E$5:$E$868,"Conditional")&gt;0,"C","")))</x:f>
        <x:v>R</x:v>
      </x:c>
      <x:c r="P94" s="90" t="str">
        <x:v>Mapped</x:v>
      </x:c>
    </x:row>
    <x:row r="95" ht="22" customHeight="1">
      <x:c r="A95" s="90" t="str">
        <x:v>CO-HP-101</x:v>
      </x:c>
      <x:c r="B95" s="90" t="str">
        <x:v>HIPAA, CMIA &amp; Sensitive Data Privacy Management</x:v>
      </x:c>
      <x:c r="C95" s="94" t="str">
        <x:f>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D95" s="94" t="str">
        <x:f>IF(COUNTIFS('Policy Assignments'!$C$5:$C$868,$A95,'Policy Assignments'!$B$5:$B$868,D$4,'Policy Assignments'!$E$5:$E$868,"Hold")&gt;0,"H",IF(COUNTIFS('Policy Assignments'!$C$5:$C$868,$A95,'Policy Assignments'!$B$5:$B$868,D$4,'Policy Assignments'!$E$5:$E$868,"Core")&gt;0,"R",IF(COUNTIFS('Policy Assignments'!$C$5:$C$868,$A95,'Policy Assignments'!$B$5:$B$868,D$4,'Policy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E95" s="94" t="str">
        <x:f>IF(COUNTIFS('Policy Assignments'!$C$5:$C$868,$A95,'Policy Assignments'!$B$5:$B$868,E$4,'Policy Assignments'!$E$5:$E$868,"Hold")&gt;0,"H",IF(COUNTIFS('Policy Assignments'!$C$5:$C$868,$A95,'Policy Assignments'!$B$5:$B$868,E$4,'Policy Assignments'!$E$5:$E$868,"Core")&gt;0,"R",IF(COUNTIFS('Policy Assignments'!$C$5:$C$868,$A95,'Policy Assignments'!$B$5:$B$868,E$4,'Policy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F95" s="94" t="str">
        <x:f>IF(COUNTIFS('Policy Assignments'!$C$5:$C$868,$A95,'Policy Assignments'!$B$5:$B$868,F$4,'Policy Assignments'!$E$5:$E$868,"Hold")&gt;0,"H",IF(COUNTIFS('Policy Assignments'!$C$5:$C$868,$A95,'Policy Assignments'!$B$5:$B$868,F$4,'Policy Assignments'!$E$5:$E$868,"Core")&gt;0,"R",IF(COUNTIFS('Policy Assignments'!$C$5:$C$868,$A95,'Policy Assignments'!$B$5:$B$868,F$4,'Policy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G95" s="94" t="str">
        <x:f>IF(COUNTIFS('Policy Assignments'!$C$5:$C$868,$A95,'Policy Assignments'!$B$5:$B$868,G$4,'Policy Assignments'!$E$5:$E$868,"Hold")&gt;0,"H",IF(COUNTIFS('Policy Assignments'!$C$5:$C$868,$A95,'Policy Assignments'!$B$5:$B$868,G$4,'Policy Assignments'!$E$5:$E$868,"Core")&gt;0,"R",IF(COUNTIFS('Policy Assignments'!$C$5:$C$868,$A95,'Policy Assignments'!$B$5:$B$868,G$4,'Policy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H95" s="94" t="str">
        <x:f>IF(COUNTIFS('Policy Assignments'!$C$5:$C$868,$A95,'Policy Assignments'!$B$5:$B$868,H$4,'Policy Assignments'!$E$5:$E$868,"Hold")&gt;0,"H",IF(COUNTIFS('Policy Assignments'!$C$5:$C$868,$A95,'Policy Assignments'!$B$5:$B$868,H$4,'Policy Assignments'!$E$5:$E$868,"Core")&gt;0,"R",IF(COUNTIFS('Policy Assignments'!$C$5:$C$868,$A95,'Policy Assignments'!$B$5:$B$868,H$4,'Policy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I95" s="94" t="str">
        <x:f>IF(COUNTIFS('Policy Assignments'!$C$5:$C$868,$A95,'Policy Assignments'!$B$5:$B$868,I$4,'Policy Assignments'!$E$5:$E$868,"Hold")&gt;0,"H",IF(COUNTIFS('Policy Assignments'!$C$5:$C$868,$A95,'Policy Assignments'!$B$5:$B$868,I$4,'Policy Assignments'!$E$5:$E$868,"Core")&gt;0,"R",IF(COUNTIFS('Policy Assignments'!$C$5:$C$868,$A95,'Policy Assignments'!$B$5:$B$868,I$4,'Policy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J95" s="94" t="str">
        <x:f>IF(COUNTIFS('Policy Assignments'!$C$5:$C$868,$A95,'Policy Assignments'!$B$5:$B$868,J$4,'Policy Assignments'!$E$5:$E$868,"Hold")&gt;0,"H",IF(COUNTIFS('Policy Assignments'!$C$5:$C$868,$A95,'Policy Assignments'!$B$5:$B$868,J$4,'Policy Assignments'!$E$5:$E$868,"Core")&gt;0,"R",IF(COUNTIFS('Policy Assignments'!$C$5:$C$868,$A95,'Policy Assignments'!$B$5:$B$868,J$4,'Policy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K95" s="94" t="str">
        <x:f>IF(COUNTIFS('Policy Assignments'!$C$5:$C$868,$A95,'Policy Assignments'!$B$5:$B$868,K$4,'Policy Assignments'!$E$5:$E$868,"Hold")&gt;0,"H",IF(COUNTIFS('Policy Assignments'!$C$5:$C$868,$A95,'Policy Assignments'!$B$5:$B$868,K$4,'Policy Assignments'!$E$5:$E$868,"Core")&gt;0,"R",IF(COUNTIFS('Policy Assignments'!$C$5:$C$868,$A95,'Policy Assignments'!$B$5:$B$868,K$4,'Policy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L95" s="94" t="str">
        <x:f>IF(COUNTIFS('Policy Assignments'!$C$5:$C$868,$A95,'Policy Assignments'!$B$5:$B$868,L$4,'Policy Assignments'!$E$5:$E$868,"Hold")&gt;0,"H",IF(COUNTIFS('Policy Assignments'!$C$5:$C$868,$A95,'Policy Assignments'!$B$5:$B$868,L$4,'Policy Assignments'!$E$5:$E$868,"Core")&gt;0,"R",IF(COUNTIFS('Policy Assignments'!$C$5:$C$868,$A95,'Policy Assignments'!$B$5:$B$868,L$4,'Policy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M95" s="94" t="str">
        <x:f>IF(COUNTIFS('Policy Assignments'!$C$5:$C$868,$A95,'Policy Assignments'!$B$5:$B$868,M$4,'Policy Assignments'!$E$5:$E$868,"Hold")&gt;0,"H",IF(COUNTIFS('Policy Assignments'!$C$5:$C$868,$A95,'Policy Assignments'!$B$5:$B$868,M$4,'Policy Assignments'!$E$5:$E$868,"Core")&gt;0,"R",IF(COUNTIFS('Policy Assignments'!$C$5:$C$868,$A95,'Policy Assignments'!$B$5:$B$868,M$4,'Policy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N95" s="94" t="str">
        <x:f>IF(COUNTIFS('Policy Assignments'!$C$5:$C$868,$A95,'Policy Assignments'!$B$5:$B$868,N$4,'Policy Assignments'!$E$5:$E$868,"Hold")&gt;0,"H",IF(COUNTIFS('Policy Assignments'!$C$5:$C$868,$A95,'Policy Assignments'!$B$5:$B$868,N$4,'Policy Assignments'!$E$5:$E$868,"Core")&gt;0,"R",IF(COUNTIFS('Policy Assignments'!$C$5:$C$868,$A95,'Policy Assignments'!$B$5:$B$868,N$4,'Policy Assignments'!$E$5:$E$868,"Conditional")&gt;0,"C",IF(COUNTIFS('Policy Assignments'!$C$5:$C$868,$A95,'Policy Assignments'!$B$5:$B$868,"General",'Policy Assignments'!$E$5:$E$868,"Hold")&gt;0,"H",IF(COUNTIFS('Policy Assignments'!$C$5:$C$868,$A95,'Policy Assignments'!$B$5:$B$868,"General",'Policy Assignments'!$E$5:$E$868,"Conditional")&gt;0,"C",IF(COUNTIFS('Policy Assignments'!$C$5:$C$868,$A95,'Policy Assignments'!$B$5:$B$868,"General")&gt;0,"G",""))))))</x:f>
        <x:v>G</x:v>
      </x:c>
      <x:c r="O95" s="94" t="str">
        <x:f>IF(COUNTIFS('Policy Assignments'!$C$5:$C$868,$A95,'Policy Assignments'!$B$5:$B$868,O$4,'Policy Assignments'!$E$5:$E$868,"Hold")&gt;0,"H",IF(COUNTIFS('Policy Assignments'!$C$5:$C$868,$A95,'Policy Assignments'!$B$5:$B$868,O$4,'Policy Assignments'!$E$5:$E$868,"Core")&gt;0,"R",IF(COUNTIFS('Policy Assignments'!$C$5:$C$868,$A95,'Policy Assignments'!$B$5:$B$868,O$4,'Policy Assignments'!$E$5:$E$868,"Conditional")&gt;0,"C","")))</x:f>
        <x:v>R</x:v>
      </x:c>
      <x:c r="P95" s="90" t="str">
        <x:v>Mapped</x:v>
      </x:c>
    </x:row>
    <x:row r="96" ht="22" customHeight="1">
      <x:c r="A96" s="90" t="str">
        <x:v>CO-IR-101</x:v>
      </x:c>
      <x:c r="B96" s="90" t="str">
        <x:v>Security Incident Response &amp; Breach Notification</x:v>
      </x:c>
      <x:c r="C96" s="94" t="str">
        <x:f>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D96" s="94" t="str">
        <x:f>IF(COUNTIFS('Policy Assignments'!$C$5:$C$868,$A96,'Policy Assignments'!$B$5:$B$868,D$4,'Policy Assignments'!$E$5:$E$868,"Hold")&gt;0,"H",IF(COUNTIFS('Policy Assignments'!$C$5:$C$868,$A96,'Policy Assignments'!$B$5:$B$868,D$4,'Policy Assignments'!$E$5:$E$868,"Core")&gt;0,"R",IF(COUNTIFS('Policy Assignments'!$C$5:$C$868,$A96,'Policy Assignments'!$B$5:$B$868,D$4,'Policy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E96" s="94" t="str">
        <x:f>IF(COUNTIFS('Policy Assignments'!$C$5:$C$868,$A96,'Policy Assignments'!$B$5:$B$868,E$4,'Policy Assignments'!$E$5:$E$868,"Hold")&gt;0,"H",IF(COUNTIFS('Policy Assignments'!$C$5:$C$868,$A96,'Policy Assignments'!$B$5:$B$868,E$4,'Policy Assignments'!$E$5:$E$868,"Core")&gt;0,"R",IF(COUNTIFS('Policy Assignments'!$C$5:$C$868,$A96,'Policy Assignments'!$B$5:$B$868,E$4,'Policy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F96" s="94" t="str">
        <x:f>IF(COUNTIFS('Policy Assignments'!$C$5:$C$868,$A96,'Policy Assignments'!$B$5:$B$868,F$4,'Policy Assignments'!$E$5:$E$868,"Hold")&gt;0,"H",IF(COUNTIFS('Policy Assignments'!$C$5:$C$868,$A96,'Policy Assignments'!$B$5:$B$868,F$4,'Policy Assignments'!$E$5:$E$868,"Core")&gt;0,"R",IF(COUNTIFS('Policy Assignments'!$C$5:$C$868,$A96,'Policy Assignments'!$B$5:$B$868,F$4,'Policy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G96" s="94" t="str">
        <x:f>IF(COUNTIFS('Policy Assignments'!$C$5:$C$868,$A96,'Policy Assignments'!$B$5:$B$868,G$4,'Policy Assignments'!$E$5:$E$868,"Hold")&gt;0,"H",IF(COUNTIFS('Policy Assignments'!$C$5:$C$868,$A96,'Policy Assignments'!$B$5:$B$868,G$4,'Policy Assignments'!$E$5:$E$868,"Core")&gt;0,"R",IF(COUNTIFS('Policy Assignments'!$C$5:$C$868,$A96,'Policy Assignments'!$B$5:$B$868,G$4,'Policy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H96" s="94" t="str">
        <x:f>IF(COUNTIFS('Policy Assignments'!$C$5:$C$868,$A96,'Policy Assignments'!$B$5:$B$868,H$4,'Policy Assignments'!$E$5:$E$868,"Hold")&gt;0,"H",IF(COUNTIFS('Policy Assignments'!$C$5:$C$868,$A96,'Policy Assignments'!$B$5:$B$868,H$4,'Policy Assignments'!$E$5:$E$868,"Core")&gt;0,"R",IF(COUNTIFS('Policy Assignments'!$C$5:$C$868,$A96,'Policy Assignments'!$B$5:$B$868,H$4,'Policy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I96" s="94" t="str">
        <x:f>IF(COUNTIFS('Policy Assignments'!$C$5:$C$868,$A96,'Policy Assignments'!$B$5:$B$868,I$4,'Policy Assignments'!$E$5:$E$868,"Hold")&gt;0,"H",IF(COUNTIFS('Policy Assignments'!$C$5:$C$868,$A96,'Policy Assignments'!$B$5:$B$868,I$4,'Policy Assignments'!$E$5:$E$868,"Core")&gt;0,"R",IF(COUNTIFS('Policy Assignments'!$C$5:$C$868,$A96,'Policy Assignments'!$B$5:$B$868,I$4,'Policy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J96" s="94" t="str">
        <x:f>IF(COUNTIFS('Policy Assignments'!$C$5:$C$868,$A96,'Policy Assignments'!$B$5:$B$868,J$4,'Policy Assignments'!$E$5:$E$868,"Hold")&gt;0,"H",IF(COUNTIFS('Policy Assignments'!$C$5:$C$868,$A96,'Policy Assignments'!$B$5:$B$868,J$4,'Policy Assignments'!$E$5:$E$868,"Core")&gt;0,"R",IF(COUNTIFS('Policy Assignments'!$C$5:$C$868,$A96,'Policy Assignments'!$B$5:$B$868,J$4,'Policy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K96" s="94" t="str">
        <x:f>IF(COUNTIFS('Policy Assignments'!$C$5:$C$868,$A96,'Policy Assignments'!$B$5:$B$868,K$4,'Policy Assignments'!$E$5:$E$868,"Hold")&gt;0,"H",IF(COUNTIFS('Policy Assignments'!$C$5:$C$868,$A96,'Policy Assignments'!$B$5:$B$868,K$4,'Policy Assignments'!$E$5:$E$868,"Core")&gt;0,"R",IF(COUNTIFS('Policy Assignments'!$C$5:$C$868,$A96,'Policy Assignments'!$B$5:$B$868,K$4,'Policy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L96" s="94" t="str">
        <x:f>IF(COUNTIFS('Policy Assignments'!$C$5:$C$868,$A96,'Policy Assignments'!$B$5:$B$868,L$4,'Policy Assignments'!$E$5:$E$868,"Hold")&gt;0,"H",IF(COUNTIFS('Policy Assignments'!$C$5:$C$868,$A96,'Policy Assignments'!$B$5:$B$868,L$4,'Policy Assignments'!$E$5:$E$868,"Core")&gt;0,"R",IF(COUNTIFS('Policy Assignments'!$C$5:$C$868,$A96,'Policy Assignments'!$B$5:$B$868,L$4,'Policy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M96" s="94" t="str">
        <x:f>IF(COUNTIFS('Policy Assignments'!$C$5:$C$868,$A96,'Policy Assignments'!$B$5:$B$868,M$4,'Policy Assignments'!$E$5:$E$868,"Hold")&gt;0,"H",IF(COUNTIFS('Policy Assignments'!$C$5:$C$868,$A96,'Policy Assignments'!$B$5:$B$868,M$4,'Policy Assignments'!$E$5:$E$868,"Core")&gt;0,"R",IF(COUNTIFS('Policy Assignments'!$C$5:$C$868,$A96,'Policy Assignments'!$B$5:$B$868,M$4,'Policy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N96" s="94" t="str">
        <x:f>IF(COUNTIFS('Policy Assignments'!$C$5:$C$868,$A96,'Policy Assignments'!$B$5:$B$868,N$4,'Policy Assignments'!$E$5:$E$868,"Hold")&gt;0,"H",IF(COUNTIFS('Policy Assignments'!$C$5:$C$868,$A96,'Policy Assignments'!$B$5:$B$868,N$4,'Policy Assignments'!$E$5:$E$868,"Core")&gt;0,"R",IF(COUNTIFS('Policy Assignments'!$C$5:$C$868,$A96,'Policy Assignments'!$B$5:$B$868,N$4,'Policy Assignments'!$E$5:$E$868,"Conditional")&gt;0,"C",IF(COUNTIFS('Policy Assignments'!$C$5:$C$868,$A96,'Policy Assignments'!$B$5:$B$868,"General",'Policy Assignments'!$E$5:$E$868,"Hold")&gt;0,"H",IF(COUNTIFS('Policy Assignments'!$C$5:$C$868,$A96,'Policy Assignments'!$B$5:$B$868,"General",'Policy Assignments'!$E$5:$E$868,"Conditional")&gt;0,"C",IF(COUNTIFS('Policy Assignments'!$C$5:$C$868,$A96,'Policy Assignments'!$B$5:$B$868,"General")&gt;0,"G",""))))))</x:f>
        <x:v>G</x:v>
      </x:c>
      <x:c r="O96" s="94" t="str">
        <x:f>IF(COUNTIFS('Policy Assignments'!$C$5:$C$868,$A96,'Policy Assignments'!$B$5:$B$868,O$4,'Policy Assignments'!$E$5:$E$868,"Hold")&gt;0,"H",IF(COUNTIFS('Policy Assignments'!$C$5:$C$868,$A96,'Policy Assignments'!$B$5:$B$868,O$4,'Policy Assignments'!$E$5:$E$868,"Core")&gt;0,"R",IF(COUNTIFS('Policy Assignments'!$C$5:$C$868,$A96,'Policy Assignments'!$B$5:$B$868,O$4,'Policy Assignments'!$E$5:$E$868,"Conditional")&gt;0,"C","")))</x:f>
      </x:c>
      <x:c r="P96" s="90" t="str">
        <x:v>Mapped</x:v>
      </x:c>
    </x:row>
    <x:row r="97" ht="22" customHeight="1">
      <x:c r="A97" s="90" t="str">
        <x:v>CO-RA-001</x:v>
      </x:c>
      <x:c r="B97" s="90" t="str">
        <x:v>Regulatory Change Monitoring &amp; Implementation</x:v>
      </x:c>
      <x:c r="C97" s="94" t="str">
        <x:f>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D97" s="94" t="str">
        <x:f>IF(COUNTIFS('Policy Assignments'!$C$5:$C$868,$A97,'Policy Assignments'!$B$5:$B$868,D$4,'Policy Assignments'!$E$5:$E$868,"Hold")&gt;0,"H",IF(COUNTIFS('Policy Assignments'!$C$5:$C$868,$A97,'Policy Assignments'!$B$5:$B$868,D$4,'Policy Assignments'!$E$5:$E$868,"Core")&gt;0,"R",IF(COUNTIFS('Policy Assignments'!$C$5:$C$868,$A97,'Policy Assignments'!$B$5:$B$868,D$4,'Policy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E97" s="94" t="str">
        <x:f>IF(COUNTIFS('Policy Assignments'!$C$5:$C$868,$A97,'Policy Assignments'!$B$5:$B$868,E$4,'Policy Assignments'!$E$5:$E$868,"Hold")&gt;0,"H",IF(COUNTIFS('Policy Assignments'!$C$5:$C$868,$A97,'Policy Assignments'!$B$5:$B$868,E$4,'Policy Assignments'!$E$5:$E$868,"Core")&gt;0,"R",IF(COUNTIFS('Policy Assignments'!$C$5:$C$868,$A97,'Policy Assignments'!$B$5:$B$868,E$4,'Policy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F97" s="94" t="str">
        <x:f>IF(COUNTIFS('Policy Assignments'!$C$5:$C$868,$A97,'Policy Assignments'!$B$5:$B$868,F$4,'Policy Assignments'!$E$5:$E$868,"Hold")&gt;0,"H",IF(COUNTIFS('Policy Assignments'!$C$5:$C$868,$A97,'Policy Assignments'!$B$5:$B$868,F$4,'Policy Assignments'!$E$5:$E$868,"Core")&gt;0,"R",IF(COUNTIFS('Policy Assignments'!$C$5:$C$868,$A97,'Policy Assignments'!$B$5:$B$868,F$4,'Policy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G97" s="94" t="str">
        <x:f>IF(COUNTIFS('Policy Assignments'!$C$5:$C$868,$A97,'Policy Assignments'!$B$5:$B$868,G$4,'Policy Assignments'!$E$5:$E$868,"Hold")&gt;0,"H",IF(COUNTIFS('Policy Assignments'!$C$5:$C$868,$A97,'Policy Assignments'!$B$5:$B$868,G$4,'Policy Assignments'!$E$5:$E$868,"Core")&gt;0,"R",IF(COUNTIFS('Policy Assignments'!$C$5:$C$868,$A97,'Policy Assignments'!$B$5:$B$868,G$4,'Policy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H97" s="94" t="str">
        <x:f>IF(COUNTIFS('Policy Assignments'!$C$5:$C$868,$A97,'Policy Assignments'!$B$5:$B$868,H$4,'Policy Assignments'!$E$5:$E$868,"Hold")&gt;0,"H",IF(COUNTIFS('Policy Assignments'!$C$5:$C$868,$A97,'Policy Assignments'!$B$5:$B$868,H$4,'Policy Assignments'!$E$5:$E$868,"Core")&gt;0,"R",IF(COUNTIFS('Policy Assignments'!$C$5:$C$868,$A97,'Policy Assignments'!$B$5:$B$868,H$4,'Policy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I97" s="94" t="str">
        <x:f>IF(COUNTIFS('Policy Assignments'!$C$5:$C$868,$A97,'Policy Assignments'!$B$5:$B$868,I$4,'Policy Assignments'!$E$5:$E$868,"Hold")&gt;0,"H",IF(COUNTIFS('Policy Assignments'!$C$5:$C$868,$A97,'Policy Assignments'!$B$5:$B$868,I$4,'Policy Assignments'!$E$5:$E$868,"Core")&gt;0,"R",IF(COUNTIFS('Policy Assignments'!$C$5:$C$868,$A97,'Policy Assignments'!$B$5:$B$868,I$4,'Policy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J97" s="94" t="str">
        <x:f>IF(COUNTIFS('Policy Assignments'!$C$5:$C$868,$A97,'Policy Assignments'!$B$5:$B$868,J$4,'Policy Assignments'!$E$5:$E$868,"Hold")&gt;0,"H",IF(COUNTIFS('Policy Assignments'!$C$5:$C$868,$A97,'Policy Assignments'!$B$5:$B$868,J$4,'Policy Assignments'!$E$5:$E$868,"Core")&gt;0,"R",IF(COUNTIFS('Policy Assignments'!$C$5:$C$868,$A97,'Policy Assignments'!$B$5:$B$868,J$4,'Policy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K97" s="94" t="str">
        <x:f>IF(COUNTIFS('Policy Assignments'!$C$5:$C$868,$A97,'Policy Assignments'!$B$5:$B$868,K$4,'Policy Assignments'!$E$5:$E$868,"Hold")&gt;0,"H",IF(COUNTIFS('Policy Assignments'!$C$5:$C$868,$A97,'Policy Assignments'!$B$5:$B$868,K$4,'Policy Assignments'!$E$5:$E$868,"Core")&gt;0,"R",IF(COUNTIFS('Policy Assignments'!$C$5:$C$868,$A97,'Policy Assignments'!$B$5:$B$868,K$4,'Policy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L97" s="94" t="str">
        <x:f>IF(COUNTIFS('Policy Assignments'!$C$5:$C$868,$A97,'Policy Assignments'!$B$5:$B$868,L$4,'Policy Assignments'!$E$5:$E$868,"Hold")&gt;0,"H",IF(COUNTIFS('Policy Assignments'!$C$5:$C$868,$A97,'Policy Assignments'!$B$5:$B$868,L$4,'Policy Assignments'!$E$5:$E$868,"Core")&gt;0,"R",IF(COUNTIFS('Policy Assignments'!$C$5:$C$868,$A97,'Policy Assignments'!$B$5:$B$868,L$4,'Policy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M97" s="94" t="str">
        <x:f>IF(COUNTIFS('Policy Assignments'!$C$5:$C$868,$A97,'Policy Assignments'!$B$5:$B$868,M$4,'Policy Assignments'!$E$5:$E$868,"Hold")&gt;0,"H",IF(COUNTIFS('Policy Assignments'!$C$5:$C$868,$A97,'Policy Assignments'!$B$5:$B$868,M$4,'Policy Assignments'!$E$5:$E$868,"Core")&gt;0,"R",IF(COUNTIFS('Policy Assignments'!$C$5:$C$868,$A97,'Policy Assignments'!$B$5:$B$868,M$4,'Policy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v>R</x:v>
      </x:c>
      <x:c r="N97" s="94" t="str">
        <x:f>IF(COUNTIFS('Policy Assignments'!$C$5:$C$868,$A97,'Policy Assignments'!$B$5:$B$868,N$4,'Policy Assignments'!$E$5:$E$868,"Hold")&gt;0,"H",IF(COUNTIFS('Policy Assignments'!$C$5:$C$868,$A97,'Policy Assignments'!$B$5:$B$868,N$4,'Policy Assignments'!$E$5:$E$868,"Core")&gt;0,"R",IF(COUNTIFS('Policy Assignments'!$C$5:$C$868,$A97,'Policy Assignments'!$B$5:$B$868,N$4,'Policy Assignments'!$E$5:$E$868,"Conditional")&gt;0,"C",IF(COUNTIFS('Policy Assignments'!$C$5:$C$868,$A97,'Policy Assignments'!$B$5:$B$868,"General",'Policy Assignments'!$E$5:$E$868,"Hold")&gt;0,"H",IF(COUNTIFS('Policy Assignments'!$C$5:$C$868,$A97,'Policy Assignments'!$B$5:$B$868,"General",'Policy Assignments'!$E$5:$E$868,"Conditional")&gt;0,"C",IF(COUNTIFS('Policy Assignments'!$C$5:$C$868,$A97,'Policy Assignments'!$B$5:$B$868,"General")&gt;0,"G",""))))))</x:f>
      </x:c>
      <x:c r="O97" s="94" t="str">
        <x:f>IF(COUNTIFS('Policy Assignments'!$C$5:$C$868,$A97,'Policy Assignments'!$B$5:$B$868,O$4,'Policy Assignments'!$E$5:$E$868,"Hold")&gt;0,"H",IF(COUNTIFS('Policy Assignments'!$C$5:$C$868,$A97,'Policy Assignments'!$B$5:$B$868,O$4,'Policy Assignments'!$E$5:$E$868,"Core")&gt;0,"R",IF(COUNTIFS('Policy Assignments'!$C$5:$C$868,$A97,'Policy Assignments'!$B$5:$B$868,O$4,'Policy Assignments'!$E$5:$E$868,"Conditional")&gt;0,"C","")))</x:f>
      </x:c>
      <x:c r="P97" s="90" t="str">
        <x:v>Mapped</x:v>
      </x:c>
    </x:row>
    <x:row r="98" ht="22" customHeight="1">
      <x:c r="A98" s="90" t="str">
        <x:v>CO-RA-002</x:v>
      </x:c>
      <x:c r="B98" s="90" t="str">
        <x:v>Internal Compliance Auditing Program</x:v>
      </x:c>
      <x:c r="C98" s="94" t="str">
        <x:f>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D98" s="94" t="str">
        <x:f>IF(COUNTIFS('Policy Assignments'!$C$5:$C$868,$A98,'Policy Assignments'!$B$5:$B$868,D$4,'Policy Assignments'!$E$5:$E$868,"Hold")&gt;0,"H",IF(COUNTIFS('Policy Assignments'!$C$5:$C$868,$A98,'Policy Assignments'!$B$5:$B$868,D$4,'Policy Assignments'!$E$5:$E$868,"Core")&gt;0,"R",IF(COUNTIFS('Policy Assignments'!$C$5:$C$868,$A98,'Policy Assignments'!$B$5:$B$868,D$4,'Policy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E98" s="94" t="str">
        <x:f>IF(COUNTIFS('Policy Assignments'!$C$5:$C$868,$A98,'Policy Assignments'!$B$5:$B$868,E$4,'Policy Assignments'!$E$5:$E$868,"Hold")&gt;0,"H",IF(COUNTIFS('Policy Assignments'!$C$5:$C$868,$A98,'Policy Assignments'!$B$5:$B$868,E$4,'Policy Assignments'!$E$5:$E$868,"Core")&gt;0,"R",IF(COUNTIFS('Policy Assignments'!$C$5:$C$868,$A98,'Policy Assignments'!$B$5:$B$868,E$4,'Policy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F98" s="94" t="str">
        <x:f>IF(COUNTIFS('Policy Assignments'!$C$5:$C$868,$A98,'Policy Assignments'!$B$5:$B$868,F$4,'Policy Assignments'!$E$5:$E$868,"Hold")&gt;0,"H",IF(COUNTIFS('Policy Assignments'!$C$5:$C$868,$A98,'Policy Assignments'!$B$5:$B$868,F$4,'Policy Assignments'!$E$5:$E$868,"Core")&gt;0,"R",IF(COUNTIFS('Policy Assignments'!$C$5:$C$868,$A98,'Policy Assignments'!$B$5:$B$868,F$4,'Policy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G98" s="94" t="str">
        <x:f>IF(COUNTIFS('Policy Assignments'!$C$5:$C$868,$A98,'Policy Assignments'!$B$5:$B$868,G$4,'Policy Assignments'!$E$5:$E$868,"Hold")&gt;0,"H",IF(COUNTIFS('Policy Assignments'!$C$5:$C$868,$A98,'Policy Assignments'!$B$5:$B$868,G$4,'Policy Assignments'!$E$5:$E$868,"Core")&gt;0,"R",IF(COUNTIFS('Policy Assignments'!$C$5:$C$868,$A98,'Policy Assignments'!$B$5:$B$868,G$4,'Policy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H98" s="94" t="str">
        <x:f>IF(COUNTIFS('Policy Assignments'!$C$5:$C$868,$A98,'Policy Assignments'!$B$5:$B$868,H$4,'Policy Assignments'!$E$5:$E$868,"Hold")&gt;0,"H",IF(COUNTIFS('Policy Assignments'!$C$5:$C$868,$A98,'Policy Assignments'!$B$5:$B$868,H$4,'Policy Assignments'!$E$5:$E$868,"Core")&gt;0,"R",IF(COUNTIFS('Policy Assignments'!$C$5:$C$868,$A98,'Policy Assignments'!$B$5:$B$868,H$4,'Policy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I98" s="94" t="str">
        <x:f>IF(COUNTIFS('Policy Assignments'!$C$5:$C$868,$A98,'Policy Assignments'!$B$5:$B$868,I$4,'Policy Assignments'!$E$5:$E$868,"Hold")&gt;0,"H",IF(COUNTIFS('Policy Assignments'!$C$5:$C$868,$A98,'Policy Assignments'!$B$5:$B$868,I$4,'Policy Assignments'!$E$5:$E$868,"Core")&gt;0,"R",IF(COUNTIFS('Policy Assignments'!$C$5:$C$868,$A98,'Policy Assignments'!$B$5:$B$868,I$4,'Policy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J98" s="94" t="str">
        <x:f>IF(COUNTIFS('Policy Assignments'!$C$5:$C$868,$A98,'Policy Assignments'!$B$5:$B$868,J$4,'Policy Assignments'!$E$5:$E$868,"Hold")&gt;0,"H",IF(COUNTIFS('Policy Assignments'!$C$5:$C$868,$A98,'Policy Assignments'!$B$5:$B$868,J$4,'Policy Assignments'!$E$5:$E$868,"Core")&gt;0,"R",IF(COUNTIFS('Policy Assignments'!$C$5:$C$868,$A98,'Policy Assignments'!$B$5:$B$868,J$4,'Policy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K98" s="94" t="str">
        <x:f>IF(COUNTIFS('Policy Assignments'!$C$5:$C$868,$A98,'Policy Assignments'!$B$5:$B$868,K$4,'Policy Assignments'!$E$5:$E$868,"Hold")&gt;0,"H",IF(COUNTIFS('Policy Assignments'!$C$5:$C$868,$A98,'Policy Assignments'!$B$5:$B$868,K$4,'Policy Assignments'!$E$5:$E$868,"Core")&gt;0,"R",IF(COUNTIFS('Policy Assignments'!$C$5:$C$868,$A98,'Policy Assignments'!$B$5:$B$868,K$4,'Policy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L98" s="94" t="str">
        <x:f>IF(COUNTIFS('Policy Assignments'!$C$5:$C$868,$A98,'Policy Assignments'!$B$5:$B$868,L$4,'Policy Assignments'!$E$5:$E$868,"Hold")&gt;0,"H",IF(COUNTIFS('Policy Assignments'!$C$5:$C$868,$A98,'Policy Assignments'!$B$5:$B$868,L$4,'Policy Assignments'!$E$5:$E$868,"Core")&gt;0,"R",IF(COUNTIFS('Policy Assignments'!$C$5:$C$868,$A98,'Policy Assignments'!$B$5:$B$868,L$4,'Policy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M98" s="94" t="str">
        <x:f>IF(COUNTIFS('Policy Assignments'!$C$5:$C$868,$A98,'Policy Assignments'!$B$5:$B$868,M$4,'Policy Assignments'!$E$5:$E$868,"Hold")&gt;0,"H",IF(COUNTIFS('Policy Assignments'!$C$5:$C$868,$A98,'Policy Assignments'!$B$5:$B$868,M$4,'Policy Assignments'!$E$5:$E$868,"Core")&gt;0,"R",IF(COUNTIFS('Policy Assignments'!$C$5:$C$868,$A98,'Policy Assignments'!$B$5:$B$868,M$4,'Policy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v>R</x:v>
      </x:c>
      <x:c r="N98" s="94" t="str">
        <x:f>IF(COUNTIFS('Policy Assignments'!$C$5:$C$868,$A98,'Policy Assignments'!$B$5:$B$868,N$4,'Policy Assignments'!$E$5:$E$868,"Hold")&gt;0,"H",IF(COUNTIFS('Policy Assignments'!$C$5:$C$868,$A98,'Policy Assignments'!$B$5:$B$868,N$4,'Policy Assignments'!$E$5:$E$868,"Core")&gt;0,"R",IF(COUNTIFS('Policy Assignments'!$C$5:$C$868,$A98,'Policy Assignments'!$B$5:$B$868,N$4,'Policy Assignments'!$E$5:$E$868,"Conditional")&gt;0,"C",IF(COUNTIFS('Policy Assignments'!$C$5:$C$868,$A98,'Policy Assignments'!$B$5:$B$868,"General",'Policy Assignments'!$E$5:$E$868,"Hold")&gt;0,"H",IF(COUNTIFS('Policy Assignments'!$C$5:$C$868,$A98,'Policy Assignments'!$B$5:$B$868,"General",'Policy Assignments'!$E$5:$E$868,"Conditional")&gt;0,"C",IF(COUNTIFS('Policy Assignments'!$C$5:$C$868,$A98,'Policy Assignments'!$B$5:$B$868,"General")&gt;0,"G",""))))))</x:f>
      </x:c>
      <x:c r="O98" s="94" t="str">
        <x:f>IF(COUNTIFS('Policy Assignments'!$C$5:$C$868,$A98,'Policy Assignments'!$B$5:$B$868,O$4,'Policy Assignments'!$E$5:$E$868,"Hold")&gt;0,"H",IF(COUNTIFS('Policy Assignments'!$C$5:$C$868,$A98,'Policy Assignments'!$B$5:$B$868,O$4,'Policy Assignments'!$E$5:$E$868,"Core")&gt;0,"R",IF(COUNTIFS('Policy Assignments'!$C$5:$C$868,$A98,'Policy Assignments'!$B$5:$B$868,O$4,'Policy Assignments'!$E$5:$E$868,"Conditional")&gt;0,"C","")))</x:f>
      </x:c>
      <x:c r="P98" s="90" t="str">
        <x:v>Mapped</x:v>
      </x:c>
    </x:row>
    <x:row r="99" ht="22" customHeight="1">
      <x:c r="A99" s="90" t="str">
        <x:v>CO-RA-003</x:v>
      </x:c>
      <x:c r="B99" s="90" t="str">
        <x:v>External Audit &amp; Survey Readiness</x:v>
      </x:c>
      <x:c r="C99" s="94" t="str">
        <x:f>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D99" s="94" t="str">
        <x:f>IF(COUNTIFS('Policy Assignments'!$C$5:$C$868,$A99,'Policy Assignments'!$B$5:$B$868,D$4,'Policy Assignments'!$E$5:$E$868,"Hold")&gt;0,"H",IF(COUNTIFS('Policy Assignments'!$C$5:$C$868,$A99,'Policy Assignments'!$B$5:$B$868,D$4,'Policy Assignments'!$E$5:$E$868,"Core")&gt;0,"R",IF(COUNTIFS('Policy Assignments'!$C$5:$C$868,$A99,'Policy Assignments'!$B$5:$B$868,D$4,'Policy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E99" s="94" t="str">
        <x:f>IF(COUNTIFS('Policy Assignments'!$C$5:$C$868,$A99,'Policy Assignments'!$B$5:$B$868,E$4,'Policy Assignments'!$E$5:$E$868,"Hold")&gt;0,"H",IF(COUNTIFS('Policy Assignments'!$C$5:$C$868,$A99,'Policy Assignments'!$B$5:$B$868,E$4,'Policy Assignments'!$E$5:$E$868,"Core")&gt;0,"R",IF(COUNTIFS('Policy Assignments'!$C$5:$C$868,$A99,'Policy Assignments'!$B$5:$B$868,E$4,'Policy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F99" s="94" t="str">
        <x:f>IF(COUNTIFS('Policy Assignments'!$C$5:$C$868,$A99,'Policy Assignments'!$B$5:$B$868,F$4,'Policy Assignments'!$E$5:$E$868,"Hold")&gt;0,"H",IF(COUNTIFS('Policy Assignments'!$C$5:$C$868,$A99,'Policy Assignments'!$B$5:$B$868,F$4,'Policy Assignments'!$E$5:$E$868,"Core")&gt;0,"R",IF(COUNTIFS('Policy Assignments'!$C$5:$C$868,$A99,'Policy Assignments'!$B$5:$B$868,F$4,'Policy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G99" s="94" t="str">
        <x:f>IF(COUNTIFS('Policy Assignments'!$C$5:$C$868,$A99,'Policy Assignments'!$B$5:$B$868,G$4,'Policy Assignments'!$E$5:$E$868,"Hold")&gt;0,"H",IF(COUNTIFS('Policy Assignments'!$C$5:$C$868,$A99,'Policy Assignments'!$B$5:$B$868,G$4,'Policy Assignments'!$E$5:$E$868,"Core")&gt;0,"R",IF(COUNTIFS('Policy Assignments'!$C$5:$C$868,$A99,'Policy Assignments'!$B$5:$B$868,G$4,'Policy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H99" s="94" t="str">
        <x:f>IF(COUNTIFS('Policy Assignments'!$C$5:$C$868,$A99,'Policy Assignments'!$B$5:$B$868,H$4,'Policy Assignments'!$E$5:$E$868,"Hold")&gt;0,"H",IF(COUNTIFS('Policy Assignments'!$C$5:$C$868,$A99,'Policy Assignments'!$B$5:$B$868,H$4,'Policy Assignments'!$E$5:$E$868,"Core")&gt;0,"R",IF(COUNTIFS('Policy Assignments'!$C$5:$C$868,$A99,'Policy Assignments'!$B$5:$B$868,H$4,'Policy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I99" s="94" t="str">
        <x:f>IF(COUNTIFS('Policy Assignments'!$C$5:$C$868,$A99,'Policy Assignments'!$B$5:$B$868,I$4,'Policy Assignments'!$E$5:$E$868,"Hold")&gt;0,"H",IF(COUNTIFS('Policy Assignments'!$C$5:$C$868,$A99,'Policy Assignments'!$B$5:$B$868,I$4,'Policy Assignments'!$E$5:$E$868,"Core")&gt;0,"R",IF(COUNTIFS('Policy Assignments'!$C$5:$C$868,$A99,'Policy Assignments'!$B$5:$B$868,I$4,'Policy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J99" s="94" t="str">
        <x:f>IF(COUNTIFS('Policy Assignments'!$C$5:$C$868,$A99,'Policy Assignments'!$B$5:$B$868,J$4,'Policy Assignments'!$E$5:$E$868,"Hold")&gt;0,"H",IF(COUNTIFS('Policy Assignments'!$C$5:$C$868,$A99,'Policy Assignments'!$B$5:$B$868,J$4,'Policy Assignments'!$E$5:$E$868,"Core")&gt;0,"R",IF(COUNTIFS('Policy Assignments'!$C$5:$C$868,$A99,'Policy Assignments'!$B$5:$B$868,J$4,'Policy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K99" s="94" t="str">
        <x:f>IF(COUNTIFS('Policy Assignments'!$C$5:$C$868,$A99,'Policy Assignments'!$B$5:$B$868,K$4,'Policy Assignments'!$E$5:$E$868,"Hold")&gt;0,"H",IF(COUNTIFS('Policy Assignments'!$C$5:$C$868,$A99,'Policy Assignments'!$B$5:$B$868,K$4,'Policy Assignments'!$E$5:$E$868,"Core")&gt;0,"R",IF(COUNTIFS('Policy Assignments'!$C$5:$C$868,$A99,'Policy Assignments'!$B$5:$B$868,K$4,'Policy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L99" s="94" t="str">
        <x:f>IF(COUNTIFS('Policy Assignments'!$C$5:$C$868,$A99,'Policy Assignments'!$B$5:$B$868,L$4,'Policy Assignments'!$E$5:$E$868,"Hold")&gt;0,"H",IF(COUNTIFS('Policy Assignments'!$C$5:$C$868,$A99,'Policy Assignments'!$B$5:$B$868,L$4,'Policy Assignments'!$E$5:$E$868,"Core")&gt;0,"R",IF(COUNTIFS('Policy Assignments'!$C$5:$C$868,$A99,'Policy Assignments'!$B$5:$B$868,L$4,'Policy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c>
      <x:c r="M99" s="94" t="str">
        <x:f>IF(COUNTIFS('Policy Assignments'!$C$5:$C$868,$A99,'Policy Assignments'!$B$5:$B$868,M$4,'Policy Assignments'!$E$5:$E$868,"Hold")&gt;0,"H",IF(COUNTIFS('Policy Assignments'!$C$5:$C$868,$A99,'Policy Assignments'!$B$5:$B$868,M$4,'Policy Assignments'!$E$5:$E$868,"Core")&gt;0,"R",IF(COUNTIFS('Policy Assignments'!$C$5:$C$868,$A99,'Policy Assignments'!$B$5:$B$868,M$4,'Policy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v>R</x:v>
      </x:c>
      <x:c r="N99" s="94" t="str">
        <x:f>IF(COUNTIFS('Policy Assignments'!$C$5:$C$868,$A99,'Policy Assignments'!$B$5:$B$868,N$4,'Policy Assignments'!$E$5:$E$868,"Hold")&gt;0,"H",IF(COUNTIFS('Policy Assignments'!$C$5:$C$868,$A99,'Policy Assignments'!$B$5:$B$868,N$4,'Policy Assignments'!$E$5:$E$868,"Core")&gt;0,"R",IF(COUNTIFS('Policy Assignments'!$C$5:$C$868,$A99,'Policy Assignments'!$B$5:$B$868,N$4,'Policy Assignments'!$E$5:$E$868,"Conditional")&gt;0,"C",IF(COUNTIFS('Policy Assignments'!$C$5:$C$868,$A99,'Policy Assignments'!$B$5:$B$868,"General",'Policy Assignments'!$E$5:$E$868,"Hold")&gt;0,"H",IF(COUNTIFS('Policy Assignments'!$C$5:$C$868,$A99,'Policy Assignments'!$B$5:$B$868,"General",'Policy Assignments'!$E$5:$E$868,"Conditional")&gt;0,"C",IF(COUNTIFS('Policy Assignments'!$C$5:$C$868,$A99,'Policy Assignments'!$B$5:$B$868,"General")&gt;0,"G",""))))))</x:f>
        <x:v>R</x:v>
      </x:c>
      <x:c r="O99" s="94" t="str">
        <x:f>IF(COUNTIFS('Policy Assignments'!$C$5:$C$868,$A99,'Policy Assignments'!$B$5:$B$868,O$4,'Policy Assignments'!$E$5:$E$868,"Hold")&gt;0,"H",IF(COUNTIFS('Policy Assignments'!$C$5:$C$868,$A99,'Policy Assignments'!$B$5:$B$868,O$4,'Policy Assignments'!$E$5:$E$868,"Core")&gt;0,"R",IF(COUNTIFS('Policy Assignments'!$C$5:$C$868,$A99,'Policy Assignments'!$B$5:$B$868,O$4,'Policy Assignments'!$E$5:$E$868,"Conditional")&gt;0,"C","")))</x:f>
      </x:c>
      <x:c r="P99" s="90" t="str">
        <x:v>Mapped</x:v>
      </x:c>
    </x:row>
    <x:row r="100" ht="22" customHeight="1">
      <x:c r="A100" s="90" t="str">
        <x:v>CO-RA-004</x:v>
      </x:c>
      <x:c r="B100" s="90" t="str">
        <x:v>Medicare Conditions of Participation Compliance</x:v>
      </x:c>
      <x:c r="C100" s="94" t="str">
        <x:f>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D100" s="94" t="str">
        <x:f>IF(COUNTIFS('Policy Assignments'!$C$5:$C$868,$A100,'Policy Assignments'!$B$5:$B$868,D$4,'Policy Assignments'!$E$5:$E$868,"Hold")&gt;0,"H",IF(COUNTIFS('Policy Assignments'!$C$5:$C$868,$A100,'Policy Assignments'!$B$5:$B$868,D$4,'Policy Assignments'!$E$5:$E$868,"Core")&gt;0,"R",IF(COUNTIFS('Policy Assignments'!$C$5:$C$868,$A100,'Policy Assignments'!$B$5:$B$868,D$4,'Policy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E100" s="94" t="str">
        <x:f>IF(COUNTIFS('Policy Assignments'!$C$5:$C$868,$A100,'Policy Assignments'!$B$5:$B$868,E$4,'Policy Assignments'!$E$5:$E$868,"Hold")&gt;0,"H",IF(COUNTIFS('Policy Assignments'!$C$5:$C$868,$A100,'Policy Assignments'!$B$5:$B$868,E$4,'Policy Assignments'!$E$5:$E$868,"Core")&gt;0,"R",IF(COUNTIFS('Policy Assignments'!$C$5:$C$868,$A100,'Policy Assignments'!$B$5:$B$868,E$4,'Policy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F100" s="94" t="str">
        <x:f>IF(COUNTIFS('Policy Assignments'!$C$5:$C$868,$A100,'Policy Assignments'!$B$5:$B$868,F$4,'Policy Assignments'!$E$5:$E$868,"Hold")&gt;0,"H",IF(COUNTIFS('Policy Assignments'!$C$5:$C$868,$A100,'Policy Assignments'!$B$5:$B$868,F$4,'Policy Assignments'!$E$5:$E$868,"Core")&gt;0,"R",IF(COUNTIFS('Policy Assignments'!$C$5:$C$868,$A100,'Policy Assignments'!$B$5:$B$868,F$4,'Policy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G100" s="94" t="str">
        <x:f>IF(COUNTIFS('Policy Assignments'!$C$5:$C$868,$A100,'Policy Assignments'!$B$5:$B$868,G$4,'Policy Assignments'!$E$5:$E$868,"Hold")&gt;0,"H",IF(COUNTIFS('Policy Assignments'!$C$5:$C$868,$A100,'Policy Assignments'!$B$5:$B$868,G$4,'Policy Assignments'!$E$5:$E$868,"Core")&gt;0,"R",IF(COUNTIFS('Policy Assignments'!$C$5:$C$868,$A100,'Policy Assignments'!$B$5:$B$868,G$4,'Policy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H100" s="94" t="str">
        <x:f>IF(COUNTIFS('Policy Assignments'!$C$5:$C$868,$A100,'Policy Assignments'!$B$5:$B$868,H$4,'Policy Assignments'!$E$5:$E$868,"Hold")&gt;0,"H",IF(COUNTIFS('Policy Assignments'!$C$5:$C$868,$A100,'Policy Assignments'!$B$5:$B$868,H$4,'Policy Assignments'!$E$5:$E$868,"Core")&gt;0,"R",IF(COUNTIFS('Policy Assignments'!$C$5:$C$868,$A100,'Policy Assignments'!$B$5:$B$868,H$4,'Policy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I100" s="94" t="str">
        <x:f>IF(COUNTIFS('Policy Assignments'!$C$5:$C$868,$A100,'Policy Assignments'!$B$5:$B$868,I$4,'Policy Assignments'!$E$5:$E$868,"Hold")&gt;0,"H",IF(COUNTIFS('Policy Assignments'!$C$5:$C$868,$A100,'Policy Assignments'!$B$5:$B$868,I$4,'Policy Assignments'!$E$5:$E$868,"Core")&gt;0,"R",IF(COUNTIFS('Policy Assignments'!$C$5:$C$868,$A100,'Policy Assignments'!$B$5:$B$868,I$4,'Policy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J100" s="94" t="str">
        <x:f>IF(COUNTIFS('Policy Assignments'!$C$5:$C$868,$A100,'Policy Assignments'!$B$5:$B$868,J$4,'Policy Assignments'!$E$5:$E$868,"Hold")&gt;0,"H",IF(COUNTIFS('Policy Assignments'!$C$5:$C$868,$A100,'Policy Assignments'!$B$5:$B$868,J$4,'Policy Assignments'!$E$5:$E$868,"Core")&gt;0,"R",IF(COUNTIFS('Policy Assignments'!$C$5:$C$868,$A100,'Policy Assignments'!$B$5:$B$868,J$4,'Policy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K100" s="94" t="str">
        <x:f>IF(COUNTIFS('Policy Assignments'!$C$5:$C$868,$A100,'Policy Assignments'!$B$5:$B$868,K$4,'Policy Assignments'!$E$5:$E$868,"Hold")&gt;0,"H",IF(COUNTIFS('Policy Assignments'!$C$5:$C$868,$A100,'Policy Assignments'!$B$5:$B$868,K$4,'Policy Assignments'!$E$5:$E$868,"Core")&gt;0,"R",IF(COUNTIFS('Policy Assignments'!$C$5:$C$868,$A100,'Policy Assignments'!$B$5:$B$868,K$4,'Policy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L100" s="94" t="str">
        <x:f>IF(COUNTIFS('Policy Assignments'!$C$5:$C$868,$A100,'Policy Assignments'!$B$5:$B$868,L$4,'Policy Assignments'!$E$5:$E$868,"Hold")&gt;0,"H",IF(COUNTIFS('Policy Assignments'!$C$5:$C$868,$A100,'Policy Assignments'!$B$5:$B$868,L$4,'Policy Assignments'!$E$5:$E$868,"Core")&gt;0,"R",IF(COUNTIFS('Policy Assignments'!$C$5:$C$868,$A100,'Policy Assignments'!$B$5:$B$868,L$4,'Policy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c>
      <x:c r="M100" s="94" t="str">
        <x:f>IF(COUNTIFS('Policy Assignments'!$C$5:$C$868,$A100,'Policy Assignments'!$B$5:$B$868,M$4,'Policy Assignments'!$E$5:$E$868,"Hold")&gt;0,"H",IF(COUNTIFS('Policy Assignments'!$C$5:$C$868,$A100,'Policy Assignments'!$B$5:$B$868,M$4,'Policy Assignments'!$E$5:$E$868,"Core")&gt;0,"R",IF(COUNTIFS('Policy Assignments'!$C$5:$C$868,$A100,'Policy Assignments'!$B$5:$B$868,M$4,'Policy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v>R</x:v>
      </x:c>
      <x:c r="N100" s="94" t="str">
        <x:f>IF(COUNTIFS('Policy Assignments'!$C$5:$C$868,$A100,'Policy Assignments'!$B$5:$B$868,N$4,'Policy Assignments'!$E$5:$E$868,"Hold")&gt;0,"H",IF(COUNTIFS('Policy Assignments'!$C$5:$C$868,$A100,'Policy Assignments'!$B$5:$B$868,N$4,'Policy Assignments'!$E$5:$E$868,"Core")&gt;0,"R",IF(COUNTIFS('Policy Assignments'!$C$5:$C$868,$A100,'Policy Assignments'!$B$5:$B$868,N$4,'Policy Assignments'!$E$5:$E$868,"Conditional")&gt;0,"C",IF(COUNTIFS('Policy Assignments'!$C$5:$C$868,$A100,'Policy Assignments'!$B$5:$B$868,"General",'Policy Assignments'!$E$5:$E$868,"Hold")&gt;0,"H",IF(COUNTIFS('Policy Assignments'!$C$5:$C$868,$A100,'Policy Assignments'!$B$5:$B$868,"General",'Policy Assignments'!$E$5:$E$868,"Conditional")&gt;0,"C",IF(COUNTIFS('Policy Assignments'!$C$5:$C$868,$A100,'Policy Assignments'!$B$5:$B$868,"General")&gt;0,"G",""))))))</x:f>
        <x:v>R</x:v>
      </x:c>
      <x:c r="O100" s="94" t="str">
        <x:f>IF(COUNTIFS('Policy Assignments'!$C$5:$C$868,$A100,'Policy Assignments'!$B$5:$B$868,O$4,'Policy Assignments'!$E$5:$E$868,"Hold")&gt;0,"H",IF(COUNTIFS('Policy Assignments'!$C$5:$C$868,$A100,'Policy Assignments'!$B$5:$B$868,O$4,'Policy Assignments'!$E$5:$E$868,"Core")&gt;0,"R",IF(COUNTIFS('Policy Assignments'!$C$5:$C$868,$A100,'Policy Assignments'!$B$5:$B$868,O$4,'Policy Assignments'!$E$5:$E$868,"Conditional")&gt;0,"C","")))</x:f>
        <x:v>R</x:v>
      </x:c>
      <x:c r="P100" s="90" t="str">
        <x:v>Mapped</x:v>
      </x:c>
    </x:row>
    <x:row r="101" ht="22" customHeight="1">
      <x:c r="A101" s="90" t="str">
        <x:v>CO-RA-005</x:v>
      </x:c>
      <x:c r="B101" s="90" t="str">
        <x:v>State Licensure &amp; Regulatory Compliance</x:v>
      </x:c>
      <x:c r="C101" s="94" t="str">
        <x:f>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D101" s="94" t="str">
        <x:f>IF(COUNTIFS('Policy Assignments'!$C$5:$C$868,$A101,'Policy Assignments'!$B$5:$B$868,D$4,'Policy Assignments'!$E$5:$E$868,"Hold")&gt;0,"H",IF(COUNTIFS('Policy Assignments'!$C$5:$C$868,$A101,'Policy Assignments'!$B$5:$B$868,D$4,'Policy Assignments'!$E$5:$E$868,"Core")&gt;0,"R",IF(COUNTIFS('Policy Assignments'!$C$5:$C$868,$A101,'Policy Assignments'!$B$5:$B$868,D$4,'Policy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E101" s="94" t="str">
        <x:f>IF(COUNTIFS('Policy Assignments'!$C$5:$C$868,$A101,'Policy Assignments'!$B$5:$B$868,E$4,'Policy Assignments'!$E$5:$E$868,"Hold")&gt;0,"H",IF(COUNTIFS('Policy Assignments'!$C$5:$C$868,$A101,'Policy Assignments'!$B$5:$B$868,E$4,'Policy Assignments'!$E$5:$E$868,"Core")&gt;0,"R",IF(COUNTIFS('Policy Assignments'!$C$5:$C$868,$A101,'Policy Assignments'!$B$5:$B$868,E$4,'Policy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F101" s="94" t="str">
        <x:f>IF(COUNTIFS('Policy Assignments'!$C$5:$C$868,$A101,'Policy Assignments'!$B$5:$B$868,F$4,'Policy Assignments'!$E$5:$E$868,"Hold")&gt;0,"H",IF(COUNTIFS('Policy Assignments'!$C$5:$C$868,$A101,'Policy Assignments'!$B$5:$B$868,F$4,'Policy Assignments'!$E$5:$E$868,"Core")&gt;0,"R",IF(COUNTIFS('Policy Assignments'!$C$5:$C$868,$A101,'Policy Assignments'!$B$5:$B$868,F$4,'Policy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G101" s="94" t="str">
        <x:f>IF(COUNTIFS('Policy Assignments'!$C$5:$C$868,$A101,'Policy Assignments'!$B$5:$B$868,G$4,'Policy Assignments'!$E$5:$E$868,"Hold")&gt;0,"H",IF(COUNTIFS('Policy Assignments'!$C$5:$C$868,$A101,'Policy Assignments'!$B$5:$B$868,G$4,'Policy Assignments'!$E$5:$E$868,"Core")&gt;0,"R",IF(COUNTIFS('Policy Assignments'!$C$5:$C$868,$A101,'Policy Assignments'!$B$5:$B$868,G$4,'Policy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H101" s="94" t="str">
        <x:f>IF(COUNTIFS('Policy Assignments'!$C$5:$C$868,$A101,'Policy Assignments'!$B$5:$B$868,H$4,'Policy Assignments'!$E$5:$E$868,"Hold")&gt;0,"H",IF(COUNTIFS('Policy Assignments'!$C$5:$C$868,$A101,'Policy Assignments'!$B$5:$B$868,H$4,'Policy Assignments'!$E$5:$E$868,"Core")&gt;0,"R",IF(COUNTIFS('Policy Assignments'!$C$5:$C$868,$A101,'Policy Assignments'!$B$5:$B$868,H$4,'Policy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I101" s="94" t="str">
        <x:f>IF(COUNTIFS('Policy Assignments'!$C$5:$C$868,$A101,'Policy Assignments'!$B$5:$B$868,I$4,'Policy Assignments'!$E$5:$E$868,"Hold")&gt;0,"H",IF(COUNTIFS('Policy Assignments'!$C$5:$C$868,$A101,'Policy Assignments'!$B$5:$B$868,I$4,'Policy Assignments'!$E$5:$E$868,"Core")&gt;0,"R",IF(COUNTIFS('Policy Assignments'!$C$5:$C$868,$A101,'Policy Assignments'!$B$5:$B$868,I$4,'Policy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J101" s="94" t="str">
        <x:f>IF(COUNTIFS('Policy Assignments'!$C$5:$C$868,$A101,'Policy Assignments'!$B$5:$B$868,J$4,'Policy Assignments'!$E$5:$E$868,"Hold")&gt;0,"H",IF(COUNTIFS('Policy Assignments'!$C$5:$C$868,$A101,'Policy Assignments'!$B$5:$B$868,J$4,'Policy Assignments'!$E$5:$E$868,"Core")&gt;0,"R",IF(COUNTIFS('Policy Assignments'!$C$5:$C$868,$A101,'Policy Assignments'!$B$5:$B$868,J$4,'Policy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K101" s="94" t="str">
        <x:f>IF(COUNTIFS('Policy Assignments'!$C$5:$C$868,$A101,'Policy Assignments'!$B$5:$B$868,K$4,'Policy Assignments'!$E$5:$E$868,"Hold")&gt;0,"H",IF(COUNTIFS('Policy Assignments'!$C$5:$C$868,$A101,'Policy Assignments'!$B$5:$B$868,K$4,'Policy Assignments'!$E$5:$E$868,"Core")&gt;0,"R",IF(COUNTIFS('Policy Assignments'!$C$5:$C$868,$A101,'Policy Assignments'!$B$5:$B$868,K$4,'Policy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L101" s="94" t="str">
        <x:f>IF(COUNTIFS('Policy Assignments'!$C$5:$C$868,$A101,'Policy Assignments'!$B$5:$B$868,L$4,'Policy Assignments'!$E$5:$E$868,"Hold")&gt;0,"H",IF(COUNTIFS('Policy Assignments'!$C$5:$C$868,$A101,'Policy Assignments'!$B$5:$B$868,L$4,'Policy Assignments'!$E$5:$E$868,"Core")&gt;0,"R",IF(COUNTIFS('Policy Assignments'!$C$5:$C$868,$A101,'Policy Assignments'!$B$5:$B$868,L$4,'Policy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c>
      <x:c r="M101" s="94" t="str">
        <x:f>IF(COUNTIFS('Policy Assignments'!$C$5:$C$868,$A101,'Policy Assignments'!$B$5:$B$868,M$4,'Policy Assignments'!$E$5:$E$868,"Hold")&gt;0,"H",IF(COUNTIFS('Policy Assignments'!$C$5:$C$868,$A101,'Policy Assignments'!$B$5:$B$868,M$4,'Policy Assignments'!$E$5:$E$868,"Core")&gt;0,"R",IF(COUNTIFS('Policy Assignments'!$C$5:$C$868,$A101,'Policy Assignments'!$B$5:$B$868,M$4,'Policy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v>R</x:v>
      </x:c>
      <x:c r="N101" s="94" t="str">
        <x:f>IF(COUNTIFS('Policy Assignments'!$C$5:$C$868,$A101,'Policy Assignments'!$B$5:$B$868,N$4,'Policy Assignments'!$E$5:$E$868,"Hold")&gt;0,"H",IF(COUNTIFS('Policy Assignments'!$C$5:$C$868,$A101,'Policy Assignments'!$B$5:$B$868,N$4,'Policy Assignments'!$E$5:$E$868,"Core")&gt;0,"R",IF(COUNTIFS('Policy Assignments'!$C$5:$C$868,$A101,'Policy Assignments'!$B$5:$B$868,N$4,'Policy Assignments'!$E$5:$E$868,"Conditional")&gt;0,"C",IF(COUNTIFS('Policy Assignments'!$C$5:$C$868,$A101,'Policy Assignments'!$B$5:$B$868,"General",'Policy Assignments'!$E$5:$E$868,"Hold")&gt;0,"H",IF(COUNTIFS('Policy Assignments'!$C$5:$C$868,$A101,'Policy Assignments'!$B$5:$B$868,"General",'Policy Assignments'!$E$5:$E$868,"Conditional")&gt;0,"C",IF(COUNTIFS('Policy Assignments'!$C$5:$C$868,$A101,'Policy Assignments'!$B$5:$B$868,"General")&gt;0,"G",""))))))</x:f>
        <x:v>R</x:v>
      </x:c>
      <x:c r="O101" s="94" t="str">
        <x:f>IF(COUNTIFS('Policy Assignments'!$C$5:$C$868,$A101,'Policy Assignments'!$B$5:$B$868,O$4,'Policy Assignments'!$E$5:$E$868,"Hold")&gt;0,"H",IF(COUNTIFS('Policy Assignments'!$C$5:$C$868,$A101,'Policy Assignments'!$B$5:$B$868,O$4,'Policy Assignments'!$E$5:$E$868,"Core")&gt;0,"R",IF(COUNTIFS('Policy Assignments'!$C$5:$C$868,$A101,'Policy Assignments'!$B$5:$B$868,O$4,'Policy Assignments'!$E$5:$E$868,"Conditional")&gt;0,"C","")))</x:f>
        <x:v>R</x:v>
      </x:c>
      <x:c r="P101" s="90" t="str">
        <x:v>Mapped</x:v>
      </x:c>
    </x:row>
    <x:row r="102" ht="22" customHeight="1">
      <x:c r="A102" s="90" t="str">
        <x:v>CO-RA-006</x:v>
      </x:c>
      <x:c r="B102" s="90" t="str">
        <x:v>Accreditation Standards Compliance</x:v>
      </x:c>
      <x:c r="C102" s="94" t="str">
        <x:f>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D102" s="94" t="str">
        <x:f>IF(COUNTIFS('Policy Assignments'!$C$5:$C$868,$A102,'Policy Assignments'!$B$5:$B$868,D$4,'Policy Assignments'!$E$5:$E$868,"Hold")&gt;0,"H",IF(COUNTIFS('Policy Assignments'!$C$5:$C$868,$A102,'Policy Assignments'!$B$5:$B$868,D$4,'Policy Assignments'!$E$5:$E$868,"Core")&gt;0,"R",IF(COUNTIFS('Policy Assignments'!$C$5:$C$868,$A102,'Policy Assignments'!$B$5:$B$868,D$4,'Policy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E102" s="94" t="str">
        <x:f>IF(COUNTIFS('Policy Assignments'!$C$5:$C$868,$A102,'Policy Assignments'!$B$5:$B$868,E$4,'Policy Assignments'!$E$5:$E$868,"Hold")&gt;0,"H",IF(COUNTIFS('Policy Assignments'!$C$5:$C$868,$A102,'Policy Assignments'!$B$5:$B$868,E$4,'Policy Assignments'!$E$5:$E$868,"Core")&gt;0,"R",IF(COUNTIFS('Policy Assignments'!$C$5:$C$868,$A102,'Policy Assignments'!$B$5:$B$868,E$4,'Policy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F102" s="94" t="str">
        <x:f>IF(COUNTIFS('Policy Assignments'!$C$5:$C$868,$A102,'Policy Assignments'!$B$5:$B$868,F$4,'Policy Assignments'!$E$5:$E$868,"Hold")&gt;0,"H",IF(COUNTIFS('Policy Assignments'!$C$5:$C$868,$A102,'Policy Assignments'!$B$5:$B$868,F$4,'Policy Assignments'!$E$5:$E$868,"Core")&gt;0,"R",IF(COUNTIFS('Policy Assignments'!$C$5:$C$868,$A102,'Policy Assignments'!$B$5:$B$868,F$4,'Policy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G102" s="94" t="str">
        <x:f>IF(COUNTIFS('Policy Assignments'!$C$5:$C$868,$A102,'Policy Assignments'!$B$5:$B$868,G$4,'Policy Assignments'!$E$5:$E$868,"Hold")&gt;0,"H",IF(COUNTIFS('Policy Assignments'!$C$5:$C$868,$A102,'Policy Assignments'!$B$5:$B$868,G$4,'Policy Assignments'!$E$5:$E$868,"Core")&gt;0,"R",IF(COUNTIFS('Policy Assignments'!$C$5:$C$868,$A102,'Policy Assignments'!$B$5:$B$868,G$4,'Policy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H102" s="94" t="str">
        <x:f>IF(COUNTIFS('Policy Assignments'!$C$5:$C$868,$A102,'Policy Assignments'!$B$5:$B$868,H$4,'Policy Assignments'!$E$5:$E$868,"Hold")&gt;0,"H",IF(COUNTIFS('Policy Assignments'!$C$5:$C$868,$A102,'Policy Assignments'!$B$5:$B$868,H$4,'Policy Assignments'!$E$5:$E$868,"Core")&gt;0,"R",IF(COUNTIFS('Policy Assignments'!$C$5:$C$868,$A102,'Policy Assignments'!$B$5:$B$868,H$4,'Policy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I102" s="94" t="str">
        <x:f>IF(COUNTIFS('Policy Assignments'!$C$5:$C$868,$A102,'Policy Assignments'!$B$5:$B$868,I$4,'Policy Assignments'!$E$5:$E$868,"Hold")&gt;0,"H",IF(COUNTIFS('Policy Assignments'!$C$5:$C$868,$A102,'Policy Assignments'!$B$5:$B$868,I$4,'Policy Assignments'!$E$5:$E$868,"Core")&gt;0,"R",IF(COUNTIFS('Policy Assignments'!$C$5:$C$868,$A102,'Policy Assignments'!$B$5:$B$868,I$4,'Policy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J102" s="94" t="str">
        <x:f>IF(COUNTIFS('Policy Assignments'!$C$5:$C$868,$A102,'Policy Assignments'!$B$5:$B$868,J$4,'Policy Assignments'!$E$5:$E$868,"Hold")&gt;0,"H",IF(COUNTIFS('Policy Assignments'!$C$5:$C$868,$A102,'Policy Assignments'!$B$5:$B$868,J$4,'Policy Assignments'!$E$5:$E$868,"Core")&gt;0,"R",IF(COUNTIFS('Policy Assignments'!$C$5:$C$868,$A102,'Policy Assignments'!$B$5:$B$868,J$4,'Policy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K102" s="94" t="str">
        <x:f>IF(COUNTIFS('Policy Assignments'!$C$5:$C$868,$A102,'Policy Assignments'!$B$5:$B$868,K$4,'Policy Assignments'!$E$5:$E$868,"Hold")&gt;0,"H",IF(COUNTIFS('Policy Assignments'!$C$5:$C$868,$A102,'Policy Assignments'!$B$5:$B$868,K$4,'Policy Assignments'!$E$5:$E$868,"Core")&gt;0,"R",IF(COUNTIFS('Policy Assignments'!$C$5:$C$868,$A102,'Policy Assignments'!$B$5:$B$868,K$4,'Policy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L102" s="94" t="str">
        <x:f>IF(COUNTIFS('Policy Assignments'!$C$5:$C$868,$A102,'Policy Assignments'!$B$5:$B$868,L$4,'Policy Assignments'!$E$5:$E$868,"Hold")&gt;0,"H",IF(COUNTIFS('Policy Assignments'!$C$5:$C$868,$A102,'Policy Assignments'!$B$5:$B$868,L$4,'Policy Assignments'!$E$5:$E$868,"Core")&gt;0,"R",IF(COUNTIFS('Policy Assignments'!$C$5:$C$868,$A102,'Policy Assignments'!$B$5:$B$868,L$4,'Policy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c>
      <x:c r="M102" s="94" t="str">
        <x:f>IF(COUNTIFS('Policy Assignments'!$C$5:$C$868,$A102,'Policy Assignments'!$B$5:$B$868,M$4,'Policy Assignments'!$E$5:$E$868,"Hold")&gt;0,"H",IF(COUNTIFS('Policy Assignments'!$C$5:$C$868,$A102,'Policy Assignments'!$B$5:$B$868,M$4,'Policy Assignments'!$E$5:$E$868,"Core")&gt;0,"R",IF(COUNTIFS('Policy Assignments'!$C$5:$C$868,$A102,'Policy Assignments'!$B$5:$B$868,M$4,'Policy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v>R</x:v>
      </x:c>
      <x:c r="N102" s="94" t="str">
        <x:f>IF(COUNTIFS('Policy Assignments'!$C$5:$C$868,$A102,'Policy Assignments'!$B$5:$B$868,N$4,'Policy Assignments'!$E$5:$E$868,"Hold")&gt;0,"H",IF(COUNTIFS('Policy Assignments'!$C$5:$C$868,$A102,'Policy Assignments'!$B$5:$B$868,N$4,'Policy Assignments'!$E$5:$E$868,"Core")&gt;0,"R",IF(COUNTIFS('Policy Assignments'!$C$5:$C$868,$A102,'Policy Assignments'!$B$5:$B$868,N$4,'Policy Assignments'!$E$5:$E$868,"Conditional")&gt;0,"C",IF(COUNTIFS('Policy Assignments'!$C$5:$C$868,$A102,'Policy Assignments'!$B$5:$B$868,"General",'Policy Assignments'!$E$5:$E$868,"Hold")&gt;0,"H",IF(COUNTIFS('Policy Assignments'!$C$5:$C$868,$A102,'Policy Assignments'!$B$5:$B$868,"General",'Policy Assignments'!$E$5:$E$868,"Conditional")&gt;0,"C",IF(COUNTIFS('Policy Assignments'!$C$5:$C$868,$A102,'Policy Assignments'!$B$5:$B$868,"General")&gt;0,"G",""))))))</x:f>
        <x:v>R</x:v>
      </x:c>
      <x:c r="O102" s="94" t="str">
        <x:f>IF(COUNTIFS('Policy Assignments'!$C$5:$C$868,$A102,'Policy Assignments'!$B$5:$B$868,O$4,'Policy Assignments'!$E$5:$E$868,"Hold")&gt;0,"H",IF(COUNTIFS('Policy Assignments'!$C$5:$C$868,$A102,'Policy Assignments'!$B$5:$B$868,O$4,'Policy Assignments'!$E$5:$E$868,"Core")&gt;0,"R",IF(COUNTIFS('Policy Assignments'!$C$5:$C$868,$A102,'Policy Assignments'!$B$5:$B$868,O$4,'Policy Assignments'!$E$5:$E$868,"Conditional")&gt;0,"C","")))</x:f>
        <x:v>R</x:v>
      </x:c>
      <x:c r="P102" s="90" t="str">
        <x:v>Mapped</x:v>
      </x:c>
    </x:row>
    <x:row r="103" ht="22" customHeight="1">
      <x:c r="A103" s="90" t="str">
        <x:v>CO-RA-007</x:v>
      </x:c>
      <x:c r="B103" s="90" t="str">
        <x:v>Sanctions &amp; Enforcement Response</x:v>
      </x:c>
      <x:c r="C103" s="94" t="str">
        <x:f>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D103" s="94" t="str">
        <x:f>IF(COUNTIFS('Policy Assignments'!$C$5:$C$868,$A103,'Policy Assignments'!$B$5:$B$868,D$4,'Policy Assignments'!$E$5:$E$868,"Hold")&gt;0,"H",IF(COUNTIFS('Policy Assignments'!$C$5:$C$868,$A103,'Policy Assignments'!$B$5:$B$868,D$4,'Policy Assignments'!$E$5:$E$868,"Core")&gt;0,"R",IF(COUNTIFS('Policy Assignments'!$C$5:$C$868,$A103,'Policy Assignments'!$B$5:$B$868,D$4,'Policy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E103" s="94" t="str">
        <x:f>IF(COUNTIFS('Policy Assignments'!$C$5:$C$868,$A103,'Policy Assignments'!$B$5:$B$868,E$4,'Policy Assignments'!$E$5:$E$868,"Hold")&gt;0,"H",IF(COUNTIFS('Policy Assignments'!$C$5:$C$868,$A103,'Policy Assignments'!$B$5:$B$868,E$4,'Policy Assignments'!$E$5:$E$868,"Core")&gt;0,"R",IF(COUNTIFS('Policy Assignments'!$C$5:$C$868,$A103,'Policy Assignments'!$B$5:$B$868,E$4,'Policy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F103" s="94" t="str">
        <x:f>IF(COUNTIFS('Policy Assignments'!$C$5:$C$868,$A103,'Policy Assignments'!$B$5:$B$868,F$4,'Policy Assignments'!$E$5:$E$868,"Hold")&gt;0,"H",IF(COUNTIFS('Policy Assignments'!$C$5:$C$868,$A103,'Policy Assignments'!$B$5:$B$868,F$4,'Policy Assignments'!$E$5:$E$868,"Core")&gt;0,"R",IF(COUNTIFS('Policy Assignments'!$C$5:$C$868,$A103,'Policy Assignments'!$B$5:$B$868,F$4,'Policy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G103" s="94" t="str">
        <x:f>IF(COUNTIFS('Policy Assignments'!$C$5:$C$868,$A103,'Policy Assignments'!$B$5:$B$868,G$4,'Policy Assignments'!$E$5:$E$868,"Hold")&gt;0,"H",IF(COUNTIFS('Policy Assignments'!$C$5:$C$868,$A103,'Policy Assignments'!$B$5:$B$868,G$4,'Policy Assignments'!$E$5:$E$868,"Core")&gt;0,"R",IF(COUNTIFS('Policy Assignments'!$C$5:$C$868,$A103,'Policy Assignments'!$B$5:$B$868,G$4,'Policy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H103" s="94" t="str">
        <x:f>IF(COUNTIFS('Policy Assignments'!$C$5:$C$868,$A103,'Policy Assignments'!$B$5:$B$868,H$4,'Policy Assignments'!$E$5:$E$868,"Hold")&gt;0,"H",IF(COUNTIFS('Policy Assignments'!$C$5:$C$868,$A103,'Policy Assignments'!$B$5:$B$868,H$4,'Policy Assignments'!$E$5:$E$868,"Core")&gt;0,"R",IF(COUNTIFS('Policy Assignments'!$C$5:$C$868,$A103,'Policy Assignments'!$B$5:$B$868,H$4,'Policy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I103" s="94" t="str">
        <x:f>IF(COUNTIFS('Policy Assignments'!$C$5:$C$868,$A103,'Policy Assignments'!$B$5:$B$868,I$4,'Policy Assignments'!$E$5:$E$868,"Hold")&gt;0,"H",IF(COUNTIFS('Policy Assignments'!$C$5:$C$868,$A103,'Policy Assignments'!$B$5:$B$868,I$4,'Policy Assignments'!$E$5:$E$868,"Core")&gt;0,"R",IF(COUNTIFS('Policy Assignments'!$C$5:$C$868,$A103,'Policy Assignments'!$B$5:$B$868,I$4,'Policy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J103" s="94" t="str">
        <x:f>IF(COUNTIFS('Policy Assignments'!$C$5:$C$868,$A103,'Policy Assignments'!$B$5:$B$868,J$4,'Policy Assignments'!$E$5:$E$868,"Hold")&gt;0,"H",IF(COUNTIFS('Policy Assignments'!$C$5:$C$868,$A103,'Policy Assignments'!$B$5:$B$868,J$4,'Policy Assignments'!$E$5:$E$868,"Core")&gt;0,"R",IF(COUNTIFS('Policy Assignments'!$C$5:$C$868,$A103,'Policy Assignments'!$B$5:$B$868,J$4,'Policy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K103" s="94" t="str">
        <x:f>IF(COUNTIFS('Policy Assignments'!$C$5:$C$868,$A103,'Policy Assignments'!$B$5:$B$868,K$4,'Policy Assignments'!$E$5:$E$868,"Hold")&gt;0,"H",IF(COUNTIFS('Policy Assignments'!$C$5:$C$868,$A103,'Policy Assignments'!$B$5:$B$868,K$4,'Policy Assignments'!$E$5:$E$868,"Core")&gt;0,"R",IF(COUNTIFS('Policy Assignments'!$C$5:$C$868,$A103,'Policy Assignments'!$B$5:$B$868,K$4,'Policy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L103" s="94" t="str">
        <x:f>IF(COUNTIFS('Policy Assignments'!$C$5:$C$868,$A103,'Policy Assignments'!$B$5:$B$868,L$4,'Policy Assignments'!$E$5:$E$868,"Hold")&gt;0,"H",IF(COUNTIFS('Policy Assignments'!$C$5:$C$868,$A103,'Policy Assignments'!$B$5:$B$868,L$4,'Policy Assignments'!$E$5:$E$868,"Core")&gt;0,"R",IF(COUNTIFS('Policy Assignments'!$C$5:$C$868,$A103,'Policy Assignments'!$B$5:$B$868,L$4,'Policy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M103" s="94" t="str">
        <x:f>IF(COUNTIFS('Policy Assignments'!$C$5:$C$868,$A103,'Policy Assignments'!$B$5:$B$868,M$4,'Policy Assignments'!$E$5:$E$868,"Hold")&gt;0,"H",IF(COUNTIFS('Policy Assignments'!$C$5:$C$868,$A103,'Policy Assignments'!$B$5:$B$868,M$4,'Policy Assignments'!$E$5:$E$868,"Core")&gt;0,"R",IF(COUNTIFS('Policy Assignments'!$C$5:$C$868,$A103,'Policy Assignments'!$B$5:$B$868,M$4,'Policy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v>R</x:v>
      </x:c>
      <x:c r="N103" s="94" t="str">
        <x:f>IF(COUNTIFS('Policy Assignments'!$C$5:$C$868,$A103,'Policy Assignments'!$B$5:$B$868,N$4,'Policy Assignments'!$E$5:$E$868,"Hold")&gt;0,"H",IF(COUNTIFS('Policy Assignments'!$C$5:$C$868,$A103,'Policy Assignments'!$B$5:$B$868,N$4,'Policy Assignments'!$E$5:$E$868,"Core")&gt;0,"R",IF(COUNTIFS('Policy Assignments'!$C$5:$C$868,$A103,'Policy Assignments'!$B$5:$B$868,N$4,'Policy Assignments'!$E$5:$E$868,"Conditional")&gt;0,"C",IF(COUNTIFS('Policy Assignments'!$C$5:$C$868,$A103,'Policy Assignments'!$B$5:$B$868,"General",'Policy Assignments'!$E$5:$E$868,"Hold")&gt;0,"H",IF(COUNTIFS('Policy Assignments'!$C$5:$C$868,$A103,'Policy Assignments'!$B$5:$B$868,"General",'Policy Assignments'!$E$5:$E$868,"Conditional")&gt;0,"C",IF(COUNTIFS('Policy Assignments'!$C$5:$C$868,$A103,'Policy Assignments'!$B$5:$B$868,"General")&gt;0,"G",""))))))</x:f>
      </x:c>
      <x:c r="O103" s="94" t="str">
        <x:f>IF(COUNTIFS('Policy Assignments'!$C$5:$C$868,$A103,'Policy Assignments'!$B$5:$B$868,O$4,'Policy Assignments'!$E$5:$E$868,"Hold")&gt;0,"H",IF(COUNTIFS('Policy Assignments'!$C$5:$C$868,$A103,'Policy Assignments'!$B$5:$B$868,O$4,'Policy Assignments'!$E$5:$E$868,"Core")&gt;0,"R",IF(COUNTIFS('Policy Assignments'!$C$5:$C$868,$A103,'Policy Assignments'!$B$5:$B$868,O$4,'Policy Assignments'!$E$5:$E$868,"Conditional")&gt;0,"C","")))</x:f>
      </x:c>
      <x:c r="P103" s="90" t="str">
        <x:v>Mapped</x:v>
      </x:c>
    </x:row>
    <x:row r="104" ht="22" customHeight="1">
      <x:c r="A104" s="90" t="str">
        <x:v>EN-CM-001</x:v>
      </x:c>
      <x:c r="B104" s="90" t="str">
        <x:v>Enterprise Compliance Metrics Program</x:v>
      </x:c>
      <x:c r="C104" s="94" t="str">
        <x:f>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D104" s="94" t="str">
        <x:f>IF(COUNTIFS('Policy Assignments'!$C$5:$C$868,$A104,'Policy Assignments'!$B$5:$B$868,D$4,'Policy Assignments'!$E$5:$E$868,"Hold")&gt;0,"H",IF(COUNTIFS('Policy Assignments'!$C$5:$C$868,$A104,'Policy Assignments'!$B$5:$B$868,D$4,'Policy Assignments'!$E$5:$E$868,"Core")&gt;0,"R",IF(COUNTIFS('Policy Assignments'!$C$5:$C$868,$A104,'Policy Assignments'!$B$5:$B$868,D$4,'Policy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E104" s="94" t="str">
        <x:f>IF(COUNTIFS('Policy Assignments'!$C$5:$C$868,$A104,'Policy Assignments'!$B$5:$B$868,E$4,'Policy Assignments'!$E$5:$E$868,"Hold")&gt;0,"H",IF(COUNTIFS('Policy Assignments'!$C$5:$C$868,$A104,'Policy Assignments'!$B$5:$B$868,E$4,'Policy Assignments'!$E$5:$E$868,"Core")&gt;0,"R",IF(COUNTIFS('Policy Assignments'!$C$5:$C$868,$A104,'Policy Assignments'!$B$5:$B$868,E$4,'Policy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F104" s="94" t="str">
        <x:f>IF(COUNTIFS('Policy Assignments'!$C$5:$C$868,$A104,'Policy Assignments'!$B$5:$B$868,F$4,'Policy Assignments'!$E$5:$E$868,"Hold")&gt;0,"H",IF(COUNTIFS('Policy Assignments'!$C$5:$C$868,$A104,'Policy Assignments'!$B$5:$B$868,F$4,'Policy Assignments'!$E$5:$E$868,"Core")&gt;0,"R",IF(COUNTIFS('Policy Assignments'!$C$5:$C$868,$A104,'Policy Assignments'!$B$5:$B$868,F$4,'Policy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G104" s="94" t="str">
        <x:f>IF(COUNTIFS('Policy Assignments'!$C$5:$C$868,$A104,'Policy Assignments'!$B$5:$B$868,G$4,'Policy Assignments'!$E$5:$E$868,"Hold")&gt;0,"H",IF(COUNTIFS('Policy Assignments'!$C$5:$C$868,$A104,'Policy Assignments'!$B$5:$B$868,G$4,'Policy Assignments'!$E$5:$E$868,"Core")&gt;0,"R",IF(COUNTIFS('Policy Assignments'!$C$5:$C$868,$A104,'Policy Assignments'!$B$5:$B$868,G$4,'Policy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H104" s="94" t="str">
        <x:f>IF(COUNTIFS('Policy Assignments'!$C$5:$C$868,$A104,'Policy Assignments'!$B$5:$B$868,H$4,'Policy Assignments'!$E$5:$E$868,"Hold")&gt;0,"H",IF(COUNTIFS('Policy Assignments'!$C$5:$C$868,$A104,'Policy Assignments'!$B$5:$B$868,H$4,'Policy Assignments'!$E$5:$E$868,"Core")&gt;0,"R",IF(COUNTIFS('Policy Assignments'!$C$5:$C$868,$A104,'Policy Assignments'!$B$5:$B$868,H$4,'Policy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I104" s="94" t="str">
        <x:f>IF(COUNTIFS('Policy Assignments'!$C$5:$C$868,$A104,'Policy Assignments'!$B$5:$B$868,I$4,'Policy Assignments'!$E$5:$E$868,"Hold")&gt;0,"H",IF(COUNTIFS('Policy Assignments'!$C$5:$C$868,$A104,'Policy Assignments'!$B$5:$B$868,I$4,'Policy Assignments'!$E$5:$E$868,"Core")&gt;0,"R",IF(COUNTIFS('Policy Assignments'!$C$5:$C$868,$A104,'Policy Assignments'!$B$5:$B$868,I$4,'Policy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J104" s="94" t="str">
        <x:f>IF(COUNTIFS('Policy Assignments'!$C$5:$C$868,$A104,'Policy Assignments'!$B$5:$B$868,J$4,'Policy Assignments'!$E$5:$E$868,"Hold")&gt;0,"H",IF(COUNTIFS('Policy Assignments'!$C$5:$C$868,$A104,'Policy Assignments'!$B$5:$B$868,J$4,'Policy Assignments'!$E$5:$E$868,"Core")&gt;0,"R",IF(COUNTIFS('Policy Assignments'!$C$5:$C$868,$A104,'Policy Assignments'!$B$5:$B$868,J$4,'Policy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K104" s="94" t="str">
        <x:f>IF(COUNTIFS('Policy Assignments'!$C$5:$C$868,$A104,'Policy Assignments'!$B$5:$B$868,K$4,'Policy Assignments'!$E$5:$E$868,"Hold")&gt;0,"H",IF(COUNTIFS('Policy Assignments'!$C$5:$C$868,$A104,'Policy Assignments'!$B$5:$B$868,K$4,'Policy Assignments'!$E$5:$E$868,"Core")&gt;0,"R",IF(COUNTIFS('Policy Assignments'!$C$5:$C$868,$A104,'Policy Assignments'!$B$5:$B$868,K$4,'Policy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L104" s="94" t="str">
        <x:f>IF(COUNTIFS('Policy Assignments'!$C$5:$C$868,$A104,'Policy Assignments'!$B$5:$B$868,L$4,'Policy Assignments'!$E$5:$E$868,"Hold")&gt;0,"H",IF(COUNTIFS('Policy Assignments'!$C$5:$C$868,$A104,'Policy Assignments'!$B$5:$B$868,L$4,'Policy Assignments'!$E$5:$E$868,"Core")&gt;0,"R",IF(COUNTIFS('Policy Assignments'!$C$5:$C$868,$A104,'Policy Assignments'!$B$5:$B$868,L$4,'Policy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M104" s="94" t="str">
        <x:f>IF(COUNTIFS('Policy Assignments'!$C$5:$C$868,$A104,'Policy Assignments'!$B$5:$B$868,M$4,'Policy Assignments'!$E$5:$E$868,"Hold")&gt;0,"H",IF(COUNTIFS('Policy Assignments'!$C$5:$C$868,$A104,'Policy Assignments'!$B$5:$B$868,M$4,'Policy Assignments'!$E$5:$E$868,"Core")&gt;0,"R",IF(COUNTIFS('Policy Assignments'!$C$5:$C$868,$A104,'Policy Assignments'!$B$5:$B$868,M$4,'Policy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v>R</x:v>
      </x:c>
      <x:c r="N104" s="94" t="str">
        <x:f>IF(COUNTIFS('Policy Assignments'!$C$5:$C$868,$A104,'Policy Assignments'!$B$5:$B$868,N$4,'Policy Assignments'!$E$5:$E$868,"Hold")&gt;0,"H",IF(COUNTIFS('Policy Assignments'!$C$5:$C$868,$A104,'Policy Assignments'!$B$5:$B$868,N$4,'Policy Assignments'!$E$5:$E$868,"Core")&gt;0,"R",IF(COUNTIFS('Policy Assignments'!$C$5:$C$868,$A104,'Policy Assignments'!$B$5:$B$868,N$4,'Policy Assignments'!$E$5:$E$868,"Conditional")&gt;0,"C",IF(COUNTIFS('Policy Assignments'!$C$5:$C$868,$A104,'Policy Assignments'!$B$5:$B$868,"General",'Policy Assignments'!$E$5:$E$868,"Hold")&gt;0,"H",IF(COUNTIFS('Policy Assignments'!$C$5:$C$868,$A104,'Policy Assignments'!$B$5:$B$868,"General",'Policy Assignments'!$E$5:$E$868,"Conditional")&gt;0,"C",IF(COUNTIFS('Policy Assignments'!$C$5:$C$868,$A104,'Policy Assignments'!$B$5:$B$868,"General")&gt;0,"G",""))))))</x:f>
      </x:c>
      <x:c r="O104" s="94" t="str">
        <x:f>IF(COUNTIFS('Policy Assignments'!$C$5:$C$868,$A104,'Policy Assignments'!$B$5:$B$868,O$4,'Policy Assignments'!$E$5:$E$868,"Hold")&gt;0,"H",IF(COUNTIFS('Policy Assignments'!$C$5:$C$868,$A104,'Policy Assignments'!$B$5:$B$868,O$4,'Policy Assignments'!$E$5:$E$868,"Core")&gt;0,"R",IF(COUNTIFS('Policy Assignments'!$C$5:$C$868,$A104,'Policy Assignments'!$B$5:$B$868,O$4,'Policy Assignments'!$E$5:$E$868,"Conditional")&gt;0,"C","")))</x:f>
      </x:c>
      <x:c r="P104" s="90" t="str">
        <x:v>Mapped</x:v>
      </x:c>
    </x:row>
    <x:row r="105" ht="22" customHeight="1">
      <x:c r="A105" s="90" t="str">
        <x:v>EN-CM-002</x:v>
      </x:c>
      <x:c r="B105" s="90" t="str">
        <x:v>Inter-Domain Policy Coordination &amp; Conflict Resolution</x:v>
      </x:c>
      <x:c r="C105" s="94" t="str">
        <x:f>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D105" s="94" t="str">
        <x:f>IF(COUNTIFS('Policy Assignments'!$C$5:$C$868,$A105,'Policy Assignments'!$B$5:$B$868,D$4,'Policy Assignments'!$E$5:$E$868,"Hold")&gt;0,"H",IF(COUNTIFS('Policy Assignments'!$C$5:$C$868,$A105,'Policy Assignments'!$B$5:$B$868,D$4,'Policy Assignments'!$E$5:$E$868,"Core")&gt;0,"R",IF(COUNTIFS('Policy Assignments'!$C$5:$C$868,$A105,'Policy Assignments'!$B$5:$B$868,D$4,'Policy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E105" s="94" t="str">
        <x:f>IF(COUNTIFS('Policy Assignments'!$C$5:$C$868,$A105,'Policy Assignments'!$B$5:$B$868,E$4,'Policy Assignments'!$E$5:$E$868,"Hold")&gt;0,"H",IF(COUNTIFS('Policy Assignments'!$C$5:$C$868,$A105,'Policy Assignments'!$B$5:$B$868,E$4,'Policy Assignments'!$E$5:$E$868,"Core")&gt;0,"R",IF(COUNTIFS('Policy Assignments'!$C$5:$C$868,$A105,'Policy Assignments'!$B$5:$B$868,E$4,'Policy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F105" s="94" t="str">
        <x:f>IF(COUNTIFS('Policy Assignments'!$C$5:$C$868,$A105,'Policy Assignments'!$B$5:$B$868,F$4,'Policy Assignments'!$E$5:$E$868,"Hold")&gt;0,"H",IF(COUNTIFS('Policy Assignments'!$C$5:$C$868,$A105,'Policy Assignments'!$B$5:$B$868,F$4,'Policy Assignments'!$E$5:$E$868,"Core")&gt;0,"R",IF(COUNTIFS('Policy Assignments'!$C$5:$C$868,$A105,'Policy Assignments'!$B$5:$B$868,F$4,'Policy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G105" s="94" t="str">
        <x:f>IF(COUNTIFS('Policy Assignments'!$C$5:$C$868,$A105,'Policy Assignments'!$B$5:$B$868,G$4,'Policy Assignments'!$E$5:$E$868,"Hold")&gt;0,"H",IF(COUNTIFS('Policy Assignments'!$C$5:$C$868,$A105,'Policy Assignments'!$B$5:$B$868,G$4,'Policy Assignments'!$E$5:$E$868,"Core")&gt;0,"R",IF(COUNTIFS('Policy Assignments'!$C$5:$C$868,$A105,'Policy Assignments'!$B$5:$B$868,G$4,'Policy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H105" s="94" t="str">
        <x:f>IF(COUNTIFS('Policy Assignments'!$C$5:$C$868,$A105,'Policy Assignments'!$B$5:$B$868,H$4,'Policy Assignments'!$E$5:$E$868,"Hold")&gt;0,"H",IF(COUNTIFS('Policy Assignments'!$C$5:$C$868,$A105,'Policy Assignments'!$B$5:$B$868,H$4,'Policy Assignments'!$E$5:$E$868,"Core")&gt;0,"R",IF(COUNTIFS('Policy Assignments'!$C$5:$C$868,$A105,'Policy Assignments'!$B$5:$B$868,H$4,'Policy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I105" s="94" t="str">
        <x:f>IF(COUNTIFS('Policy Assignments'!$C$5:$C$868,$A105,'Policy Assignments'!$B$5:$B$868,I$4,'Policy Assignments'!$E$5:$E$868,"Hold")&gt;0,"H",IF(COUNTIFS('Policy Assignments'!$C$5:$C$868,$A105,'Policy Assignments'!$B$5:$B$868,I$4,'Policy Assignments'!$E$5:$E$868,"Core")&gt;0,"R",IF(COUNTIFS('Policy Assignments'!$C$5:$C$868,$A105,'Policy Assignments'!$B$5:$B$868,I$4,'Policy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J105" s="94" t="str">
        <x:f>IF(COUNTIFS('Policy Assignments'!$C$5:$C$868,$A105,'Policy Assignments'!$B$5:$B$868,J$4,'Policy Assignments'!$E$5:$E$868,"Hold")&gt;0,"H",IF(COUNTIFS('Policy Assignments'!$C$5:$C$868,$A105,'Policy Assignments'!$B$5:$B$868,J$4,'Policy Assignments'!$E$5:$E$868,"Core")&gt;0,"R",IF(COUNTIFS('Policy Assignments'!$C$5:$C$868,$A105,'Policy Assignments'!$B$5:$B$868,J$4,'Policy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K105" s="94" t="str">
        <x:f>IF(COUNTIFS('Policy Assignments'!$C$5:$C$868,$A105,'Policy Assignments'!$B$5:$B$868,K$4,'Policy Assignments'!$E$5:$E$868,"Hold")&gt;0,"H",IF(COUNTIFS('Policy Assignments'!$C$5:$C$868,$A105,'Policy Assignments'!$B$5:$B$868,K$4,'Policy Assignments'!$E$5:$E$868,"Core")&gt;0,"R",IF(COUNTIFS('Policy Assignments'!$C$5:$C$868,$A105,'Policy Assignments'!$B$5:$B$868,K$4,'Policy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L105" s="94" t="str">
        <x:f>IF(COUNTIFS('Policy Assignments'!$C$5:$C$868,$A105,'Policy Assignments'!$B$5:$B$868,L$4,'Policy Assignments'!$E$5:$E$868,"Hold")&gt;0,"H",IF(COUNTIFS('Policy Assignments'!$C$5:$C$868,$A105,'Policy Assignments'!$B$5:$B$868,L$4,'Policy Assignments'!$E$5:$E$868,"Core")&gt;0,"R",IF(COUNTIFS('Policy Assignments'!$C$5:$C$868,$A105,'Policy Assignments'!$B$5:$B$868,L$4,'Policy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M105" s="94" t="str">
        <x:f>IF(COUNTIFS('Policy Assignments'!$C$5:$C$868,$A105,'Policy Assignments'!$B$5:$B$868,M$4,'Policy Assignments'!$E$5:$E$868,"Hold")&gt;0,"H",IF(COUNTIFS('Policy Assignments'!$C$5:$C$868,$A105,'Policy Assignments'!$B$5:$B$868,M$4,'Policy Assignments'!$E$5:$E$868,"Core")&gt;0,"R",IF(COUNTIFS('Policy Assignments'!$C$5:$C$868,$A105,'Policy Assignments'!$B$5:$B$868,M$4,'Policy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v>R</x:v>
      </x:c>
      <x:c r="N105" s="94" t="str">
        <x:f>IF(COUNTIFS('Policy Assignments'!$C$5:$C$868,$A105,'Policy Assignments'!$B$5:$B$868,N$4,'Policy Assignments'!$E$5:$E$868,"Hold")&gt;0,"H",IF(COUNTIFS('Policy Assignments'!$C$5:$C$868,$A105,'Policy Assignments'!$B$5:$B$868,N$4,'Policy Assignments'!$E$5:$E$868,"Core")&gt;0,"R",IF(COUNTIFS('Policy Assignments'!$C$5:$C$868,$A105,'Policy Assignments'!$B$5:$B$868,N$4,'Policy Assignments'!$E$5:$E$868,"Conditional")&gt;0,"C",IF(COUNTIFS('Policy Assignments'!$C$5:$C$868,$A105,'Policy Assignments'!$B$5:$B$868,"General",'Policy Assignments'!$E$5:$E$868,"Hold")&gt;0,"H",IF(COUNTIFS('Policy Assignments'!$C$5:$C$868,$A105,'Policy Assignments'!$B$5:$B$868,"General",'Policy Assignments'!$E$5:$E$868,"Conditional")&gt;0,"C",IF(COUNTIFS('Policy Assignments'!$C$5:$C$868,$A105,'Policy Assignments'!$B$5:$B$868,"General")&gt;0,"G",""))))))</x:f>
      </x:c>
      <x:c r="O105" s="94" t="str">
        <x:f>IF(COUNTIFS('Policy Assignments'!$C$5:$C$868,$A105,'Policy Assignments'!$B$5:$B$868,O$4,'Policy Assignments'!$E$5:$E$868,"Hold")&gt;0,"H",IF(COUNTIFS('Policy Assignments'!$C$5:$C$868,$A105,'Policy Assignments'!$B$5:$B$868,O$4,'Policy Assignments'!$E$5:$E$868,"Core")&gt;0,"R",IF(COUNTIFS('Policy Assignments'!$C$5:$C$868,$A105,'Policy Assignments'!$B$5:$B$868,O$4,'Policy Assignments'!$E$5:$E$868,"Conditional")&gt;0,"C","")))</x:f>
      </x:c>
      <x:c r="P105" s="90" t="str">
        <x:v>Mapped</x:v>
      </x:c>
    </x:row>
    <x:row r="106" ht="22" customHeight="1">
      <x:c r="A106" s="90" t="str">
        <x:v>EN-LC-001</x:v>
      </x:c>
      <x:c r="B106" s="90" t="str">
        <x:v>Policy Lifecycle Control &amp; Version Management</x:v>
      </x:c>
      <x:c r="C106" s="94" t="str">
        <x:f>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D106" s="94" t="str">
        <x:f>IF(COUNTIFS('Policy Assignments'!$C$5:$C$868,$A106,'Policy Assignments'!$B$5:$B$868,D$4,'Policy Assignments'!$E$5:$E$868,"Hold")&gt;0,"H",IF(COUNTIFS('Policy Assignments'!$C$5:$C$868,$A106,'Policy Assignments'!$B$5:$B$868,D$4,'Policy Assignments'!$E$5:$E$868,"Core")&gt;0,"R",IF(COUNTIFS('Policy Assignments'!$C$5:$C$868,$A106,'Policy Assignments'!$B$5:$B$868,D$4,'Policy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E106" s="94" t="str">
        <x:f>IF(COUNTIFS('Policy Assignments'!$C$5:$C$868,$A106,'Policy Assignments'!$B$5:$B$868,E$4,'Policy Assignments'!$E$5:$E$868,"Hold")&gt;0,"H",IF(COUNTIFS('Policy Assignments'!$C$5:$C$868,$A106,'Policy Assignments'!$B$5:$B$868,E$4,'Policy Assignments'!$E$5:$E$868,"Core")&gt;0,"R",IF(COUNTIFS('Policy Assignments'!$C$5:$C$868,$A106,'Policy Assignments'!$B$5:$B$868,E$4,'Policy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F106" s="94" t="str">
        <x:f>IF(COUNTIFS('Policy Assignments'!$C$5:$C$868,$A106,'Policy Assignments'!$B$5:$B$868,F$4,'Policy Assignments'!$E$5:$E$868,"Hold")&gt;0,"H",IF(COUNTIFS('Policy Assignments'!$C$5:$C$868,$A106,'Policy Assignments'!$B$5:$B$868,F$4,'Policy Assignments'!$E$5:$E$868,"Core")&gt;0,"R",IF(COUNTIFS('Policy Assignments'!$C$5:$C$868,$A106,'Policy Assignments'!$B$5:$B$868,F$4,'Policy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G106" s="94" t="str">
        <x:f>IF(COUNTIFS('Policy Assignments'!$C$5:$C$868,$A106,'Policy Assignments'!$B$5:$B$868,G$4,'Policy Assignments'!$E$5:$E$868,"Hold")&gt;0,"H",IF(COUNTIFS('Policy Assignments'!$C$5:$C$868,$A106,'Policy Assignments'!$B$5:$B$868,G$4,'Policy Assignments'!$E$5:$E$868,"Core")&gt;0,"R",IF(COUNTIFS('Policy Assignments'!$C$5:$C$868,$A106,'Policy Assignments'!$B$5:$B$868,G$4,'Policy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H106" s="94" t="str">
        <x:f>IF(COUNTIFS('Policy Assignments'!$C$5:$C$868,$A106,'Policy Assignments'!$B$5:$B$868,H$4,'Policy Assignments'!$E$5:$E$868,"Hold")&gt;0,"H",IF(COUNTIFS('Policy Assignments'!$C$5:$C$868,$A106,'Policy Assignments'!$B$5:$B$868,H$4,'Policy Assignments'!$E$5:$E$868,"Core")&gt;0,"R",IF(COUNTIFS('Policy Assignments'!$C$5:$C$868,$A106,'Policy Assignments'!$B$5:$B$868,H$4,'Policy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I106" s="94" t="str">
        <x:f>IF(COUNTIFS('Policy Assignments'!$C$5:$C$868,$A106,'Policy Assignments'!$B$5:$B$868,I$4,'Policy Assignments'!$E$5:$E$868,"Hold")&gt;0,"H",IF(COUNTIFS('Policy Assignments'!$C$5:$C$868,$A106,'Policy Assignments'!$B$5:$B$868,I$4,'Policy Assignments'!$E$5:$E$868,"Core")&gt;0,"R",IF(COUNTIFS('Policy Assignments'!$C$5:$C$868,$A106,'Policy Assignments'!$B$5:$B$868,I$4,'Policy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J106" s="94" t="str">
        <x:f>IF(COUNTIFS('Policy Assignments'!$C$5:$C$868,$A106,'Policy Assignments'!$B$5:$B$868,J$4,'Policy Assignments'!$E$5:$E$868,"Hold")&gt;0,"H",IF(COUNTIFS('Policy Assignments'!$C$5:$C$868,$A106,'Policy Assignments'!$B$5:$B$868,J$4,'Policy Assignments'!$E$5:$E$868,"Core")&gt;0,"R",IF(COUNTIFS('Policy Assignments'!$C$5:$C$868,$A106,'Policy Assignments'!$B$5:$B$868,J$4,'Policy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K106" s="94" t="str">
        <x:f>IF(COUNTIFS('Policy Assignments'!$C$5:$C$868,$A106,'Policy Assignments'!$B$5:$B$868,K$4,'Policy Assignments'!$E$5:$E$868,"Hold")&gt;0,"H",IF(COUNTIFS('Policy Assignments'!$C$5:$C$868,$A106,'Policy Assignments'!$B$5:$B$868,K$4,'Policy Assignments'!$E$5:$E$868,"Core")&gt;0,"R",IF(COUNTIFS('Policy Assignments'!$C$5:$C$868,$A106,'Policy Assignments'!$B$5:$B$868,K$4,'Policy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L106" s="94" t="str">
        <x:f>IF(COUNTIFS('Policy Assignments'!$C$5:$C$868,$A106,'Policy Assignments'!$B$5:$B$868,L$4,'Policy Assignments'!$E$5:$E$868,"Hold")&gt;0,"H",IF(COUNTIFS('Policy Assignments'!$C$5:$C$868,$A106,'Policy Assignments'!$B$5:$B$868,L$4,'Policy Assignments'!$E$5:$E$868,"Core")&gt;0,"R",IF(COUNTIFS('Policy Assignments'!$C$5:$C$868,$A106,'Policy Assignments'!$B$5:$B$868,L$4,'Policy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M106" s="94" t="str">
        <x:f>IF(COUNTIFS('Policy Assignments'!$C$5:$C$868,$A106,'Policy Assignments'!$B$5:$B$868,M$4,'Policy Assignments'!$E$5:$E$868,"Hold")&gt;0,"H",IF(COUNTIFS('Policy Assignments'!$C$5:$C$868,$A106,'Policy Assignments'!$B$5:$B$868,M$4,'Policy Assignments'!$E$5:$E$868,"Core")&gt;0,"R",IF(COUNTIFS('Policy Assignments'!$C$5:$C$868,$A106,'Policy Assignments'!$B$5:$B$868,M$4,'Policy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v>R</x:v>
      </x:c>
      <x:c r="N106" s="94" t="str">
        <x:f>IF(COUNTIFS('Policy Assignments'!$C$5:$C$868,$A106,'Policy Assignments'!$B$5:$B$868,N$4,'Policy Assignments'!$E$5:$E$868,"Hold")&gt;0,"H",IF(COUNTIFS('Policy Assignments'!$C$5:$C$868,$A106,'Policy Assignments'!$B$5:$B$868,N$4,'Policy Assignments'!$E$5:$E$868,"Core")&gt;0,"R",IF(COUNTIFS('Policy Assignments'!$C$5:$C$868,$A106,'Policy Assignments'!$B$5:$B$868,N$4,'Policy Assignments'!$E$5:$E$868,"Conditional")&gt;0,"C",IF(COUNTIFS('Policy Assignments'!$C$5:$C$868,$A106,'Policy Assignments'!$B$5:$B$868,"General",'Policy Assignments'!$E$5:$E$868,"Hold")&gt;0,"H",IF(COUNTIFS('Policy Assignments'!$C$5:$C$868,$A106,'Policy Assignments'!$B$5:$B$868,"General",'Policy Assignments'!$E$5:$E$868,"Conditional")&gt;0,"C",IF(COUNTIFS('Policy Assignments'!$C$5:$C$868,$A106,'Policy Assignments'!$B$5:$B$868,"General")&gt;0,"G",""))))))</x:f>
      </x:c>
      <x:c r="O106" s="94" t="str">
        <x:f>IF(COUNTIFS('Policy Assignments'!$C$5:$C$868,$A106,'Policy Assignments'!$B$5:$B$868,O$4,'Policy Assignments'!$E$5:$E$868,"Hold")&gt;0,"H",IF(COUNTIFS('Policy Assignments'!$C$5:$C$868,$A106,'Policy Assignments'!$B$5:$B$868,O$4,'Policy Assignments'!$E$5:$E$868,"Core")&gt;0,"R",IF(COUNTIFS('Policy Assignments'!$C$5:$C$868,$A106,'Policy Assignments'!$B$5:$B$868,O$4,'Policy Assignments'!$E$5:$E$868,"Conditional")&gt;0,"C","")))</x:f>
      </x:c>
      <x:c r="P106" s="90" t="str">
        <x:v>Mapped</x:v>
      </x:c>
    </x:row>
    <x:row r="107" ht="22" customHeight="1">
      <x:c r="A107" s="90" t="str">
        <x:v>EN-LC-003</x:v>
      </x:c>
      <x:c r="B107" s="90" t="str">
        <x:v>Policy Assignment and Role-Based Applicability Governance</x:v>
      </x:c>
      <x:c r="C107" s="94" t="str">
        <x:f>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D107" s="94" t="str">
        <x:f>IF(COUNTIFS('Policy Assignments'!$C$5:$C$868,$A107,'Policy Assignments'!$B$5:$B$868,D$4,'Policy Assignments'!$E$5:$E$868,"Hold")&gt;0,"H",IF(COUNTIFS('Policy Assignments'!$C$5:$C$868,$A107,'Policy Assignments'!$B$5:$B$868,D$4,'Policy Assignments'!$E$5:$E$868,"Core")&gt;0,"R",IF(COUNTIFS('Policy Assignments'!$C$5:$C$868,$A107,'Policy Assignments'!$B$5:$B$868,D$4,'Policy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E107" s="94" t="str">
        <x:f>IF(COUNTIFS('Policy Assignments'!$C$5:$C$868,$A107,'Policy Assignments'!$B$5:$B$868,E$4,'Policy Assignments'!$E$5:$E$868,"Hold")&gt;0,"H",IF(COUNTIFS('Policy Assignments'!$C$5:$C$868,$A107,'Policy Assignments'!$B$5:$B$868,E$4,'Policy Assignments'!$E$5:$E$868,"Core")&gt;0,"R",IF(COUNTIFS('Policy Assignments'!$C$5:$C$868,$A107,'Policy Assignments'!$B$5:$B$868,E$4,'Policy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F107" s="94" t="str">
        <x:f>IF(COUNTIFS('Policy Assignments'!$C$5:$C$868,$A107,'Policy Assignments'!$B$5:$B$868,F$4,'Policy Assignments'!$E$5:$E$868,"Hold")&gt;0,"H",IF(COUNTIFS('Policy Assignments'!$C$5:$C$868,$A107,'Policy Assignments'!$B$5:$B$868,F$4,'Policy Assignments'!$E$5:$E$868,"Core")&gt;0,"R",IF(COUNTIFS('Policy Assignments'!$C$5:$C$868,$A107,'Policy Assignments'!$B$5:$B$868,F$4,'Policy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G107" s="94" t="str">
        <x:f>IF(COUNTIFS('Policy Assignments'!$C$5:$C$868,$A107,'Policy Assignments'!$B$5:$B$868,G$4,'Policy Assignments'!$E$5:$E$868,"Hold")&gt;0,"H",IF(COUNTIFS('Policy Assignments'!$C$5:$C$868,$A107,'Policy Assignments'!$B$5:$B$868,G$4,'Policy Assignments'!$E$5:$E$868,"Core")&gt;0,"R",IF(COUNTIFS('Policy Assignments'!$C$5:$C$868,$A107,'Policy Assignments'!$B$5:$B$868,G$4,'Policy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H107" s="94" t="str">
        <x:f>IF(COUNTIFS('Policy Assignments'!$C$5:$C$868,$A107,'Policy Assignments'!$B$5:$B$868,H$4,'Policy Assignments'!$E$5:$E$868,"Hold")&gt;0,"H",IF(COUNTIFS('Policy Assignments'!$C$5:$C$868,$A107,'Policy Assignments'!$B$5:$B$868,H$4,'Policy Assignments'!$E$5:$E$868,"Core")&gt;0,"R",IF(COUNTIFS('Policy Assignments'!$C$5:$C$868,$A107,'Policy Assignments'!$B$5:$B$868,H$4,'Policy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I107" s="94" t="str">
        <x:f>IF(COUNTIFS('Policy Assignments'!$C$5:$C$868,$A107,'Policy Assignments'!$B$5:$B$868,I$4,'Policy Assignments'!$E$5:$E$868,"Hold")&gt;0,"H",IF(COUNTIFS('Policy Assignments'!$C$5:$C$868,$A107,'Policy Assignments'!$B$5:$B$868,I$4,'Policy Assignments'!$E$5:$E$868,"Core")&gt;0,"R",IF(COUNTIFS('Policy Assignments'!$C$5:$C$868,$A107,'Policy Assignments'!$B$5:$B$868,I$4,'Policy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J107" s="94" t="str">
        <x:f>IF(COUNTIFS('Policy Assignments'!$C$5:$C$868,$A107,'Policy Assignments'!$B$5:$B$868,J$4,'Policy Assignments'!$E$5:$E$868,"Hold")&gt;0,"H",IF(COUNTIFS('Policy Assignments'!$C$5:$C$868,$A107,'Policy Assignments'!$B$5:$B$868,J$4,'Policy Assignments'!$E$5:$E$868,"Core")&gt;0,"R",IF(COUNTIFS('Policy Assignments'!$C$5:$C$868,$A107,'Policy Assignments'!$B$5:$B$868,J$4,'Policy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K107" s="94" t="str">
        <x:f>IF(COUNTIFS('Policy Assignments'!$C$5:$C$868,$A107,'Policy Assignments'!$B$5:$B$868,K$4,'Policy Assignments'!$E$5:$E$868,"Hold")&gt;0,"H",IF(COUNTIFS('Policy Assignments'!$C$5:$C$868,$A107,'Policy Assignments'!$B$5:$B$868,K$4,'Policy Assignments'!$E$5:$E$868,"Core")&gt;0,"R",IF(COUNTIFS('Policy Assignments'!$C$5:$C$868,$A107,'Policy Assignments'!$B$5:$B$868,K$4,'Policy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L107" s="94" t="str">
        <x:f>IF(COUNTIFS('Policy Assignments'!$C$5:$C$868,$A107,'Policy Assignments'!$B$5:$B$868,L$4,'Policy Assignments'!$E$5:$E$868,"Hold")&gt;0,"H",IF(COUNTIFS('Policy Assignments'!$C$5:$C$868,$A107,'Policy Assignments'!$B$5:$B$868,L$4,'Policy Assignments'!$E$5:$E$868,"Core")&gt;0,"R",IF(COUNTIFS('Policy Assignments'!$C$5:$C$868,$A107,'Policy Assignments'!$B$5:$B$868,L$4,'Policy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M107" s="94" t="str">
        <x:f>IF(COUNTIFS('Policy Assignments'!$C$5:$C$868,$A107,'Policy Assignments'!$B$5:$B$868,M$4,'Policy Assignments'!$E$5:$E$868,"Hold")&gt;0,"H",IF(COUNTIFS('Policy Assignments'!$C$5:$C$868,$A107,'Policy Assignments'!$B$5:$B$868,M$4,'Policy Assignments'!$E$5:$E$868,"Core")&gt;0,"R",IF(COUNTIFS('Policy Assignments'!$C$5:$C$868,$A107,'Policy Assignments'!$B$5:$B$868,M$4,'Policy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v>R</x:v>
      </x:c>
      <x:c r="N107" s="94" t="str">
        <x:f>IF(COUNTIFS('Policy Assignments'!$C$5:$C$868,$A107,'Policy Assignments'!$B$5:$B$868,N$4,'Policy Assignments'!$E$5:$E$868,"Hold")&gt;0,"H",IF(COUNTIFS('Policy Assignments'!$C$5:$C$868,$A107,'Policy Assignments'!$B$5:$B$868,N$4,'Policy Assignments'!$E$5:$E$868,"Core")&gt;0,"R",IF(COUNTIFS('Policy Assignments'!$C$5:$C$868,$A107,'Policy Assignments'!$B$5:$B$868,N$4,'Policy Assignments'!$E$5:$E$868,"Conditional")&gt;0,"C",IF(COUNTIFS('Policy Assignments'!$C$5:$C$868,$A107,'Policy Assignments'!$B$5:$B$868,"General",'Policy Assignments'!$E$5:$E$868,"Hold")&gt;0,"H",IF(COUNTIFS('Policy Assignments'!$C$5:$C$868,$A107,'Policy Assignments'!$B$5:$B$868,"General",'Policy Assignments'!$E$5:$E$868,"Conditional")&gt;0,"C",IF(COUNTIFS('Policy Assignments'!$C$5:$C$868,$A107,'Policy Assignments'!$B$5:$B$868,"General")&gt;0,"G",""))))))</x:f>
      </x:c>
      <x:c r="O107" s="94" t="str">
        <x:f>IF(COUNTIFS('Policy Assignments'!$C$5:$C$868,$A107,'Policy Assignments'!$B$5:$B$868,O$4,'Policy Assignments'!$E$5:$E$868,"Hold")&gt;0,"H",IF(COUNTIFS('Policy Assignments'!$C$5:$C$868,$A107,'Policy Assignments'!$B$5:$B$868,O$4,'Policy Assignments'!$E$5:$E$868,"Core")&gt;0,"R",IF(COUNTIFS('Policy Assignments'!$C$5:$C$868,$A107,'Policy Assignments'!$B$5:$B$868,O$4,'Policy Assignments'!$E$5:$E$868,"Conditional")&gt;0,"C","")))</x:f>
      </x:c>
      <x:c r="P107" s="90" t="str">
        <x:v>Mapped</x:v>
      </x:c>
    </x:row>
    <x:row r="108" ht="22" customHeight="1">
      <x:c r="A108" s="90" t="str">
        <x:v>FN-BC-004</x:v>
      </x:c>
      <x:c r="B108" s="90" t="str">
        <x:v>Overpayment Identification &amp; Refund</x:v>
      </x:c>
      <x:c r="C108" s="94" t="str">
        <x:f>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D108" s="94" t="str">
        <x:f>IF(COUNTIFS('Policy Assignments'!$C$5:$C$868,$A108,'Policy Assignments'!$B$5:$B$868,D$4,'Policy Assignments'!$E$5:$E$868,"Hold")&gt;0,"H",IF(COUNTIFS('Policy Assignments'!$C$5:$C$868,$A108,'Policy Assignments'!$B$5:$B$868,D$4,'Policy Assignments'!$E$5:$E$868,"Core")&gt;0,"R",IF(COUNTIFS('Policy Assignments'!$C$5:$C$868,$A108,'Policy Assignments'!$B$5:$B$868,D$4,'Policy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E108" s="94" t="str">
        <x:f>IF(COUNTIFS('Policy Assignments'!$C$5:$C$868,$A108,'Policy Assignments'!$B$5:$B$868,E$4,'Policy Assignments'!$E$5:$E$868,"Hold")&gt;0,"H",IF(COUNTIFS('Policy Assignments'!$C$5:$C$868,$A108,'Policy Assignments'!$B$5:$B$868,E$4,'Policy Assignments'!$E$5:$E$868,"Core")&gt;0,"R",IF(COUNTIFS('Policy Assignments'!$C$5:$C$868,$A108,'Policy Assignments'!$B$5:$B$868,E$4,'Policy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F108" s="94" t="str">
        <x:f>IF(COUNTIFS('Policy Assignments'!$C$5:$C$868,$A108,'Policy Assignments'!$B$5:$B$868,F$4,'Policy Assignments'!$E$5:$E$868,"Hold")&gt;0,"H",IF(COUNTIFS('Policy Assignments'!$C$5:$C$868,$A108,'Policy Assignments'!$B$5:$B$868,F$4,'Policy Assignments'!$E$5:$E$868,"Core")&gt;0,"R",IF(COUNTIFS('Policy Assignments'!$C$5:$C$868,$A108,'Policy Assignments'!$B$5:$B$868,F$4,'Policy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G108" s="94" t="str">
        <x:f>IF(COUNTIFS('Policy Assignments'!$C$5:$C$868,$A108,'Policy Assignments'!$B$5:$B$868,G$4,'Policy Assignments'!$E$5:$E$868,"Hold")&gt;0,"H",IF(COUNTIFS('Policy Assignments'!$C$5:$C$868,$A108,'Policy Assignments'!$B$5:$B$868,G$4,'Policy Assignments'!$E$5:$E$868,"Core")&gt;0,"R",IF(COUNTIFS('Policy Assignments'!$C$5:$C$868,$A108,'Policy Assignments'!$B$5:$B$868,G$4,'Policy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H108" s="94" t="str">
        <x:f>IF(COUNTIFS('Policy Assignments'!$C$5:$C$868,$A108,'Policy Assignments'!$B$5:$B$868,H$4,'Policy Assignments'!$E$5:$E$868,"Hold")&gt;0,"H",IF(COUNTIFS('Policy Assignments'!$C$5:$C$868,$A108,'Policy Assignments'!$B$5:$B$868,H$4,'Policy Assignments'!$E$5:$E$868,"Core")&gt;0,"R",IF(COUNTIFS('Policy Assignments'!$C$5:$C$868,$A108,'Policy Assignments'!$B$5:$B$868,H$4,'Policy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I108" s="94" t="str">
        <x:f>IF(COUNTIFS('Policy Assignments'!$C$5:$C$868,$A108,'Policy Assignments'!$B$5:$B$868,I$4,'Policy Assignments'!$E$5:$E$868,"Hold")&gt;0,"H",IF(COUNTIFS('Policy Assignments'!$C$5:$C$868,$A108,'Policy Assignments'!$B$5:$B$868,I$4,'Policy Assignments'!$E$5:$E$868,"Core")&gt;0,"R",IF(COUNTIFS('Policy Assignments'!$C$5:$C$868,$A108,'Policy Assignments'!$B$5:$B$868,I$4,'Policy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J108" s="94" t="str">
        <x:f>IF(COUNTIFS('Policy Assignments'!$C$5:$C$868,$A108,'Policy Assignments'!$B$5:$B$868,J$4,'Policy Assignments'!$E$5:$E$868,"Hold")&gt;0,"H",IF(COUNTIFS('Policy Assignments'!$C$5:$C$868,$A108,'Policy Assignments'!$B$5:$B$868,J$4,'Policy Assignments'!$E$5:$E$868,"Core")&gt;0,"R",IF(COUNTIFS('Policy Assignments'!$C$5:$C$868,$A108,'Policy Assignments'!$B$5:$B$868,J$4,'Policy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K108" s="94" t="str">
        <x:f>IF(COUNTIFS('Policy Assignments'!$C$5:$C$868,$A108,'Policy Assignments'!$B$5:$B$868,K$4,'Policy Assignments'!$E$5:$E$868,"Hold")&gt;0,"H",IF(COUNTIFS('Policy Assignments'!$C$5:$C$868,$A108,'Policy Assignments'!$B$5:$B$868,K$4,'Policy Assignments'!$E$5:$E$868,"Core")&gt;0,"R",IF(COUNTIFS('Policy Assignments'!$C$5:$C$868,$A108,'Policy Assignments'!$B$5:$B$868,K$4,'Policy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L108" s="94" t="str">
        <x:f>IF(COUNTIFS('Policy Assignments'!$C$5:$C$868,$A108,'Policy Assignments'!$B$5:$B$868,L$4,'Policy Assignments'!$E$5:$E$868,"Hold")&gt;0,"H",IF(COUNTIFS('Policy Assignments'!$C$5:$C$868,$A108,'Policy Assignments'!$B$5:$B$868,L$4,'Policy Assignments'!$E$5:$E$868,"Core")&gt;0,"R",IF(COUNTIFS('Policy Assignments'!$C$5:$C$868,$A108,'Policy Assignments'!$B$5:$B$868,L$4,'Policy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M108" s="94" t="str">
        <x:f>IF(COUNTIFS('Policy Assignments'!$C$5:$C$868,$A108,'Policy Assignments'!$B$5:$B$868,M$4,'Policy Assignments'!$E$5:$E$868,"Hold")&gt;0,"H",IF(COUNTIFS('Policy Assignments'!$C$5:$C$868,$A108,'Policy Assignments'!$B$5:$B$868,M$4,'Policy Assignments'!$E$5:$E$868,"Core")&gt;0,"R",IF(COUNTIFS('Policy Assignments'!$C$5:$C$868,$A108,'Policy Assignments'!$B$5:$B$868,M$4,'Policy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v>R</x:v>
      </x:c>
      <x:c r="N108" s="94" t="str">
        <x:f>IF(COUNTIFS('Policy Assignments'!$C$5:$C$868,$A108,'Policy Assignments'!$B$5:$B$868,N$4,'Policy Assignments'!$E$5:$E$868,"Hold")&gt;0,"H",IF(COUNTIFS('Policy Assignments'!$C$5:$C$868,$A108,'Policy Assignments'!$B$5:$B$868,N$4,'Policy Assignments'!$E$5:$E$868,"Core")&gt;0,"R",IF(COUNTIFS('Policy Assignments'!$C$5:$C$868,$A108,'Policy Assignments'!$B$5:$B$868,N$4,'Policy Assignments'!$E$5:$E$868,"Conditional")&gt;0,"C",IF(COUNTIFS('Policy Assignments'!$C$5:$C$868,$A108,'Policy Assignments'!$B$5:$B$868,"General",'Policy Assignments'!$E$5:$E$868,"Hold")&gt;0,"H",IF(COUNTIFS('Policy Assignments'!$C$5:$C$868,$A108,'Policy Assignments'!$B$5:$B$868,"General",'Policy Assignments'!$E$5:$E$868,"Conditional")&gt;0,"C",IF(COUNTIFS('Policy Assignments'!$C$5:$C$868,$A108,'Policy Assignments'!$B$5:$B$868,"General")&gt;0,"G",""))))))</x:f>
      </x:c>
      <x:c r="O108" s="94" t="str">
        <x:f>IF(COUNTIFS('Policy Assignments'!$C$5:$C$868,$A108,'Policy Assignments'!$B$5:$B$868,O$4,'Policy Assignments'!$E$5:$E$868,"Hold")&gt;0,"H",IF(COUNTIFS('Policy Assignments'!$C$5:$C$868,$A108,'Policy Assignments'!$B$5:$B$868,O$4,'Policy Assignments'!$E$5:$E$868,"Core")&gt;0,"R",IF(COUNTIFS('Policy Assignments'!$C$5:$C$868,$A108,'Policy Assignments'!$B$5:$B$868,O$4,'Policy Assignments'!$E$5:$E$868,"Conditional")&gt;0,"C","")))</x:f>
        <x:v>R</x:v>
      </x:c>
      <x:c r="P108" s="90" t="str">
        <x:v>Mapped</x:v>
      </x:c>
    </x:row>
    <x:row r="109" ht="22" customHeight="1">
      <x:c r="A109" s="90" t="str">
        <x:v>FN-CM-001</x:v>
      </x:c>
      <x:c r="B109" s="90" t="str">
        <x:v>PDGM Classification &amp; Coding Accuracy</x:v>
      </x:c>
      <x:c r="C109" s="94" t="str">
        <x:f>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D109" s="94" t="str">
        <x:f>IF(COUNTIFS('Policy Assignments'!$C$5:$C$868,$A109,'Policy Assignments'!$B$5:$B$868,D$4,'Policy Assignments'!$E$5:$E$868,"Hold")&gt;0,"H",IF(COUNTIFS('Policy Assignments'!$C$5:$C$868,$A109,'Policy Assignments'!$B$5:$B$868,D$4,'Policy Assignments'!$E$5:$E$868,"Core")&gt;0,"R",IF(COUNTIFS('Policy Assignments'!$C$5:$C$868,$A109,'Policy Assignments'!$B$5:$B$868,D$4,'Policy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E109" s="94" t="str">
        <x:f>IF(COUNTIFS('Policy Assignments'!$C$5:$C$868,$A109,'Policy Assignments'!$B$5:$B$868,E$4,'Policy Assignments'!$E$5:$E$868,"Hold")&gt;0,"H",IF(COUNTIFS('Policy Assignments'!$C$5:$C$868,$A109,'Policy Assignments'!$B$5:$B$868,E$4,'Policy Assignments'!$E$5:$E$868,"Core")&gt;0,"R",IF(COUNTIFS('Policy Assignments'!$C$5:$C$868,$A109,'Policy Assignments'!$B$5:$B$868,E$4,'Policy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F109" s="94" t="str">
        <x:f>IF(COUNTIFS('Policy Assignments'!$C$5:$C$868,$A109,'Policy Assignments'!$B$5:$B$868,F$4,'Policy Assignments'!$E$5:$E$868,"Hold")&gt;0,"H",IF(COUNTIFS('Policy Assignments'!$C$5:$C$868,$A109,'Policy Assignments'!$B$5:$B$868,F$4,'Policy Assignments'!$E$5:$E$868,"Core")&gt;0,"R",IF(COUNTIFS('Policy Assignments'!$C$5:$C$868,$A109,'Policy Assignments'!$B$5:$B$868,F$4,'Policy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G109" s="94" t="str">
        <x:f>IF(COUNTIFS('Policy Assignments'!$C$5:$C$868,$A109,'Policy Assignments'!$B$5:$B$868,G$4,'Policy Assignments'!$E$5:$E$868,"Hold")&gt;0,"H",IF(COUNTIFS('Policy Assignments'!$C$5:$C$868,$A109,'Policy Assignments'!$B$5:$B$868,G$4,'Policy Assignments'!$E$5:$E$868,"Core")&gt;0,"R",IF(COUNTIFS('Policy Assignments'!$C$5:$C$868,$A109,'Policy Assignments'!$B$5:$B$868,G$4,'Policy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H109" s="94" t="str">
        <x:f>IF(COUNTIFS('Policy Assignments'!$C$5:$C$868,$A109,'Policy Assignments'!$B$5:$B$868,H$4,'Policy Assignments'!$E$5:$E$868,"Hold")&gt;0,"H",IF(COUNTIFS('Policy Assignments'!$C$5:$C$868,$A109,'Policy Assignments'!$B$5:$B$868,H$4,'Policy Assignments'!$E$5:$E$868,"Core")&gt;0,"R",IF(COUNTIFS('Policy Assignments'!$C$5:$C$868,$A109,'Policy Assignments'!$B$5:$B$868,H$4,'Policy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I109" s="94" t="str">
        <x:f>IF(COUNTIFS('Policy Assignments'!$C$5:$C$868,$A109,'Policy Assignments'!$B$5:$B$868,I$4,'Policy Assignments'!$E$5:$E$868,"Hold")&gt;0,"H",IF(COUNTIFS('Policy Assignments'!$C$5:$C$868,$A109,'Policy Assignments'!$B$5:$B$868,I$4,'Policy Assignments'!$E$5:$E$868,"Core")&gt;0,"R",IF(COUNTIFS('Policy Assignments'!$C$5:$C$868,$A109,'Policy Assignments'!$B$5:$B$868,I$4,'Policy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J109" s="94" t="str">
        <x:f>IF(COUNTIFS('Policy Assignments'!$C$5:$C$868,$A109,'Policy Assignments'!$B$5:$B$868,J$4,'Policy Assignments'!$E$5:$E$868,"Hold")&gt;0,"H",IF(COUNTIFS('Policy Assignments'!$C$5:$C$868,$A109,'Policy Assignments'!$B$5:$B$868,J$4,'Policy Assignments'!$E$5:$E$868,"Core")&gt;0,"R",IF(COUNTIFS('Policy Assignments'!$C$5:$C$868,$A109,'Policy Assignments'!$B$5:$B$868,J$4,'Policy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K109" s="94" t="str">
        <x:f>IF(COUNTIFS('Policy Assignments'!$C$5:$C$868,$A109,'Policy Assignments'!$B$5:$B$868,K$4,'Policy Assignments'!$E$5:$E$868,"Hold")&gt;0,"H",IF(COUNTIFS('Policy Assignments'!$C$5:$C$868,$A109,'Policy Assignments'!$B$5:$B$868,K$4,'Policy Assignments'!$E$5:$E$868,"Core")&gt;0,"R",IF(COUNTIFS('Policy Assignments'!$C$5:$C$868,$A109,'Policy Assignments'!$B$5:$B$868,K$4,'Policy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L109" s="94" t="str">
        <x:f>IF(COUNTIFS('Policy Assignments'!$C$5:$C$868,$A109,'Policy Assignments'!$B$5:$B$868,L$4,'Policy Assignments'!$E$5:$E$868,"Hold")&gt;0,"H",IF(COUNTIFS('Policy Assignments'!$C$5:$C$868,$A109,'Policy Assignments'!$B$5:$B$868,L$4,'Policy Assignments'!$E$5:$E$868,"Core")&gt;0,"R",IF(COUNTIFS('Policy Assignments'!$C$5:$C$868,$A109,'Policy Assignments'!$B$5:$B$868,L$4,'Policy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M109" s="94" t="str">
        <x:f>IF(COUNTIFS('Policy Assignments'!$C$5:$C$868,$A109,'Policy Assignments'!$B$5:$B$868,M$4,'Policy Assignments'!$E$5:$E$868,"Hold")&gt;0,"H",IF(COUNTIFS('Policy Assignments'!$C$5:$C$868,$A109,'Policy Assignments'!$B$5:$B$868,M$4,'Policy Assignments'!$E$5:$E$868,"Core")&gt;0,"R",IF(COUNTIFS('Policy Assignments'!$C$5:$C$868,$A109,'Policy Assignments'!$B$5:$B$868,M$4,'Policy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c>
      <x:c r="N109" s="94" t="str">
        <x:f>IF(COUNTIFS('Policy Assignments'!$C$5:$C$868,$A109,'Policy Assignments'!$B$5:$B$868,N$4,'Policy Assignments'!$E$5:$E$868,"Hold")&gt;0,"H",IF(COUNTIFS('Policy Assignments'!$C$5:$C$868,$A109,'Policy Assignments'!$B$5:$B$868,N$4,'Policy Assignments'!$E$5:$E$868,"Core")&gt;0,"R",IF(COUNTIFS('Policy Assignments'!$C$5:$C$868,$A109,'Policy Assignments'!$B$5:$B$868,N$4,'Policy Assignments'!$E$5:$E$868,"Conditional")&gt;0,"C",IF(COUNTIFS('Policy Assignments'!$C$5:$C$868,$A109,'Policy Assignments'!$B$5:$B$868,"General",'Policy Assignments'!$E$5:$E$868,"Hold")&gt;0,"H",IF(COUNTIFS('Policy Assignments'!$C$5:$C$868,$A109,'Policy Assignments'!$B$5:$B$868,"General",'Policy Assignments'!$E$5:$E$868,"Conditional")&gt;0,"C",IF(COUNTIFS('Policy Assignments'!$C$5:$C$868,$A109,'Policy Assignments'!$B$5:$B$868,"General")&gt;0,"G",""))))))</x:f>
        <x:v>R</x:v>
      </x:c>
      <x:c r="O109" s="94" t="str">
        <x:f>IF(COUNTIFS('Policy Assignments'!$C$5:$C$868,$A109,'Policy Assignments'!$B$5:$B$868,O$4,'Policy Assignments'!$E$5:$E$868,"Hold")&gt;0,"H",IF(COUNTIFS('Policy Assignments'!$C$5:$C$868,$A109,'Policy Assignments'!$B$5:$B$868,O$4,'Policy Assignments'!$E$5:$E$868,"Core")&gt;0,"R",IF(COUNTIFS('Policy Assignments'!$C$5:$C$868,$A109,'Policy Assignments'!$B$5:$B$868,O$4,'Policy Assignments'!$E$5:$E$868,"Conditional")&gt;0,"C","")))</x:f>
      </x:c>
      <x:c r="P109" s="90" t="str">
        <x:v>Mapped</x:v>
      </x:c>
    </x:row>
    <x:row r="110" ht="22" customHeight="1">
      <x:c r="A110" s="90" t="str">
        <x:v>FN-CM-002</x:v>
      </x:c>
      <x:c r="B110" s="90" t="str">
        <x:v>ICD-10 Coding Standards &amp; Accuracy</x:v>
      </x:c>
      <x:c r="C110" s="94" t="str">
        <x:f>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D110" s="94" t="str">
        <x:f>IF(COUNTIFS('Policy Assignments'!$C$5:$C$868,$A110,'Policy Assignments'!$B$5:$B$868,D$4,'Policy Assignments'!$E$5:$E$868,"Hold")&gt;0,"H",IF(COUNTIFS('Policy Assignments'!$C$5:$C$868,$A110,'Policy Assignments'!$B$5:$B$868,D$4,'Policy Assignments'!$E$5:$E$868,"Core")&gt;0,"R",IF(COUNTIFS('Policy Assignments'!$C$5:$C$868,$A110,'Policy Assignments'!$B$5:$B$868,D$4,'Policy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E110" s="94" t="str">
        <x:f>IF(COUNTIFS('Policy Assignments'!$C$5:$C$868,$A110,'Policy Assignments'!$B$5:$B$868,E$4,'Policy Assignments'!$E$5:$E$868,"Hold")&gt;0,"H",IF(COUNTIFS('Policy Assignments'!$C$5:$C$868,$A110,'Policy Assignments'!$B$5:$B$868,E$4,'Policy Assignments'!$E$5:$E$868,"Core")&gt;0,"R",IF(COUNTIFS('Policy Assignments'!$C$5:$C$868,$A110,'Policy Assignments'!$B$5:$B$868,E$4,'Policy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F110" s="94" t="str">
        <x:f>IF(COUNTIFS('Policy Assignments'!$C$5:$C$868,$A110,'Policy Assignments'!$B$5:$B$868,F$4,'Policy Assignments'!$E$5:$E$868,"Hold")&gt;0,"H",IF(COUNTIFS('Policy Assignments'!$C$5:$C$868,$A110,'Policy Assignments'!$B$5:$B$868,F$4,'Policy Assignments'!$E$5:$E$868,"Core")&gt;0,"R",IF(COUNTIFS('Policy Assignments'!$C$5:$C$868,$A110,'Policy Assignments'!$B$5:$B$868,F$4,'Policy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G110" s="94" t="str">
        <x:f>IF(COUNTIFS('Policy Assignments'!$C$5:$C$868,$A110,'Policy Assignments'!$B$5:$B$868,G$4,'Policy Assignments'!$E$5:$E$868,"Hold")&gt;0,"H",IF(COUNTIFS('Policy Assignments'!$C$5:$C$868,$A110,'Policy Assignments'!$B$5:$B$868,G$4,'Policy Assignments'!$E$5:$E$868,"Core")&gt;0,"R",IF(COUNTIFS('Policy Assignments'!$C$5:$C$868,$A110,'Policy Assignments'!$B$5:$B$868,G$4,'Policy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H110" s="94" t="str">
        <x:f>IF(COUNTIFS('Policy Assignments'!$C$5:$C$868,$A110,'Policy Assignments'!$B$5:$B$868,H$4,'Policy Assignments'!$E$5:$E$868,"Hold")&gt;0,"H",IF(COUNTIFS('Policy Assignments'!$C$5:$C$868,$A110,'Policy Assignments'!$B$5:$B$868,H$4,'Policy Assignments'!$E$5:$E$868,"Core")&gt;0,"R",IF(COUNTIFS('Policy Assignments'!$C$5:$C$868,$A110,'Policy Assignments'!$B$5:$B$868,H$4,'Policy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I110" s="94" t="str">
        <x:f>IF(COUNTIFS('Policy Assignments'!$C$5:$C$868,$A110,'Policy Assignments'!$B$5:$B$868,I$4,'Policy Assignments'!$E$5:$E$868,"Hold")&gt;0,"H",IF(COUNTIFS('Policy Assignments'!$C$5:$C$868,$A110,'Policy Assignments'!$B$5:$B$868,I$4,'Policy Assignments'!$E$5:$E$868,"Core")&gt;0,"R",IF(COUNTIFS('Policy Assignments'!$C$5:$C$868,$A110,'Policy Assignments'!$B$5:$B$868,I$4,'Policy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J110" s="94" t="str">
        <x:f>IF(COUNTIFS('Policy Assignments'!$C$5:$C$868,$A110,'Policy Assignments'!$B$5:$B$868,J$4,'Policy Assignments'!$E$5:$E$868,"Hold")&gt;0,"H",IF(COUNTIFS('Policy Assignments'!$C$5:$C$868,$A110,'Policy Assignments'!$B$5:$B$868,J$4,'Policy Assignments'!$E$5:$E$868,"Core")&gt;0,"R",IF(COUNTIFS('Policy Assignments'!$C$5:$C$868,$A110,'Policy Assignments'!$B$5:$B$868,J$4,'Policy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K110" s="94" t="str">
        <x:f>IF(COUNTIFS('Policy Assignments'!$C$5:$C$868,$A110,'Policy Assignments'!$B$5:$B$868,K$4,'Policy Assignments'!$E$5:$E$868,"Hold")&gt;0,"H",IF(COUNTIFS('Policy Assignments'!$C$5:$C$868,$A110,'Policy Assignments'!$B$5:$B$868,K$4,'Policy Assignments'!$E$5:$E$868,"Core")&gt;0,"R",IF(COUNTIFS('Policy Assignments'!$C$5:$C$868,$A110,'Policy Assignments'!$B$5:$B$868,K$4,'Policy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L110" s="94" t="str">
        <x:f>IF(COUNTIFS('Policy Assignments'!$C$5:$C$868,$A110,'Policy Assignments'!$B$5:$B$868,L$4,'Policy Assignments'!$E$5:$E$868,"Hold")&gt;0,"H",IF(COUNTIFS('Policy Assignments'!$C$5:$C$868,$A110,'Policy Assignments'!$B$5:$B$868,L$4,'Policy Assignments'!$E$5:$E$868,"Core")&gt;0,"R",IF(COUNTIFS('Policy Assignments'!$C$5:$C$868,$A110,'Policy Assignments'!$B$5:$B$868,L$4,'Policy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M110" s="94" t="str">
        <x:f>IF(COUNTIFS('Policy Assignments'!$C$5:$C$868,$A110,'Policy Assignments'!$B$5:$B$868,M$4,'Policy Assignments'!$E$5:$E$868,"Hold")&gt;0,"H",IF(COUNTIFS('Policy Assignments'!$C$5:$C$868,$A110,'Policy Assignments'!$B$5:$B$868,M$4,'Policy Assignments'!$E$5:$E$868,"Core")&gt;0,"R",IF(COUNTIFS('Policy Assignments'!$C$5:$C$868,$A110,'Policy Assignments'!$B$5:$B$868,M$4,'Policy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c>
      <x:c r="N110" s="94" t="str">
        <x:f>IF(COUNTIFS('Policy Assignments'!$C$5:$C$868,$A110,'Policy Assignments'!$B$5:$B$868,N$4,'Policy Assignments'!$E$5:$E$868,"Hold")&gt;0,"H",IF(COUNTIFS('Policy Assignments'!$C$5:$C$868,$A110,'Policy Assignments'!$B$5:$B$868,N$4,'Policy Assignments'!$E$5:$E$868,"Core")&gt;0,"R",IF(COUNTIFS('Policy Assignments'!$C$5:$C$868,$A110,'Policy Assignments'!$B$5:$B$868,N$4,'Policy Assignments'!$E$5:$E$868,"Conditional")&gt;0,"C",IF(COUNTIFS('Policy Assignments'!$C$5:$C$868,$A110,'Policy Assignments'!$B$5:$B$868,"General",'Policy Assignments'!$E$5:$E$868,"Hold")&gt;0,"H",IF(COUNTIFS('Policy Assignments'!$C$5:$C$868,$A110,'Policy Assignments'!$B$5:$B$868,"General",'Policy Assignments'!$E$5:$E$868,"Conditional")&gt;0,"C",IF(COUNTIFS('Policy Assignments'!$C$5:$C$868,$A110,'Policy Assignments'!$B$5:$B$868,"General")&gt;0,"G",""))))))</x:f>
        <x:v>R</x:v>
      </x:c>
      <x:c r="O110" s="94" t="str">
        <x:f>IF(COUNTIFS('Policy Assignments'!$C$5:$C$868,$A110,'Policy Assignments'!$B$5:$B$868,O$4,'Policy Assignments'!$E$5:$E$868,"Hold")&gt;0,"H",IF(COUNTIFS('Policy Assignments'!$C$5:$C$868,$A110,'Policy Assignments'!$B$5:$B$868,O$4,'Policy Assignments'!$E$5:$E$868,"Core")&gt;0,"R",IF(COUNTIFS('Policy Assignments'!$C$5:$C$868,$A110,'Policy Assignments'!$B$5:$B$868,O$4,'Policy Assignments'!$E$5:$E$868,"Conditional")&gt;0,"C","")))</x:f>
      </x:c>
      <x:c r="P110" s="90" t="str">
        <x:v>Mapped</x:v>
      </x:c>
    </x:row>
    <x:row r="111" ht="22" customHeight="1">
      <x:c r="A111" s="90" t="str">
        <x:v>FN-CM-003</x:v>
      </x:c>
      <x:c r="B111" s="90" t="str">
        <x:v>Medical Necessity Documentation</x:v>
      </x:c>
      <x:c r="C111" s="94" t="str">
        <x:f>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D111" s="94" t="str">
        <x:f>IF(COUNTIFS('Policy Assignments'!$C$5:$C$868,$A111,'Policy Assignments'!$B$5:$B$868,D$4,'Policy Assignments'!$E$5:$E$868,"Hold")&gt;0,"H",IF(COUNTIFS('Policy Assignments'!$C$5:$C$868,$A111,'Policy Assignments'!$B$5:$B$868,D$4,'Policy Assignments'!$E$5:$E$868,"Core")&gt;0,"R",IF(COUNTIFS('Policy Assignments'!$C$5:$C$868,$A111,'Policy Assignments'!$B$5:$B$868,D$4,'Policy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E111" s="94" t="str">
        <x:f>IF(COUNTIFS('Policy Assignments'!$C$5:$C$868,$A111,'Policy Assignments'!$B$5:$B$868,E$4,'Policy Assignments'!$E$5:$E$868,"Hold")&gt;0,"H",IF(COUNTIFS('Policy Assignments'!$C$5:$C$868,$A111,'Policy Assignments'!$B$5:$B$868,E$4,'Policy Assignments'!$E$5:$E$868,"Core")&gt;0,"R",IF(COUNTIFS('Policy Assignments'!$C$5:$C$868,$A111,'Policy Assignments'!$B$5:$B$868,E$4,'Policy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v>R</x:v>
      </x:c>
      <x:c r="F111" s="94" t="str">
        <x:f>IF(COUNTIFS('Policy Assignments'!$C$5:$C$868,$A111,'Policy Assignments'!$B$5:$B$868,F$4,'Policy Assignments'!$E$5:$E$868,"Hold")&gt;0,"H",IF(COUNTIFS('Policy Assignments'!$C$5:$C$868,$A111,'Policy Assignments'!$B$5:$B$868,F$4,'Policy Assignments'!$E$5:$E$868,"Core")&gt;0,"R",IF(COUNTIFS('Policy Assignments'!$C$5:$C$868,$A111,'Policy Assignments'!$B$5:$B$868,F$4,'Policy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G111" s="94" t="str">
        <x:f>IF(COUNTIFS('Policy Assignments'!$C$5:$C$868,$A111,'Policy Assignments'!$B$5:$B$868,G$4,'Policy Assignments'!$E$5:$E$868,"Hold")&gt;0,"H",IF(COUNTIFS('Policy Assignments'!$C$5:$C$868,$A111,'Policy Assignments'!$B$5:$B$868,G$4,'Policy Assignments'!$E$5:$E$868,"Core")&gt;0,"R",IF(COUNTIFS('Policy Assignments'!$C$5:$C$868,$A111,'Policy Assignments'!$B$5:$B$868,G$4,'Policy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H111" s="94" t="str">
        <x:f>IF(COUNTIFS('Policy Assignments'!$C$5:$C$868,$A111,'Policy Assignments'!$B$5:$B$868,H$4,'Policy Assignments'!$E$5:$E$868,"Hold")&gt;0,"H",IF(COUNTIFS('Policy Assignments'!$C$5:$C$868,$A111,'Policy Assignments'!$B$5:$B$868,H$4,'Policy Assignments'!$E$5:$E$868,"Core")&gt;0,"R",IF(COUNTIFS('Policy Assignments'!$C$5:$C$868,$A111,'Policy Assignments'!$B$5:$B$868,H$4,'Policy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I111" s="94" t="str">
        <x:f>IF(COUNTIFS('Policy Assignments'!$C$5:$C$868,$A111,'Policy Assignments'!$B$5:$B$868,I$4,'Policy Assignments'!$E$5:$E$868,"Hold")&gt;0,"H",IF(COUNTIFS('Policy Assignments'!$C$5:$C$868,$A111,'Policy Assignments'!$B$5:$B$868,I$4,'Policy Assignments'!$E$5:$E$868,"Core")&gt;0,"R",IF(COUNTIFS('Policy Assignments'!$C$5:$C$868,$A111,'Policy Assignments'!$B$5:$B$868,I$4,'Policy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J111" s="94" t="str">
        <x:f>IF(COUNTIFS('Policy Assignments'!$C$5:$C$868,$A111,'Policy Assignments'!$B$5:$B$868,J$4,'Policy Assignments'!$E$5:$E$868,"Hold")&gt;0,"H",IF(COUNTIFS('Policy Assignments'!$C$5:$C$868,$A111,'Policy Assignments'!$B$5:$B$868,J$4,'Policy Assignments'!$E$5:$E$868,"Core")&gt;0,"R",IF(COUNTIFS('Policy Assignments'!$C$5:$C$868,$A111,'Policy Assignments'!$B$5:$B$868,J$4,'Policy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K111" s="94" t="str">
        <x:f>IF(COUNTIFS('Policy Assignments'!$C$5:$C$868,$A111,'Policy Assignments'!$B$5:$B$868,K$4,'Policy Assignments'!$E$5:$E$868,"Hold")&gt;0,"H",IF(COUNTIFS('Policy Assignments'!$C$5:$C$868,$A111,'Policy Assignments'!$B$5:$B$868,K$4,'Policy Assignments'!$E$5:$E$868,"Core")&gt;0,"R",IF(COUNTIFS('Policy Assignments'!$C$5:$C$868,$A111,'Policy Assignments'!$B$5:$B$868,K$4,'Policy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L111" s="94" t="str">
        <x:f>IF(COUNTIFS('Policy Assignments'!$C$5:$C$868,$A111,'Policy Assignments'!$B$5:$B$868,L$4,'Policy Assignments'!$E$5:$E$868,"Hold")&gt;0,"H",IF(COUNTIFS('Policy Assignments'!$C$5:$C$868,$A111,'Policy Assignments'!$B$5:$B$868,L$4,'Policy Assignments'!$E$5:$E$868,"Core")&gt;0,"R",IF(COUNTIFS('Policy Assignments'!$C$5:$C$868,$A111,'Policy Assignments'!$B$5:$B$868,L$4,'Policy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M111" s="94" t="str">
        <x:f>IF(COUNTIFS('Policy Assignments'!$C$5:$C$868,$A111,'Policy Assignments'!$B$5:$B$868,M$4,'Policy Assignments'!$E$5:$E$868,"Hold")&gt;0,"H",IF(COUNTIFS('Policy Assignments'!$C$5:$C$868,$A111,'Policy Assignments'!$B$5:$B$868,M$4,'Policy Assignments'!$E$5:$E$868,"Core")&gt;0,"R",IF(COUNTIFS('Policy Assignments'!$C$5:$C$868,$A111,'Policy Assignments'!$B$5:$B$868,M$4,'Policy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c>
      <x:c r="N111" s="94" t="str">
        <x:f>IF(COUNTIFS('Policy Assignments'!$C$5:$C$868,$A111,'Policy Assignments'!$B$5:$B$868,N$4,'Policy Assignments'!$E$5:$E$868,"Hold")&gt;0,"H",IF(COUNTIFS('Policy Assignments'!$C$5:$C$868,$A111,'Policy Assignments'!$B$5:$B$868,N$4,'Policy Assignments'!$E$5:$E$868,"Core")&gt;0,"R",IF(COUNTIFS('Policy Assignments'!$C$5:$C$868,$A111,'Policy Assignments'!$B$5:$B$868,N$4,'Policy Assignments'!$E$5:$E$868,"Conditional")&gt;0,"C",IF(COUNTIFS('Policy Assignments'!$C$5:$C$868,$A111,'Policy Assignments'!$B$5:$B$868,"General",'Policy Assignments'!$E$5:$E$868,"Hold")&gt;0,"H",IF(COUNTIFS('Policy Assignments'!$C$5:$C$868,$A111,'Policy Assignments'!$B$5:$B$868,"General",'Policy Assignments'!$E$5:$E$868,"Conditional")&gt;0,"C",IF(COUNTIFS('Policy Assignments'!$C$5:$C$868,$A111,'Policy Assignments'!$B$5:$B$868,"General")&gt;0,"G",""))))))</x:f>
        <x:v>R</x:v>
      </x:c>
      <x:c r="O111" s="94" t="str">
        <x:f>IF(COUNTIFS('Policy Assignments'!$C$5:$C$868,$A111,'Policy Assignments'!$B$5:$B$868,O$4,'Policy Assignments'!$E$5:$E$868,"Hold")&gt;0,"H",IF(COUNTIFS('Policy Assignments'!$C$5:$C$868,$A111,'Policy Assignments'!$B$5:$B$868,O$4,'Policy Assignments'!$E$5:$E$868,"Core")&gt;0,"R",IF(COUNTIFS('Policy Assignments'!$C$5:$C$868,$A111,'Policy Assignments'!$B$5:$B$868,O$4,'Policy Assignments'!$E$5:$E$868,"Conditional")&gt;0,"C","")))</x:f>
      </x:c>
      <x:c r="P111" s="90" t="str">
        <x:v>Mapped</x:v>
      </x:c>
    </x:row>
    <x:row r="112" ht="22" customHeight="1">
      <x:c r="A112" s="90" t="str">
        <x:v>FN-CM-004</x:v>
      </x:c>
      <x:c r="B112" s="90" t="str">
        <x:v>Episode Management &amp; Authorization</x:v>
      </x:c>
      <x:c r="C112" s="94" t="str">
        <x:f>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D112" s="94" t="str">
        <x:f>IF(COUNTIFS('Policy Assignments'!$C$5:$C$868,$A112,'Policy Assignments'!$B$5:$B$868,D$4,'Policy Assignments'!$E$5:$E$868,"Hold")&gt;0,"H",IF(COUNTIFS('Policy Assignments'!$C$5:$C$868,$A112,'Policy Assignments'!$B$5:$B$868,D$4,'Policy Assignments'!$E$5:$E$868,"Core")&gt;0,"R",IF(COUNTIFS('Policy Assignments'!$C$5:$C$868,$A112,'Policy Assignments'!$B$5:$B$868,D$4,'Policy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E112" s="94" t="str">
        <x:f>IF(COUNTIFS('Policy Assignments'!$C$5:$C$868,$A112,'Policy Assignments'!$B$5:$B$868,E$4,'Policy Assignments'!$E$5:$E$868,"Hold")&gt;0,"H",IF(COUNTIFS('Policy Assignments'!$C$5:$C$868,$A112,'Policy Assignments'!$B$5:$B$868,E$4,'Policy Assignments'!$E$5:$E$868,"Core")&gt;0,"R",IF(COUNTIFS('Policy Assignments'!$C$5:$C$868,$A112,'Policy Assignments'!$B$5:$B$868,E$4,'Policy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F112" s="94" t="str">
        <x:f>IF(COUNTIFS('Policy Assignments'!$C$5:$C$868,$A112,'Policy Assignments'!$B$5:$B$868,F$4,'Policy Assignments'!$E$5:$E$868,"Hold")&gt;0,"H",IF(COUNTIFS('Policy Assignments'!$C$5:$C$868,$A112,'Policy Assignments'!$B$5:$B$868,F$4,'Policy Assignments'!$E$5:$E$868,"Core")&gt;0,"R",IF(COUNTIFS('Policy Assignments'!$C$5:$C$868,$A112,'Policy Assignments'!$B$5:$B$868,F$4,'Policy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G112" s="94" t="str">
        <x:f>IF(COUNTIFS('Policy Assignments'!$C$5:$C$868,$A112,'Policy Assignments'!$B$5:$B$868,G$4,'Policy Assignments'!$E$5:$E$868,"Hold")&gt;0,"H",IF(COUNTIFS('Policy Assignments'!$C$5:$C$868,$A112,'Policy Assignments'!$B$5:$B$868,G$4,'Policy Assignments'!$E$5:$E$868,"Core")&gt;0,"R",IF(COUNTIFS('Policy Assignments'!$C$5:$C$868,$A112,'Policy Assignments'!$B$5:$B$868,G$4,'Policy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H112" s="94" t="str">
        <x:f>IF(COUNTIFS('Policy Assignments'!$C$5:$C$868,$A112,'Policy Assignments'!$B$5:$B$868,H$4,'Policy Assignments'!$E$5:$E$868,"Hold")&gt;0,"H",IF(COUNTIFS('Policy Assignments'!$C$5:$C$868,$A112,'Policy Assignments'!$B$5:$B$868,H$4,'Policy Assignments'!$E$5:$E$868,"Core")&gt;0,"R",IF(COUNTIFS('Policy Assignments'!$C$5:$C$868,$A112,'Policy Assignments'!$B$5:$B$868,H$4,'Policy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I112" s="94" t="str">
        <x:f>IF(COUNTIFS('Policy Assignments'!$C$5:$C$868,$A112,'Policy Assignments'!$B$5:$B$868,I$4,'Policy Assignments'!$E$5:$E$868,"Hold")&gt;0,"H",IF(COUNTIFS('Policy Assignments'!$C$5:$C$868,$A112,'Policy Assignments'!$B$5:$B$868,I$4,'Policy Assignments'!$E$5:$E$868,"Core")&gt;0,"R",IF(COUNTIFS('Policy Assignments'!$C$5:$C$868,$A112,'Policy Assignments'!$B$5:$B$868,I$4,'Policy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J112" s="94" t="str">
        <x:f>IF(COUNTIFS('Policy Assignments'!$C$5:$C$868,$A112,'Policy Assignments'!$B$5:$B$868,J$4,'Policy Assignments'!$E$5:$E$868,"Hold")&gt;0,"H",IF(COUNTIFS('Policy Assignments'!$C$5:$C$868,$A112,'Policy Assignments'!$B$5:$B$868,J$4,'Policy Assignments'!$E$5:$E$868,"Core")&gt;0,"R",IF(COUNTIFS('Policy Assignments'!$C$5:$C$868,$A112,'Policy Assignments'!$B$5:$B$868,J$4,'Policy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K112" s="94" t="str">
        <x:f>IF(COUNTIFS('Policy Assignments'!$C$5:$C$868,$A112,'Policy Assignments'!$B$5:$B$868,K$4,'Policy Assignments'!$E$5:$E$868,"Hold")&gt;0,"H",IF(COUNTIFS('Policy Assignments'!$C$5:$C$868,$A112,'Policy Assignments'!$B$5:$B$868,K$4,'Policy Assignments'!$E$5:$E$868,"Core")&gt;0,"R",IF(COUNTIFS('Policy Assignments'!$C$5:$C$868,$A112,'Policy Assignments'!$B$5:$B$868,K$4,'Policy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L112" s="94" t="str">
        <x:f>IF(COUNTIFS('Policy Assignments'!$C$5:$C$868,$A112,'Policy Assignments'!$B$5:$B$868,L$4,'Policy Assignments'!$E$5:$E$868,"Hold")&gt;0,"H",IF(COUNTIFS('Policy Assignments'!$C$5:$C$868,$A112,'Policy Assignments'!$B$5:$B$868,L$4,'Policy Assignments'!$E$5:$E$868,"Core")&gt;0,"R",IF(COUNTIFS('Policy Assignments'!$C$5:$C$868,$A112,'Policy Assignments'!$B$5:$B$868,L$4,'Policy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M112" s="94" t="str">
        <x:f>IF(COUNTIFS('Policy Assignments'!$C$5:$C$868,$A112,'Policy Assignments'!$B$5:$B$868,M$4,'Policy Assignments'!$E$5:$E$868,"Hold")&gt;0,"H",IF(COUNTIFS('Policy Assignments'!$C$5:$C$868,$A112,'Policy Assignments'!$B$5:$B$868,M$4,'Policy Assignments'!$E$5:$E$868,"Core")&gt;0,"R",IF(COUNTIFS('Policy Assignments'!$C$5:$C$868,$A112,'Policy Assignments'!$B$5:$B$868,M$4,'Policy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c>
      <x:c r="N112" s="94" t="str">
        <x:f>IF(COUNTIFS('Policy Assignments'!$C$5:$C$868,$A112,'Policy Assignments'!$B$5:$B$868,N$4,'Policy Assignments'!$E$5:$E$868,"Hold")&gt;0,"H",IF(COUNTIFS('Policy Assignments'!$C$5:$C$868,$A112,'Policy Assignments'!$B$5:$B$868,N$4,'Policy Assignments'!$E$5:$E$868,"Core")&gt;0,"R",IF(COUNTIFS('Policy Assignments'!$C$5:$C$868,$A112,'Policy Assignments'!$B$5:$B$868,N$4,'Policy Assignments'!$E$5:$E$868,"Conditional")&gt;0,"C",IF(COUNTIFS('Policy Assignments'!$C$5:$C$868,$A112,'Policy Assignments'!$B$5:$B$868,"General",'Policy Assignments'!$E$5:$E$868,"Hold")&gt;0,"H",IF(COUNTIFS('Policy Assignments'!$C$5:$C$868,$A112,'Policy Assignments'!$B$5:$B$868,"General",'Policy Assignments'!$E$5:$E$868,"Conditional")&gt;0,"C",IF(COUNTIFS('Policy Assignments'!$C$5:$C$868,$A112,'Policy Assignments'!$B$5:$B$868,"General")&gt;0,"G",""))))))</x:f>
        <x:v>R</x:v>
      </x:c>
      <x:c r="O112" s="94" t="str">
        <x:f>IF(COUNTIFS('Policy Assignments'!$C$5:$C$868,$A112,'Policy Assignments'!$B$5:$B$868,O$4,'Policy Assignments'!$E$5:$E$868,"Hold")&gt;0,"H",IF(COUNTIFS('Policy Assignments'!$C$5:$C$868,$A112,'Policy Assignments'!$B$5:$B$868,O$4,'Policy Assignments'!$E$5:$E$868,"Core")&gt;0,"R",IF(COUNTIFS('Policy Assignments'!$C$5:$C$868,$A112,'Policy Assignments'!$B$5:$B$868,O$4,'Policy Assignments'!$E$5:$E$868,"Conditional")&gt;0,"C","")))</x:f>
      </x:c>
      <x:c r="P112" s="90" t="str">
        <x:v>Mapped</x:v>
      </x:c>
    </x:row>
    <x:row r="113" ht="22" customHeight="1">
      <x:c r="A113" s="90" t="str">
        <x:v>FN-CM-005</x:v>
      </x:c>
      <x:c r="B113" s="90" t="str">
        <x:v>LUPA Prevention &amp; Monitoring</x:v>
      </x:c>
      <x:c r="C113" s="94" t="str">
        <x:f>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D113" s="94" t="str">
        <x:f>IF(COUNTIFS('Policy Assignments'!$C$5:$C$868,$A113,'Policy Assignments'!$B$5:$B$868,D$4,'Policy Assignments'!$E$5:$E$868,"Hold")&gt;0,"H",IF(COUNTIFS('Policy Assignments'!$C$5:$C$868,$A113,'Policy Assignments'!$B$5:$B$868,D$4,'Policy Assignments'!$E$5:$E$868,"Core")&gt;0,"R",IF(COUNTIFS('Policy Assignments'!$C$5:$C$868,$A113,'Policy Assignments'!$B$5:$B$868,D$4,'Policy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E113" s="94" t="str">
        <x:f>IF(COUNTIFS('Policy Assignments'!$C$5:$C$868,$A113,'Policy Assignments'!$B$5:$B$868,E$4,'Policy Assignments'!$E$5:$E$868,"Hold")&gt;0,"H",IF(COUNTIFS('Policy Assignments'!$C$5:$C$868,$A113,'Policy Assignments'!$B$5:$B$868,E$4,'Policy Assignments'!$E$5:$E$868,"Core")&gt;0,"R",IF(COUNTIFS('Policy Assignments'!$C$5:$C$868,$A113,'Policy Assignments'!$B$5:$B$868,E$4,'Policy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F113" s="94" t="str">
        <x:f>IF(COUNTIFS('Policy Assignments'!$C$5:$C$868,$A113,'Policy Assignments'!$B$5:$B$868,F$4,'Policy Assignments'!$E$5:$E$868,"Hold")&gt;0,"H",IF(COUNTIFS('Policy Assignments'!$C$5:$C$868,$A113,'Policy Assignments'!$B$5:$B$868,F$4,'Policy Assignments'!$E$5:$E$868,"Core")&gt;0,"R",IF(COUNTIFS('Policy Assignments'!$C$5:$C$868,$A113,'Policy Assignments'!$B$5:$B$868,F$4,'Policy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G113" s="94" t="str">
        <x:f>IF(COUNTIFS('Policy Assignments'!$C$5:$C$868,$A113,'Policy Assignments'!$B$5:$B$868,G$4,'Policy Assignments'!$E$5:$E$868,"Hold")&gt;0,"H",IF(COUNTIFS('Policy Assignments'!$C$5:$C$868,$A113,'Policy Assignments'!$B$5:$B$868,G$4,'Policy Assignments'!$E$5:$E$868,"Core")&gt;0,"R",IF(COUNTIFS('Policy Assignments'!$C$5:$C$868,$A113,'Policy Assignments'!$B$5:$B$868,G$4,'Policy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H113" s="94" t="str">
        <x:f>IF(COUNTIFS('Policy Assignments'!$C$5:$C$868,$A113,'Policy Assignments'!$B$5:$B$868,H$4,'Policy Assignments'!$E$5:$E$868,"Hold")&gt;0,"H",IF(COUNTIFS('Policy Assignments'!$C$5:$C$868,$A113,'Policy Assignments'!$B$5:$B$868,H$4,'Policy Assignments'!$E$5:$E$868,"Core")&gt;0,"R",IF(COUNTIFS('Policy Assignments'!$C$5:$C$868,$A113,'Policy Assignments'!$B$5:$B$868,H$4,'Policy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I113" s="94" t="str">
        <x:f>IF(COUNTIFS('Policy Assignments'!$C$5:$C$868,$A113,'Policy Assignments'!$B$5:$B$868,I$4,'Policy Assignments'!$E$5:$E$868,"Hold")&gt;0,"H",IF(COUNTIFS('Policy Assignments'!$C$5:$C$868,$A113,'Policy Assignments'!$B$5:$B$868,I$4,'Policy Assignments'!$E$5:$E$868,"Core")&gt;0,"R",IF(COUNTIFS('Policy Assignments'!$C$5:$C$868,$A113,'Policy Assignments'!$B$5:$B$868,I$4,'Policy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J113" s="94" t="str">
        <x:f>IF(COUNTIFS('Policy Assignments'!$C$5:$C$868,$A113,'Policy Assignments'!$B$5:$B$868,J$4,'Policy Assignments'!$E$5:$E$868,"Hold")&gt;0,"H",IF(COUNTIFS('Policy Assignments'!$C$5:$C$868,$A113,'Policy Assignments'!$B$5:$B$868,J$4,'Policy Assignments'!$E$5:$E$868,"Core")&gt;0,"R",IF(COUNTIFS('Policy Assignments'!$C$5:$C$868,$A113,'Policy Assignments'!$B$5:$B$868,J$4,'Policy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K113" s="94" t="str">
        <x:f>IF(COUNTIFS('Policy Assignments'!$C$5:$C$868,$A113,'Policy Assignments'!$B$5:$B$868,K$4,'Policy Assignments'!$E$5:$E$868,"Hold")&gt;0,"H",IF(COUNTIFS('Policy Assignments'!$C$5:$C$868,$A113,'Policy Assignments'!$B$5:$B$868,K$4,'Policy Assignments'!$E$5:$E$868,"Core")&gt;0,"R",IF(COUNTIFS('Policy Assignments'!$C$5:$C$868,$A113,'Policy Assignments'!$B$5:$B$868,K$4,'Policy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L113" s="94" t="str">
        <x:f>IF(COUNTIFS('Policy Assignments'!$C$5:$C$868,$A113,'Policy Assignments'!$B$5:$B$868,L$4,'Policy Assignments'!$E$5:$E$868,"Hold")&gt;0,"H",IF(COUNTIFS('Policy Assignments'!$C$5:$C$868,$A113,'Policy Assignments'!$B$5:$B$868,L$4,'Policy Assignments'!$E$5:$E$868,"Core")&gt;0,"R",IF(COUNTIFS('Policy Assignments'!$C$5:$C$868,$A113,'Policy Assignments'!$B$5:$B$868,L$4,'Policy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M113" s="94" t="str">
        <x:f>IF(COUNTIFS('Policy Assignments'!$C$5:$C$868,$A113,'Policy Assignments'!$B$5:$B$868,M$4,'Policy Assignments'!$E$5:$E$868,"Hold")&gt;0,"H",IF(COUNTIFS('Policy Assignments'!$C$5:$C$868,$A113,'Policy Assignments'!$B$5:$B$868,M$4,'Policy Assignments'!$E$5:$E$868,"Core")&gt;0,"R",IF(COUNTIFS('Policy Assignments'!$C$5:$C$868,$A113,'Policy Assignments'!$B$5:$B$868,M$4,'Policy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c>
      <x:c r="N113" s="94" t="str">
        <x:f>IF(COUNTIFS('Policy Assignments'!$C$5:$C$868,$A113,'Policy Assignments'!$B$5:$B$868,N$4,'Policy Assignments'!$E$5:$E$868,"Hold")&gt;0,"H",IF(COUNTIFS('Policy Assignments'!$C$5:$C$868,$A113,'Policy Assignments'!$B$5:$B$868,N$4,'Policy Assignments'!$E$5:$E$868,"Core")&gt;0,"R",IF(COUNTIFS('Policy Assignments'!$C$5:$C$868,$A113,'Policy Assignments'!$B$5:$B$868,N$4,'Policy Assignments'!$E$5:$E$868,"Conditional")&gt;0,"C",IF(COUNTIFS('Policy Assignments'!$C$5:$C$868,$A113,'Policy Assignments'!$B$5:$B$868,"General",'Policy Assignments'!$E$5:$E$868,"Hold")&gt;0,"H",IF(COUNTIFS('Policy Assignments'!$C$5:$C$868,$A113,'Policy Assignments'!$B$5:$B$868,"General",'Policy Assignments'!$E$5:$E$868,"Conditional")&gt;0,"C",IF(COUNTIFS('Policy Assignments'!$C$5:$C$868,$A113,'Policy Assignments'!$B$5:$B$868,"General")&gt;0,"G",""))))))</x:f>
        <x:v>R</x:v>
      </x:c>
      <x:c r="O113" s="94" t="str">
        <x:f>IF(COUNTIFS('Policy Assignments'!$C$5:$C$868,$A113,'Policy Assignments'!$B$5:$B$868,O$4,'Policy Assignments'!$E$5:$E$868,"Hold")&gt;0,"H",IF(COUNTIFS('Policy Assignments'!$C$5:$C$868,$A113,'Policy Assignments'!$B$5:$B$868,O$4,'Policy Assignments'!$E$5:$E$868,"Core")&gt;0,"R",IF(COUNTIFS('Policy Assignments'!$C$5:$C$868,$A113,'Policy Assignments'!$B$5:$B$868,O$4,'Policy Assignments'!$E$5:$E$868,"Conditional")&gt;0,"C","")))</x:f>
      </x:c>
      <x:c r="P113" s="90" t="str">
        <x:v>Mapped</x:v>
      </x:c>
    </x:row>
    <x:row r="114" ht="22" customHeight="1">
      <x:c r="A114" s="90" t="str">
        <x:v>FN-FP-005</x:v>
      </x:c>
      <x:c r="B114" s="90" t="str">
        <x:v>Annual Budget &amp; Financial Planning</x:v>
      </x:c>
      <x:c r="C114" s="94" t="str">
        <x:f>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D114" s="94" t="str">
        <x:f>IF(COUNTIFS('Policy Assignments'!$C$5:$C$868,$A114,'Policy Assignments'!$B$5:$B$868,D$4,'Policy Assignments'!$E$5:$E$868,"Hold")&gt;0,"H",IF(COUNTIFS('Policy Assignments'!$C$5:$C$868,$A114,'Policy Assignments'!$B$5:$B$868,D$4,'Policy Assignments'!$E$5:$E$868,"Core")&gt;0,"R",IF(COUNTIFS('Policy Assignments'!$C$5:$C$868,$A114,'Policy Assignments'!$B$5:$B$868,D$4,'Policy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E114" s="94" t="str">
        <x:f>IF(COUNTIFS('Policy Assignments'!$C$5:$C$868,$A114,'Policy Assignments'!$B$5:$B$868,E$4,'Policy Assignments'!$E$5:$E$868,"Hold")&gt;0,"H",IF(COUNTIFS('Policy Assignments'!$C$5:$C$868,$A114,'Policy Assignments'!$B$5:$B$868,E$4,'Policy Assignments'!$E$5:$E$868,"Core")&gt;0,"R",IF(COUNTIFS('Policy Assignments'!$C$5:$C$868,$A114,'Policy Assignments'!$B$5:$B$868,E$4,'Policy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F114" s="94" t="str">
        <x:f>IF(COUNTIFS('Policy Assignments'!$C$5:$C$868,$A114,'Policy Assignments'!$B$5:$B$868,F$4,'Policy Assignments'!$E$5:$E$868,"Hold")&gt;0,"H",IF(COUNTIFS('Policy Assignments'!$C$5:$C$868,$A114,'Policy Assignments'!$B$5:$B$868,F$4,'Policy Assignments'!$E$5:$E$868,"Core")&gt;0,"R",IF(COUNTIFS('Policy Assignments'!$C$5:$C$868,$A114,'Policy Assignments'!$B$5:$B$868,F$4,'Policy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G114" s="94" t="str">
        <x:f>IF(COUNTIFS('Policy Assignments'!$C$5:$C$868,$A114,'Policy Assignments'!$B$5:$B$868,G$4,'Policy Assignments'!$E$5:$E$868,"Hold")&gt;0,"H",IF(COUNTIFS('Policy Assignments'!$C$5:$C$868,$A114,'Policy Assignments'!$B$5:$B$868,G$4,'Policy Assignments'!$E$5:$E$868,"Core")&gt;0,"R",IF(COUNTIFS('Policy Assignments'!$C$5:$C$868,$A114,'Policy Assignments'!$B$5:$B$868,G$4,'Policy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H114" s="94" t="str">
        <x:f>IF(COUNTIFS('Policy Assignments'!$C$5:$C$868,$A114,'Policy Assignments'!$B$5:$B$868,H$4,'Policy Assignments'!$E$5:$E$868,"Hold")&gt;0,"H",IF(COUNTIFS('Policy Assignments'!$C$5:$C$868,$A114,'Policy Assignments'!$B$5:$B$868,H$4,'Policy Assignments'!$E$5:$E$868,"Core")&gt;0,"R",IF(COUNTIFS('Policy Assignments'!$C$5:$C$868,$A114,'Policy Assignments'!$B$5:$B$868,H$4,'Policy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I114" s="94" t="str">
        <x:f>IF(COUNTIFS('Policy Assignments'!$C$5:$C$868,$A114,'Policy Assignments'!$B$5:$B$868,I$4,'Policy Assignments'!$E$5:$E$868,"Hold")&gt;0,"H",IF(COUNTIFS('Policy Assignments'!$C$5:$C$868,$A114,'Policy Assignments'!$B$5:$B$868,I$4,'Policy Assignments'!$E$5:$E$868,"Core")&gt;0,"R",IF(COUNTIFS('Policy Assignments'!$C$5:$C$868,$A114,'Policy Assignments'!$B$5:$B$868,I$4,'Policy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J114" s="94" t="str">
        <x:f>IF(COUNTIFS('Policy Assignments'!$C$5:$C$868,$A114,'Policy Assignments'!$B$5:$B$868,J$4,'Policy Assignments'!$E$5:$E$868,"Hold")&gt;0,"H",IF(COUNTIFS('Policy Assignments'!$C$5:$C$868,$A114,'Policy Assignments'!$B$5:$B$868,J$4,'Policy Assignments'!$E$5:$E$868,"Core")&gt;0,"R",IF(COUNTIFS('Policy Assignments'!$C$5:$C$868,$A114,'Policy Assignments'!$B$5:$B$868,J$4,'Policy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K114" s="94" t="str">
        <x:f>IF(COUNTIFS('Policy Assignments'!$C$5:$C$868,$A114,'Policy Assignments'!$B$5:$B$868,K$4,'Policy Assignments'!$E$5:$E$868,"Hold")&gt;0,"H",IF(COUNTIFS('Policy Assignments'!$C$5:$C$868,$A114,'Policy Assignments'!$B$5:$B$868,K$4,'Policy Assignments'!$E$5:$E$868,"Core")&gt;0,"R",IF(COUNTIFS('Policy Assignments'!$C$5:$C$868,$A114,'Policy Assignments'!$B$5:$B$868,K$4,'Policy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L114" s="94" t="str">
        <x:f>IF(COUNTIFS('Policy Assignments'!$C$5:$C$868,$A114,'Policy Assignments'!$B$5:$B$868,L$4,'Policy Assignments'!$E$5:$E$868,"Hold")&gt;0,"H",IF(COUNTIFS('Policy Assignments'!$C$5:$C$868,$A114,'Policy Assignments'!$B$5:$B$868,L$4,'Policy Assignments'!$E$5:$E$868,"Core")&gt;0,"R",IF(COUNTIFS('Policy Assignments'!$C$5:$C$868,$A114,'Policy Assignments'!$B$5:$B$868,L$4,'Policy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M114" s="94" t="str">
        <x:f>IF(COUNTIFS('Policy Assignments'!$C$5:$C$868,$A114,'Policy Assignments'!$B$5:$B$868,M$4,'Policy Assignments'!$E$5:$E$868,"Hold")&gt;0,"H",IF(COUNTIFS('Policy Assignments'!$C$5:$C$868,$A114,'Policy Assignments'!$B$5:$B$868,M$4,'Policy Assignments'!$E$5:$E$868,"Core")&gt;0,"R",IF(COUNTIFS('Policy Assignments'!$C$5:$C$868,$A114,'Policy Assignments'!$B$5:$B$868,M$4,'Policy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v>R</x:v>
      </x:c>
      <x:c r="N114" s="94" t="str">
        <x:f>IF(COUNTIFS('Policy Assignments'!$C$5:$C$868,$A114,'Policy Assignments'!$B$5:$B$868,N$4,'Policy Assignments'!$E$5:$E$868,"Hold")&gt;0,"H",IF(COUNTIFS('Policy Assignments'!$C$5:$C$868,$A114,'Policy Assignments'!$B$5:$B$868,N$4,'Policy Assignments'!$E$5:$E$868,"Core")&gt;0,"R",IF(COUNTIFS('Policy Assignments'!$C$5:$C$868,$A114,'Policy Assignments'!$B$5:$B$868,N$4,'Policy Assignments'!$E$5:$E$868,"Conditional")&gt;0,"C",IF(COUNTIFS('Policy Assignments'!$C$5:$C$868,$A114,'Policy Assignments'!$B$5:$B$868,"General",'Policy Assignments'!$E$5:$E$868,"Hold")&gt;0,"H",IF(COUNTIFS('Policy Assignments'!$C$5:$C$868,$A114,'Policy Assignments'!$B$5:$B$868,"General",'Policy Assignments'!$E$5:$E$868,"Conditional")&gt;0,"C",IF(COUNTIFS('Policy Assignments'!$C$5:$C$868,$A114,'Policy Assignments'!$B$5:$B$868,"General")&gt;0,"G",""))))))</x:f>
      </x:c>
      <x:c r="O114" s="94" t="str">
        <x:f>IF(COUNTIFS('Policy Assignments'!$C$5:$C$868,$A114,'Policy Assignments'!$B$5:$B$868,O$4,'Policy Assignments'!$E$5:$E$868,"Hold")&gt;0,"H",IF(COUNTIFS('Policy Assignments'!$C$5:$C$868,$A114,'Policy Assignments'!$B$5:$B$868,O$4,'Policy Assignments'!$E$5:$E$868,"Core")&gt;0,"R",IF(COUNTIFS('Policy Assignments'!$C$5:$C$868,$A114,'Policy Assignments'!$B$5:$B$868,O$4,'Policy Assignments'!$E$5:$E$868,"Conditional")&gt;0,"C","")))</x:f>
        <x:v>R</x:v>
      </x:c>
      <x:c r="P114" s="90" t="str">
        <x:v>Mapped</x:v>
      </x:c>
    </x:row>
    <x:row r="115" ht="22" customHeight="1">
      <x:c r="A115" s="90" t="str">
        <x:v>FN-FP-007</x:v>
      </x:c>
      <x:c r="B115" s="90" t="str">
        <x:v>Financial Compliance &amp; Fraud Monitoring Controls</x:v>
      </x:c>
      <x:c r="C115" s="94" t="str">
        <x:f>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D115" s="94" t="str">
        <x:f>IF(COUNTIFS('Policy Assignments'!$C$5:$C$868,$A115,'Policy Assignments'!$B$5:$B$868,D$4,'Policy Assignments'!$E$5:$E$868,"Hold")&gt;0,"H",IF(COUNTIFS('Policy Assignments'!$C$5:$C$868,$A115,'Policy Assignments'!$B$5:$B$868,D$4,'Policy Assignments'!$E$5:$E$868,"Core")&gt;0,"R",IF(COUNTIFS('Policy Assignments'!$C$5:$C$868,$A115,'Policy Assignments'!$B$5:$B$868,D$4,'Policy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E115" s="94" t="str">
        <x:f>IF(COUNTIFS('Policy Assignments'!$C$5:$C$868,$A115,'Policy Assignments'!$B$5:$B$868,E$4,'Policy Assignments'!$E$5:$E$868,"Hold")&gt;0,"H",IF(COUNTIFS('Policy Assignments'!$C$5:$C$868,$A115,'Policy Assignments'!$B$5:$B$868,E$4,'Policy Assignments'!$E$5:$E$868,"Core")&gt;0,"R",IF(COUNTIFS('Policy Assignments'!$C$5:$C$868,$A115,'Policy Assignments'!$B$5:$B$868,E$4,'Policy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F115" s="94" t="str">
        <x:f>IF(COUNTIFS('Policy Assignments'!$C$5:$C$868,$A115,'Policy Assignments'!$B$5:$B$868,F$4,'Policy Assignments'!$E$5:$E$868,"Hold")&gt;0,"H",IF(COUNTIFS('Policy Assignments'!$C$5:$C$868,$A115,'Policy Assignments'!$B$5:$B$868,F$4,'Policy Assignments'!$E$5:$E$868,"Core")&gt;0,"R",IF(COUNTIFS('Policy Assignments'!$C$5:$C$868,$A115,'Policy Assignments'!$B$5:$B$868,F$4,'Policy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G115" s="94" t="str">
        <x:f>IF(COUNTIFS('Policy Assignments'!$C$5:$C$868,$A115,'Policy Assignments'!$B$5:$B$868,G$4,'Policy Assignments'!$E$5:$E$868,"Hold")&gt;0,"H",IF(COUNTIFS('Policy Assignments'!$C$5:$C$868,$A115,'Policy Assignments'!$B$5:$B$868,G$4,'Policy Assignments'!$E$5:$E$868,"Core")&gt;0,"R",IF(COUNTIFS('Policy Assignments'!$C$5:$C$868,$A115,'Policy Assignments'!$B$5:$B$868,G$4,'Policy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H115" s="94" t="str">
        <x:f>IF(COUNTIFS('Policy Assignments'!$C$5:$C$868,$A115,'Policy Assignments'!$B$5:$B$868,H$4,'Policy Assignments'!$E$5:$E$868,"Hold")&gt;0,"H",IF(COUNTIFS('Policy Assignments'!$C$5:$C$868,$A115,'Policy Assignments'!$B$5:$B$868,H$4,'Policy Assignments'!$E$5:$E$868,"Core")&gt;0,"R",IF(COUNTIFS('Policy Assignments'!$C$5:$C$868,$A115,'Policy Assignments'!$B$5:$B$868,H$4,'Policy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I115" s="94" t="str">
        <x:f>IF(COUNTIFS('Policy Assignments'!$C$5:$C$868,$A115,'Policy Assignments'!$B$5:$B$868,I$4,'Policy Assignments'!$E$5:$E$868,"Hold")&gt;0,"H",IF(COUNTIFS('Policy Assignments'!$C$5:$C$868,$A115,'Policy Assignments'!$B$5:$B$868,I$4,'Policy Assignments'!$E$5:$E$868,"Core")&gt;0,"R",IF(COUNTIFS('Policy Assignments'!$C$5:$C$868,$A115,'Policy Assignments'!$B$5:$B$868,I$4,'Policy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J115" s="94" t="str">
        <x:f>IF(COUNTIFS('Policy Assignments'!$C$5:$C$868,$A115,'Policy Assignments'!$B$5:$B$868,J$4,'Policy Assignments'!$E$5:$E$868,"Hold")&gt;0,"H",IF(COUNTIFS('Policy Assignments'!$C$5:$C$868,$A115,'Policy Assignments'!$B$5:$B$868,J$4,'Policy Assignments'!$E$5:$E$868,"Core")&gt;0,"R",IF(COUNTIFS('Policy Assignments'!$C$5:$C$868,$A115,'Policy Assignments'!$B$5:$B$868,J$4,'Policy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K115" s="94" t="str">
        <x:f>IF(COUNTIFS('Policy Assignments'!$C$5:$C$868,$A115,'Policy Assignments'!$B$5:$B$868,K$4,'Policy Assignments'!$E$5:$E$868,"Hold")&gt;0,"H",IF(COUNTIFS('Policy Assignments'!$C$5:$C$868,$A115,'Policy Assignments'!$B$5:$B$868,K$4,'Policy Assignments'!$E$5:$E$868,"Core")&gt;0,"R",IF(COUNTIFS('Policy Assignments'!$C$5:$C$868,$A115,'Policy Assignments'!$B$5:$B$868,K$4,'Policy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L115" s="94" t="str">
        <x:f>IF(COUNTIFS('Policy Assignments'!$C$5:$C$868,$A115,'Policy Assignments'!$B$5:$B$868,L$4,'Policy Assignments'!$E$5:$E$868,"Hold")&gt;0,"H",IF(COUNTIFS('Policy Assignments'!$C$5:$C$868,$A115,'Policy Assignments'!$B$5:$B$868,L$4,'Policy Assignments'!$E$5:$E$868,"Core")&gt;0,"R",IF(COUNTIFS('Policy Assignments'!$C$5:$C$868,$A115,'Policy Assignments'!$B$5:$B$868,L$4,'Policy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M115" s="94" t="str">
        <x:f>IF(COUNTIFS('Policy Assignments'!$C$5:$C$868,$A115,'Policy Assignments'!$B$5:$B$868,M$4,'Policy Assignments'!$E$5:$E$868,"Hold")&gt;0,"H",IF(COUNTIFS('Policy Assignments'!$C$5:$C$868,$A115,'Policy Assignments'!$B$5:$B$868,M$4,'Policy Assignments'!$E$5:$E$868,"Core")&gt;0,"R",IF(COUNTIFS('Policy Assignments'!$C$5:$C$868,$A115,'Policy Assignments'!$B$5:$B$868,M$4,'Policy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v>R</x:v>
      </x:c>
      <x:c r="N115" s="94" t="str">
        <x:f>IF(COUNTIFS('Policy Assignments'!$C$5:$C$868,$A115,'Policy Assignments'!$B$5:$B$868,N$4,'Policy Assignments'!$E$5:$E$868,"Hold")&gt;0,"H",IF(COUNTIFS('Policy Assignments'!$C$5:$C$868,$A115,'Policy Assignments'!$B$5:$B$868,N$4,'Policy Assignments'!$E$5:$E$868,"Core")&gt;0,"R",IF(COUNTIFS('Policy Assignments'!$C$5:$C$868,$A115,'Policy Assignments'!$B$5:$B$868,N$4,'Policy Assignments'!$E$5:$E$868,"Conditional")&gt;0,"C",IF(COUNTIFS('Policy Assignments'!$C$5:$C$868,$A115,'Policy Assignments'!$B$5:$B$868,"General",'Policy Assignments'!$E$5:$E$868,"Hold")&gt;0,"H",IF(COUNTIFS('Policy Assignments'!$C$5:$C$868,$A115,'Policy Assignments'!$B$5:$B$868,"General",'Policy Assignments'!$E$5:$E$868,"Conditional")&gt;0,"C",IF(COUNTIFS('Policy Assignments'!$C$5:$C$868,$A115,'Policy Assignments'!$B$5:$B$868,"General")&gt;0,"G",""))))))</x:f>
      </x:c>
      <x:c r="O115" s="94" t="str">
        <x:f>IF(COUNTIFS('Policy Assignments'!$C$5:$C$868,$A115,'Policy Assignments'!$B$5:$B$868,O$4,'Policy Assignments'!$E$5:$E$868,"Hold")&gt;0,"H",IF(COUNTIFS('Policy Assignments'!$C$5:$C$868,$A115,'Policy Assignments'!$B$5:$B$868,O$4,'Policy Assignments'!$E$5:$E$868,"Core")&gt;0,"R",IF(COUNTIFS('Policy Assignments'!$C$5:$C$868,$A115,'Policy Assignments'!$B$5:$B$868,O$4,'Policy Assignments'!$E$5:$E$868,"Conditional")&gt;0,"C","")))</x:f>
        <x:v>R</x:v>
      </x:c>
      <x:c r="P115" s="90" t="str">
        <x:v>Mapped</x:v>
      </x:c>
    </x:row>
    <x:row r="116" ht="22" customHeight="1">
      <x:c r="A116" s="90" t="str">
        <x:v>GV-EA-001</x:v>
      </x:c>
      <x:c r="B116" s="90" t="str">
        <x:v>Interagency Agreements &amp; Contracts</x:v>
      </x:c>
      <x:c r="C116" s="94" t="str">
        <x:f>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D116" s="94" t="str">
        <x:f>IF(COUNTIFS('Policy Assignments'!$C$5:$C$868,$A116,'Policy Assignments'!$B$5:$B$868,D$4,'Policy Assignments'!$E$5:$E$868,"Hold")&gt;0,"H",IF(COUNTIFS('Policy Assignments'!$C$5:$C$868,$A116,'Policy Assignments'!$B$5:$B$868,D$4,'Policy Assignments'!$E$5:$E$868,"Core")&gt;0,"R",IF(COUNTIFS('Policy Assignments'!$C$5:$C$868,$A116,'Policy Assignments'!$B$5:$B$868,D$4,'Policy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E116" s="94" t="str">
        <x:f>IF(COUNTIFS('Policy Assignments'!$C$5:$C$868,$A116,'Policy Assignments'!$B$5:$B$868,E$4,'Policy Assignments'!$E$5:$E$868,"Hold")&gt;0,"H",IF(COUNTIFS('Policy Assignments'!$C$5:$C$868,$A116,'Policy Assignments'!$B$5:$B$868,E$4,'Policy Assignments'!$E$5:$E$868,"Core")&gt;0,"R",IF(COUNTIFS('Policy Assignments'!$C$5:$C$868,$A116,'Policy Assignments'!$B$5:$B$868,E$4,'Policy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F116" s="94" t="str">
        <x:f>IF(COUNTIFS('Policy Assignments'!$C$5:$C$868,$A116,'Policy Assignments'!$B$5:$B$868,F$4,'Policy Assignments'!$E$5:$E$868,"Hold")&gt;0,"H",IF(COUNTIFS('Policy Assignments'!$C$5:$C$868,$A116,'Policy Assignments'!$B$5:$B$868,F$4,'Policy Assignments'!$E$5:$E$868,"Core")&gt;0,"R",IF(COUNTIFS('Policy Assignments'!$C$5:$C$868,$A116,'Policy Assignments'!$B$5:$B$868,F$4,'Policy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G116" s="94" t="str">
        <x:f>IF(COUNTIFS('Policy Assignments'!$C$5:$C$868,$A116,'Policy Assignments'!$B$5:$B$868,G$4,'Policy Assignments'!$E$5:$E$868,"Hold")&gt;0,"H",IF(COUNTIFS('Policy Assignments'!$C$5:$C$868,$A116,'Policy Assignments'!$B$5:$B$868,G$4,'Policy Assignments'!$E$5:$E$868,"Core")&gt;0,"R",IF(COUNTIFS('Policy Assignments'!$C$5:$C$868,$A116,'Policy Assignments'!$B$5:$B$868,G$4,'Policy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H116" s="94" t="str">
        <x:f>IF(COUNTIFS('Policy Assignments'!$C$5:$C$868,$A116,'Policy Assignments'!$B$5:$B$868,H$4,'Policy Assignments'!$E$5:$E$868,"Hold")&gt;0,"H",IF(COUNTIFS('Policy Assignments'!$C$5:$C$868,$A116,'Policy Assignments'!$B$5:$B$868,H$4,'Policy Assignments'!$E$5:$E$868,"Core")&gt;0,"R",IF(COUNTIFS('Policy Assignments'!$C$5:$C$868,$A116,'Policy Assignments'!$B$5:$B$868,H$4,'Policy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I116" s="94" t="str">
        <x:f>IF(COUNTIFS('Policy Assignments'!$C$5:$C$868,$A116,'Policy Assignments'!$B$5:$B$868,I$4,'Policy Assignments'!$E$5:$E$868,"Hold")&gt;0,"H",IF(COUNTIFS('Policy Assignments'!$C$5:$C$868,$A116,'Policy Assignments'!$B$5:$B$868,I$4,'Policy Assignments'!$E$5:$E$868,"Core")&gt;0,"R",IF(COUNTIFS('Policy Assignments'!$C$5:$C$868,$A116,'Policy Assignments'!$B$5:$B$868,I$4,'Policy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J116" s="94" t="str">
        <x:f>IF(COUNTIFS('Policy Assignments'!$C$5:$C$868,$A116,'Policy Assignments'!$B$5:$B$868,J$4,'Policy Assignments'!$E$5:$E$868,"Hold")&gt;0,"H",IF(COUNTIFS('Policy Assignments'!$C$5:$C$868,$A116,'Policy Assignments'!$B$5:$B$868,J$4,'Policy Assignments'!$E$5:$E$868,"Core")&gt;0,"R",IF(COUNTIFS('Policy Assignments'!$C$5:$C$868,$A116,'Policy Assignments'!$B$5:$B$868,J$4,'Policy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K116" s="94" t="str">
        <x:f>IF(COUNTIFS('Policy Assignments'!$C$5:$C$868,$A116,'Policy Assignments'!$B$5:$B$868,K$4,'Policy Assignments'!$E$5:$E$868,"Hold")&gt;0,"H",IF(COUNTIFS('Policy Assignments'!$C$5:$C$868,$A116,'Policy Assignments'!$B$5:$B$868,K$4,'Policy Assignments'!$E$5:$E$868,"Core")&gt;0,"R",IF(COUNTIFS('Policy Assignments'!$C$5:$C$868,$A116,'Policy Assignments'!$B$5:$B$868,K$4,'Policy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L116" s="94" t="str">
        <x:f>IF(COUNTIFS('Policy Assignments'!$C$5:$C$868,$A116,'Policy Assignments'!$B$5:$B$868,L$4,'Policy Assignments'!$E$5:$E$868,"Hold")&gt;0,"H",IF(COUNTIFS('Policy Assignments'!$C$5:$C$868,$A116,'Policy Assignments'!$B$5:$B$868,L$4,'Policy Assignments'!$E$5:$E$868,"Core")&gt;0,"R",IF(COUNTIFS('Policy Assignments'!$C$5:$C$868,$A116,'Policy Assignments'!$B$5:$B$868,L$4,'Policy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M116" s="94" t="str">
        <x:f>IF(COUNTIFS('Policy Assignments'!$C$5:$C$868,$A116,'Policy Assignments'!$B$5:$B$868,M$4,'Policy Assignments'!$E$5:$E$868,"Hold")&gt;0,"H",IF(COUNTIFS('Policy Assignments'!$C$5:$C$868,$A116,'Policy Assignments'!$B$5:$B$868,M$4,'Policy Assignments'!$E$5:$E$868,"Core")&gt;0,"R",IF(COUNTIFS('Policy Assignments'!$C$5:$C$868,$A116,'Policy Assignments'!$B$5:$B$868,M$4,'Policy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v>R</x:v>
      </x:c>
      <x:c r="N116" s="94" t="str">
        <x:f>IF(COUNTIFS('Policy Assignments'!$C$5:$C$868,$A116,'Policy Assignments'!$B$5:$B$868,N$4,'Policy Assignments'!$E$5:$E$868,"Hold")&gt;0,"H",IF(COUNTIFS('Policy Assignments'!$C$5:$C$868,$A116,'Policy Assignments'!$B$5:$B$868,N$4,'Policy Assignments'!$E$5:$E$868,"Core")&gt;0,"R",IF(COUNTIFS('Policy Assignments'!$C$5:$C$868,$A116,'Policy Assignments'!$B$5:$B$868,N$4,'Policy Assignments'!$E$5:$E$868,"Conditional")&gt;0,"C",IF(COUNTIFS('Policy Assignments'!$C$5:$C$868,$A116,'Policy Assignments'!$B$5:$B$868,"General",'Policy Assignments'!$E$5:$E$868,"Hold")&gt;0,"H",IF(COUNTIFS('Policy Assignments'!$C$5:$C$868,$A116,'Policy Assignments'!$B$5:$B$868,"General",'Policy Assignments'!$E$5:$E$868,"Conditional")&gt;0,"C",IF(COUNTIFS('Policy Assignments'!$C$5:$C$868,$A116,'Policy Assignments'!$B$5:$B$868,"General")&gt;0,"G",""))))))</x:f>
      </x:c>
      <x:c r="O116" s="94" t="str">
        <x:f>IF(COUNTIFS('Policy Assignments'!$C$5:$C$868,$A116,'Policy Assignments'!$B$5:$B$868,O$4,'Policy Assignments'!$E$5:$E$868,"Hold")&gt;0,"H",IF(COUNTIFS('Policy Assignments'!$C$5:$C$868,$A116,'Policy Assignments'!$B$5:$B$868,O$4,'Policy Assignments'!$E$5:$E$868,"Core")&gt;0,"R",IF(COUNTIFS('Policy Assignments'!$C$5:$C$868,$A116,'Policy Assignments'!$B$5:$B$868,O$4,'Policy Assignments'!$E$5:$E$868,"Conditional")&gt;0,"C","")))</x:f>
      </x:c>
      <x:c r="P116" s="90" t="str">
        <x:v>Mapped</x:v>
      </x:c>
    </x:row>
    <x:row r="117" ht="22" customHeight="1">
      <x:c r="A117" s="90" t="str">
        <x:v>GV-EA-004</x:v>
      </x:c>
      <x:c r="B117" s="90" t="str">
        <x:v>Agency Licensure &amp; Certification Maintenance</x:v>
      </x:c>
      <x:c r="C117" s="94" t="str">
        <x:f>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D117" s="94" t="str">
        <x:f>IF(COUNTIFS('Policy Assignments'!$C$5:$C$868,$A117,'Policy Assignments'!$B$5:$B$868,D$4,'Policy Assignments'!$E$5:$E$868,"Hold")&gt;0,"H",IF(COUNTIFS('Policy Assignments'!$C$5:$C$868,$A117,'Policy Assignments'!$B$5:$B$868,D$4,'Policy Assignments'!$E$5:$E$868,"Core")&gt;0,"R",IF(COUNTIFS('Policy Assignments'!$C$5:$C$868,$A117,'Policy Assignments'!$B$5:$B$868,D$4,'Policy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E117" s="94" t="str">
        <x:f>IF(COUNTIFS('Policy Assignments'!$C$5:$C$868,$A117,'Policy Assignments'!$B$5:$B$868,E$4,'Policy Assignments'!$E$5:$E$868,"Hold")&gt;0,"H",IF(COUNTIFS('Policy Assignments'!$C$5:$C$868,$A117,'Policy Assignments'!$B$5:$B$868,E$4,'Policy Assignments'!$E$5:$E$868,"Core")&gt;0,"R",IF(COUNTIFS('Policy Assignments'!$C$5:$C$868,$A117,'Policy Assignments'!$B$5:$B$868,E$4,'Policy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F117" s="94" t="str">
        <x:f>IF(COUNTIFS('Policy Assignments'!$C$5:$C$868,$A117,'Policy Assignments'!$B$5:$B$868,F$4,'Policy Assignments'!$E$5:$E$868,"Hold")&gt;0,"H",IF(COUNTIFS('Policy Assignments'!$C$5:$C$868,$A117,'Policy Assignments'!$B$5:$B$868,F$4,'Policy Assignments'!$E$5:$E$868,"Core")&gt;0,"R",IF(COUNTIFS('Policy Assignments'!$C$5:$C$868,$A117,'Policy Assignments'!$B$5:$B$868,F$4,'Policy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G117" s="94" t="str">
        <x:f>IF(COUNTIFS('Policy Assignments'!$C$5:$C$868,$A117,'Policy Assignments'!$B$5:$B$868,G$4,'Policy Assignments'!$E$5:$E$868,"Hold")&gt;0,"H",IF(COUNTIFS('Policy Assignments'!$C$5:$C$868,$A117,'Policy Assignments'!$B$5:$B$868,G$4,'Policy Assignments'!$E$5:$E$868,"Core")&gt;0,"R",IF(COUNTIFS('Policy Assignments'!$C$5:$C$868,$A117,'Policy Assignments'!$B$5:$B$868,G$4,'Policy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H117" s="94" t="str">
        <x:f>IF(COUNTIFS('Policy Assignments'!$C$5:$C$868,$A117,'Policy Assignments'!$B$5:$B$868,H$4,'Policy Assignments'!$E$5:$E$868,"Hold")&gt;0,"H",IF(COUNTIFS('Policy Assignments'!$C$5:$C$868,$A117,'Policy Assignments'!$B$5:$B$868,H$4,'Policy Assignments'!$E$5:$E$868,"Core")&gt;0,"R",IF(COUNTIFS('Policy Assignments'!$C$5:$C$868,$A117,'Policy Assignments'!$B$5:$B$868,H$4,'Policy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I117" s="94" t="str">
        <x:f>IF(COUNTIFS('Policy Assignments'!$C$5:$C$868,$A117,'Policy Assignments'!$B$5:$B$868,I$4,'Policy Assignments'!$E$5:$E$868,"Hold")&gt;0,"H",IF(COUNTIFS('Policy Assignments'!$C$5:$C$868,$A117,'Policy Assignments'!$B$5:$B$868,I$4,'Policy Assignments'!$E$5:$E$868,"Core")&gt;0,"R",IF(COUNTIFS('Policy Assignments'!$C$5:$C$868,$A117,'Policy Assignments'!$B$5:$B$868,I$4,'Policy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J117" s="94" t="str">
        <x:f>IF(COUNTIFS('Policy Assignments'!$C$5:$C$868,$A117,'Policy Assignments'!$B$5:$B$868,J$4,'Policy Assignments'!$E$5:$E$868,"Hold")&gt;0,"H",IF(COUNTIFS('Policy Assignments'!$C$5:$C$868,$A117,'Policy Assignments'!$B$5:$B$868,J$4,'Policy Assignments'!$E$5:$E$868,"Core")&gt;0,"R",IF(COUNTIFS('Policy Assignments'!$C$5:$C$868,$A117,'Policy Assignments'!$B$5:$B$868,J$4,'Policy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K117" s="94" t="str">
        <x:f>IF(COUNTIFS('Policy Assignments'!$C$5:$C$868,$A117,'Policy Assignments'!$B$5:$B$868,K$4,'Policy Assignments'!$E$5:$E$868,"Hold")&gt;0,"H",IF(COUNTIFS('Policy Assignments'!$C$5:$C$868,$A117,'Policy Assignments'!$B$5:$B$868,K$4,'Policy Assignments'!$E$5:$E$868,"Core")&gt;0,"R",IF(COUNTIFS('Policy Assignments'!$C$5:$C$868,$A117,'Policy Assignments'!$B$5:$B$868,K$4,'Policy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L117" s="94" t="str">
        <x:f>IF(COUNTIFS('Policy Assignments'!$C$5:$C$868,$A117,'Policy Assignments'!$B$5:$B$868,L$4,'Policy Assignments'!$E$5:$E$868,"Hold")&gt;0,"H",IF(COUNTIFS('Policy Assignments'!$C$5:$C$868,$A117,'Policy Assignments'!$B$5:$B$868,L$4,'Policy Assignments'!$E$5:$E$868,"Core")&gt;0,"R",IF(COUNTIFS('Policy Assignments'!$C$5:$C$868,$A117,'Policy Assignments'!$B$5:$B$868,L$4,'Policy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M117" s="94" t="str">
        <x:f>IF(COUNTIFS('Policy Assignments'!$C$5:$C$868,$A117,'Policy Assignments'!$B$5:$B$868,M$4,'Policy Assignments'!$E$5:$E$868,"Hold")&gt;0,"H",IF(COUNTIFS('Policy Assignments'!$C$5:$C$868,$A117,'Policy Assignments'!$B$5:$B$868,M$4,'Policy Assignments'!$E$5:$E$868,"Core")&gt;0,"R",IF(COUNTIFS('Policy Assignments'!$C$5:$C$868,$A117,'Policy Assignments'!$B$5:$B$868,M$4,'Policy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v>R</x:v>
      </x:c>
      <x:c r="N117" s="94" t="str">
        <x:f>IF(COUNTIFS('Policy Assignments'!$C$5:$C$868,$A117,'Policy Assignments'!$B$5:$B$868,N$4,'Policy Assignments'!$E$5:$E$868,"Hold")&gt;0,"H",IF(COUNTIFS('Policy Assignments'!$C$5:$C$868,$A117,'Policy Assignments'!$B$5:$B$868,N$4,'Policy Assignments'!$E$5:$E$868,"Core")&gt;0,"R",IF(COUNTIFS('Policy Assignments'!$C$5:$C$868,$A117,'Policy Assignments'!$B$5:$B$868,N$4,'Policy Assignments'!$E$5:$E$868,"Conditional")&gt;0,"C",IF(COUNTIFS('Policy Assignments'!$C$5:$C$868,$A117,'Policy Assignments'!$B$5:$B$868,"General",'Policy Assignments'!$E$5:$E$868,"Hold")&gt;0,"H",IF(COUNTIFS('Policy Assignments'!$C$5:$C$868,$A117,'Policy Assignments'!$B$5:$B$868,"General",'Policy Assignments'!$E$5:$E$868,"Conditional")&gt;0,"C",IF(COUNTIFS('Policy Assignments'!$C$5:$C$868,$A117,'Policy Assignments'!$B$5:$B$868,"General")&gt;0,"G",""))))))</x:f>
      </x:c>
      <x:c r="O117" s="94" t="str">
        <x:f>IF(COUNTIFS('Policy Assignments'!$C$5:$C$868,$A117,'Policy Assignments'!$B$5:$B$868,O$4,'Policy Assignments'!$E$5:$E$868,"Hold")&gt;0,"H",IF(COUNTIFS('Policy Assignments'!$C$5:$C$868,$A117,'Policy Assignments'!$B$5:$B$868,O$4,'Policy Assignments'!$E$5:$E$868,"Core")&gt;0,"R",IF(COUNTIFS('Policy Assignments'!$C$5:$C$868,$A117,'Policy Assignments'!$B$5:$B$868,O$4,'Policy Assignments'!$E$5:$E$868,"Conditional")&gt;0,"C","")))</x:f>
        <x:v>R</x:v>
      </x:c>
      <x:c r="P117" s="90" t="str">
        <x:v>Mapped</x:v>
      </x:c>
    </x:row>
    <x:row r="118" ht="22" customHeight="1">
      <x:c r="A118" s="90" t="str">
        <x:v>GV-EA-005</x:v>
      </x:c>
      <x:c r="B118" s="90" t="str">
        <x:v>Agency Closure or Change of Ownership</x:v>
      </x:c>
      <x:c r="C118" s="94" t="str">
        <x:f>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D118" s="94" t="str">
        <x:f>IF(COUNTIFS('Policy Assignments'!$C$5:$C$868,$A118,'Policy Assignments'!$B$5:$B$868,D$4,'Policy Assignments'!$E$5:$E$868,"Hold")&gt;0,"H",IF(COUNTIFS('Policy Assignments'!$C$5:$C$868,$A118,'Policy Assignments'!$B$5:$B$868,D$4,'Policy Assignments'!$E$5:$E$868,"Core")&gt;0,"R",IF(COUNTIFS('Policy Assignments'!$C$5:$C$868,$A118,'Policy Assignments'!$B$5:$B$868,D$4,'Policy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E118" s="94" t="str">
        <x:f>IF(COUNTIFS('Policy Assignments'!$C$5:$C$868,$A118,'Policy Assignments'!$B$5:$B$868,E$4,'Policy Assignments'!$E$5:$E$868,"Hold")&gt;0,"H",IF(COUNTIFS('Policy Assignments'!$C$5:$C$868,$A118,'Policy Assignments'!$B$5:$B$868,E$4,'Policy Assignments'!$E$5:$E$868,"Core")&gt;0,"R",IF(COUNTIFS('Policy Assignments'!$C$5:$C$868,$A118,'Policy Assignments'!$B$5:$B$868,E$4,'Policy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F118" s="94" t="str">
        <x:f>IF(COUNTIFS('Policy Assignments'!$C$5:$C$868,$A118,'Policy Assignments'!$B$5:$B$868,F$4,'Policy Assignments'!$E$5:$E$868,"Hold")&gt;0,"H",IF(COUNTIFS('Policy Assignments'!$C$5:$C$868,$A118,'Policy Assignments'!$B$5:$B$868,F$4,'Policy Assignments'!$E$5:$E$868,"Core")&gt;0,"R",IF(COUNTIFS('Policy Assignments'!$C$5:$C$868,$A118,'Policy Assignments'!$B$5:$B$868,F$4,'Policy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G118" s="94" t="str">
        <x:f>IF(COUNTIFS('Policy Assignments'!$C$5:$C$868,$A118,'Policy Assignments'!$B$5:$B$868,G$4,'Policy Assignments'!$E$5:$E$868,"Hold")&gt;0,"H",IF(COUNTIFS('Policy Assignments'!$C$5:$C$868,$A118,'Policy Assignments'!$B$5:$B$868,G$4,'Policy Assignments'!$E$5:$E$868,"Core")&gt;0,"R",IF(COUNTIFS('Policy Assignments'!$C$5:$C$868,$A118,'Policy Assignments'!$B$5:$B$868,G$4,'Policy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H118" s="94" t="str">
        <x:f>IF(COUNTIFS('Policy Assignments'!$C$5:$C$868,$A118,'Policy Assignments'!$B$5:$B$868,H$4,'Policy Assignments'!$E$5:$E$868,"Hold")&gt;0,"H",IF(COUNTIFS('Policy Assignments'!$C$5:$C$868,$A118,'Policy Assignments'!$B$5:$B$868,H$4,'Policy Assignments'!$E$5:$E$868,"Core")&gt;0,"R",IF(COUNTIFS('Policy Assignments'!$C$5:$C$868,$A118,'Policy Assignments'!$B$5:$B$868,H$4,'Policy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I118" s="94" t="str">
        <x:f>IF(COUNTIFS('Policy Assignments'!$C$5:$C$868,$A118,'Policy Assignments'!$B$5:$B$868,I$4,'Policy Assignments'!$E$5:$E$868,"Hold")&gt;0,"H",IF(COUNTIFS('Policy Assignments'!$C$5:$C$868,$A118,'Policy Assignments'!$B$5:$B$868,I$4,'Policy Assignments'!$E$5:$E$868,"Core")&gt;0,"R",IF(COUNTIFS('Policy Assignments'!$C$5:$C$868,$A118,'Policy Assignments'!$B$5:$B$868,I$4,'Policy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J118" s="94" t="str">
        <x:f>IF(COUNTIFS('Policy Assignments'!$C$5:$C$868,$A118,'Policy Assignments'!$B$5:$B$868,J$4,'Policy Assignments'!$E$5:$E$868,"Hold")&gt;0,"H",IF(COUNTIFS('Policy Assignments'!$C$5:$C$868,$A118,'Policy Assignments'!$B$5:$B$868,J$4,'Policy Assignments'!$E$5:$E$868,"Core")&gt;0,"R",IF(COUNTIFS('Policy Assignments'!$C$5:$C$868,$A118,'Policy Assignments'!$B$5:$B$868,J$4,'Policy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K118" s="94" t="str">
        <x:f>IF(COUNTIFS('Policy Assignments'!$C$5:$C$868,$A118,'Policy Assignments'!$B$5:$B$868,K$4,'Policy Assignments'!$E$5:$E$868,"Hold")&gt;0,"H",IF(COUNTIFS('Policy Assignments'!$C$5:$C$868,$A118,'Policy Assignments'!$B$5:$B$868,K$4,'Policy Assignments'!$E$5:$E$868,"Core")&gt;0,"R",IF(COUNTIFS('Policy Assignments'!$C$5:$C$868,$A118,'Policy Assignments'!$B$5:$B$868,K$4,'Policy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L118" s="94" t="str">
        <x:f>IF(COUNTIFS('Policy Assignments'!$C$5:$C$868,$A118,'Policy Assignments'!$B$5:$B$868,L$4,'Policy Assignments'!$E$5:$E$868,"Hold")&gt;0,"H",IF(COUNTIFS('Policy Assignments'!$C$5:$C$868,$A118,'Policy Assignments'!$B$5:$B$868,L$4,'Policy Assignments'!$E$5:$E$868,"Core")&gt;0,"R",IF(COUNTIFS('Policy Assignments'!$C$5:$C$868,$A118,'Policy Assignments'!$B$5:$B$868,L$4,'Policy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M118" s="94" t="str">
        <x:f>IF(COUNTIFS('Policy Assignments'!$C$5:$C$868,$A118,'Policy Assignments'!$B$5:$B$868,M$4,'Policy Assignments'!$E$5:$E$868,"Hold")&gt;0,"H",IF(COUNTIFS('Policy Assignments'!$C$5:$C$868,$A118,'Policy Assignments'!$B$5:$B$868,M$4,'Policy Assignments'!$E$5:$E$868,"Core")&gt;0,"R",IF(COUNTIFS('Policy Assignments'!$C$5:$C$868,$A118,'Policy Assignments'!$B$5:$B$868,M$4,'Policy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v>R</x:v>
      </x:c>
      <x:c r="N118" s="94" t="str">
        <x:f>IF(COUNTIFS('Policy Assignments'!$C$5:$C$868,$A118,'Policy Assignments'!$B$5:$B$868,N$4,'Policy Assignments'!$E$5:$E$868,"Hold")&gt;0,"H",IF(COUNTIFS('Policy Assignments'!$C$5:$C$868,$A118,'Policy Assignments'!$B$5:$B$868,N$4,'Policy Assignments'!$E$5:$E$868,"Core")&gt;0,"R",IF(COUNTIFS('Policy Assignments'!$C$5:$C$868,$A118,'Policy Assignments'!$B$5:$B$868,N$4,'Policy Assignments'!$E$5:$E$868,"Conditional")&gt;0,"C",IF(COUNTIFS('Policy Assignments'!$C$5:$C$868,$A118,'Policy Assignments'!$B$5:$B$868,"General",'Policy Assignments'!$E$5:$E$868,"Hold")&gt;0,"H",IF(COUNTIFS('Policy Assignments'!$C$5:$C$868,$A118,'Policy Assignments'!$B$5:$B$868,"General",'Policy Assignments'!$E$5:$E$868,"Conditional")&gt;0,"C",IF(COUNTIFS('Policy Assignments'!$C$5:$C$868,$A118,'Policy Assignments'!$B$5:$B$868,"General")&gt;0,"G",""))))))</x:f>
      </x:c>
      <x:c r="O118" s="94" t="str">
        <x:f>IF(COUNTIFS('Policy Assignments'!$C$5:$C$868,$A118,'Policy Assignments'!$B$5:$B$868,O$4,'Policy Assignments'!$E$5:$E$868,"Hold")&gt;0,"H",IF(COUNTIFS('Policy Assignments'!$C$5:$C$868,$A118,'Policy Assignments'!$B$5:$B$868,O$4,'Policy Assignments'!$E$5:$E$868,"Core")&gt;0,"R",IF(COUNTIFS('Policy Assignments'!$C$5:$C$868,$A118,'Policy Assignments'!$B$5:$B$868,O$4,'Policy Assignments'!$E$5:$E$868,"Conditional")&gt;0,"C","")))</x:f>
        <x:v>R</x:v>
      </x:c>
      <x:c r="P118" s="90" t="str">
        <x:v>Mapped</x:v>
      </x:c>
    </x:row>
    <x:row r="119" ht="22" customHeight="1">
      <x:c r="A119" s="90" t="str">
        <x:v>GV-GB-001</x:v>
      </x:c>
      <x:c r="B119" s="90" t="str">
        <x:v>Governing Body Authority &amp; Responsibilities (absent from generated library)</x:v>
      </x:c>
      <x:c r="C119" s="94" t="str">
        <x:f>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D119" s="94" t="str">
        <x:f>IF(COUNTIFS('Policy Assignments'!$C$5:$C$868,$A119,'Policy Assignments'!$B$5:$B$868,D$4,'Policy Assignments'!$E$5:$E$868,"Hold")&gt;0,"H",IF(COUNTIFS('Policy Assignments'!$C$5:$C$868,$A119,'Policy Assignments'!$B$5:$B$868,D$4,'Policy Assignments'!$E$5:$E$868,"Core")&gt;0,"R",IF(COUNTIFS('Policy Assignments'!$C$5:$C$868,$A119,'Policy Assignments'!$B$5:$B$868,D$4,'Policy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E119" s="94" t="str">
        <x:f>IF(COUNTIFS('Policy Assignments'!$C$5:$C$868,$A119,'Policy Assignments'!$B$5:$B$868,E$4,'Policy Assignments'!$E$5:$E$868,"Hold")&gt;0,"H",IF(COUNTIFS('Policy Assignments'!$C$5:$C$868,$A119,'Policy Assignments'!$B$5:$B$868,E$4,'Policy Assignments'!$E$5:$E$868,"Core")&gt;0,"R",IF(COUNTIFS('Policy Assignments'!$C$5:$C$868,$A119,'Policy Assignments'!$B$5:$B$868,E$4,'Policy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F119" s="94" t="str">
        <x:f>IF(COUNTIFS('Policy Assignments'!$C$5:$C$868,$A119,'Policy Assignments'!$B$5:$B$868,F$4,'Policy Assignments'!$E$5:$E$868,"Hold")&gt;0,"H",IF(COUNTIFS('Policy Assignments'!$C$5:$C$868,$A119,'Policy Assignments'!$B$5:$B$868,F$4,'Policy Assignments'!$E$5:$E$868,"Core")&gt;0,"R",IF(COUNTIFS('Policy Assignments'!$C$5:$C$868,$A119,'Policy Assignments'!$B$5:$B$868,F$4,'Policy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G119" s="94" t="str">
        <x:f>IF(COUNTIFS('Policy Assignments'!$C$5:$C$868,$A119,'Policy Assignments'!$B$5:$B$868,G$4,'Policy Assignments'!$E$5:$E$868,"Hold")&gt;0,"H",IF(COUNTIFS('Policy Assignments'!$C$5:$C$868,$A119,'Policy Assignments'!$B$5:$B$868,G$4,'Policy Assignments'!$E$5:$E$868,"Core")&gt;0,"R",IF(COUNTIFS('Policy Assignments'!$C$5:$C$868,$A119,'Policy Assignments'!$B$5:$B$868,G$4,'Policy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H119" s="94" t="str">
        <x:f>IF(COUNTIFS('Policy Assignments'!$C$5:$C$868,$A119,'Policy Assignments'!$B$5:$B$868,H$4,'Policy Assignments'!$E$5:$E$868,"Hold")&gt;0,"H",IF(COUNTIFS('Policy Assignments'!$C$5:$C$868,$A119,'Policy Assignments'!$B$5:$B$868,H$4,'Policy Assignments'!$E$5:$E$868,"Core")&gt;0,"R",IF(COUNTIFS('Policy Assignments'!$C$5:$C$868,$A119,'Policy Assignments'!$B$5:$B$868,H$4,'Policy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I119" s="94" t="str">
        <x:f>IF(COUNTIFS('Policy Assignments'!$C$5:$C$868,$A119,'Policy Assignments'!$B$5:$B$868,I$4,'Policy Assignments'!$E$5:$E$868,"Hold")&gt;0,"H",IF(COUNTIFS('Policy Assignments'!$C$5:$C$868,$A119,'Policy Assignments'!$B$5:$B$868,I$4,'Policy Assignments'!$E$5:$E$868,"Core")&gt;0,"R",IF(COUNTIFS('Policy Assignments'!$C$5:$C$868,$A119,'Policy Assignments'!$B$5:$B$868,I$4,'Policy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J119" s="94" t="str">
        <x:f>IF(COUNTIFS('Policy Assignments'!$C$5:$C$868,$A119,'Policy Assignments'!$B$5:$B$868,J$4,'Policy Assignments'!$E$5:$E$868,"Hold")&gt;0,"H",IF(COUNTIFS('Policy Assignments'!$C$5:$C$868,$A119,'Policy Assignments'!$B$5:$B$868,J$4,'Policy Assignments'!$E$5:$E$868,"Core")&gt;0,"R",IF(COUNTIFS('Policy Assignments'!$C$5:$C$868,$A119,'Policy Assignments'!$B$5:$B$868,J$4,'Policy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K119" s="94" t="str">
        <x:f>IF(COUNTIFS('Policy Assignments'!$C$5:$C$868,$A119,'Policy Assignments'!$B$5:$B$868,K$4,'Policy Assignments'!$E$5:$E$868,"Hold")&gt;0,"H",IF(COUNTIFS('Policy Assignments'!$C$5:$C$868,$A119,'Policy Assignments'!$B$5:$B$868,K$4,'Policy Assignments'!$E$5:$E$868,"Core")&gt;0,"R",IF(COUNTIFS('Policy Assignments'!$C$5:$C$868,$A119,'Policy Assignments'!$B$5:$B$868,K$4,'Policy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L119" s="94" t="str">
        <x:f>IF(COUNTIFS('Policy Assignments'!$C$5:$C$868,$A119,'Policy Assignments'!$B$5:$B$868,L$4,'Policy Assignments'!$E$5:$E$868,"Hold")&gt;0,"H",IF(COUNTIFS('Policy Assignments'!$C$5:$C$868,$A119,'Policy Assignments'!$B$5:$B$868,L$4,'Policy Assignments'!$E$5:$E$868,"Core")&gt;0,"R",IF(COUNTIFS('Policy Assignments'!$C$5:$C$868,$A119,'Policy Assignments'!$B$5:$B$868,L$4,'Policy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M119" s="94" t="str">
        <x:f>IF(COUNTIFS('Policy Assignments'!$C$5:$C$868,$A119,'Policy Assignments'!$B$5:$B$868,M$4,'Policy Assignments'!$E$5:$E$868,"Hold")&gt;0,"H",IF(COUNTIFS('Policy Assignments'!$C$5:$C$868,$A119,'Policy Assignments'!$B$5:$B$868,M$4,'Policy Assignments'!$E$5:$E$868,"Core")&gt;0,"R",IF(COUNTIFS('Policy Assignments'!$C$5:$C$868,$A119,'Policy Assignments'!$B$5:$B$868,M$4,'Policy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v>H</x:v>
      </x:c>
      <x:c r="N119" s="94" t="str">
        <x:f>IF(COUNTIFS('Policy Assignments'!$C$5:$C$868,$A119,'Policy Assignments'!$B$5:$B$868,N$4,'Policy Assignments'!$E$5:$E$868,"Hold")&gt;0,"H",IF(COUNTIFS('Policy Assignments'!$C$5:$C$868,$A119,'Policy Assignments'!$B$5:$B$868,N$4,'Policy Assignments'!$E$5:$E$868,"Core")&gt;0,"R",IF(COUNTIFS('Policy Assignments'!$C$5:$C$868,$A119,'Policy Assignments'!$B$5:$B$868,N$4,'Policy Assignments'!$E$5:$E$868,"Conditional")&gt;0,"C",IF(COUNTIFS('Policy Assignments'!$C$5:$C$868,$A119,'Policy Assignments'!$B$5:$B$868,"General",'Policy Assignments'!$E$5:$E$868,"Hold")&gt;0,"H",IF(COUNTIFS('Policy Assignments'!$C$5:$C$868,$A119,'Policy Assignments'!$B$5:$B$868,"General",'Policy Assignments'!$E$5:$E$868,"Conditional")&gt;0,"C",IF(COUNTIFS('Policy Assignments'!$C$5:$C$868,$A119,'Policy Assignments'!$B$5:$B$868,"General")&gt;0,"G",""))))))</x:f>
      </x:c>
      <x:c r="O119" s="94" t="str">
        <x:f>IF(COUNTIFS('Policy Assignments'!$C$5:$C$868,$A119,'Policy Assignments'!$B$5:$B$868,O$4,'Policy Assignments'!$E$5:$E$868,"Hold")&gt;0,"H",IF(COUNTIFS('Policy Assignments'!$C$5:$C$868,$A119,'Policy Assignments'!$B$5:$B$868,O$4,'Policy Assignments'!$E$5:$E$868,"Core")&gt;0,"R",IF(COUNTIFS('Policy Assignments'!$C$5:$C$868,$A119,'Policy Assignments'!$B$5:$B$868,O$4,'Policy Assignments'!$E$5:$E$868,"Conditional")&gt;0,"C","")))</x:f>
        <x:v>H</x:v>
      </x:c>
      <x:c r="P119" s="90" t="str">
        <x:v>Hold/correction required</x:v>
      </x:c>
    </x:row>
    <x:row r="120" ht="22" customHeight="1">
      <x:c r="A120" s="90" t="str">
        <x:v>GV-GB-002</x:v>
      </x:c>
      <x:c r="B120" s="90" t="str">
        <x:v>Board Meeting &amp; Minutes Requirements</x:v>
      </x:c>
      <x:c r="C120" s="94" t="str">
        <x:f>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D120" s="94" t="str">
        <x:f>IF(COUNTIFS('Policy Assignments'!$C$5:$C$868,$A120,'Policy Assignments'!$B$5:$B$868,D$4,'Policy Assignments'!$E$5:$E$868,"Hold")&gt;0,"H",IF(COUNTIFS('Policy Assignments'!$C$5:$C$868,$A120,'Policy Assignments'!$B$5:$B$868,D$4,'Policy Assignments'!$E$5:$E$868,"Core")&gt;0,"R",IF(COUNTIFS('Policy Assignments'!$C$5:$C$868,$A120,'Policy Assignments'!$B$5:$B$868,D$4,'Policy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E120" s="94" t="str">
        <x:f>IF(COUNTIFS('Policy Assignments'!$C$5:$C$868,$A120,'Policy Assignments'!$B$5:$B$868,E$4,'Policy Assignments'!$E$5:$E$868,"Hold")&gt;0,"H",IF(COUNTIFS('Policy Assignments'!$C$5:$C$868,$A120,'Policy Assignments'!$B$5:$B$868,E$4,'Policy Assignments'!$E$5:$E$868,"Core")&gt;0,"R",IF(COUNTIFS('Policy Assignments'!$C$5:$C$868,$A120,'Policy Assignments'!$B$5:$B$868,E$4,'Policy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F120" s="94" t="str">
        <x:f>IF(COUNTIFS('Policy Assignments'!$C$5:$C$868,$A120,'Policy Assignments'!$B$5:$B$868,F$4,'Policy Assignments'!$E$5:$E$868,"Hold")&gt;0,"H",IF(COUNTIFS('Policy Assignments'!$C$5:$C$868,$A120,'Policy Assignments'!$B$5:$B$868,F$4,'Policy Assignments'!$E$5:$E$868,"Core")&gt;0,"R",IF(COUNTIFS('Policy Assignments'!$C$5:$C$868,$A120,'Policy Assignments'!$B$5:$B$868,F$4,'Policy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G120" s="94" t="str">
        <x:f>IF(COUNTIFS('Policy Assignments'!$C$5:$C$868,$A120,'Policy Assignments'!$B$5:$B$868,G$4,'Policy Assignments'!$E$5:$E$868,"Hold")&gt;0,"H",IF(COUNTIFS('Policy Assignments'!$C$5:$C$868,$A120,'Policy Assignments'!$B$5:$B$868,G$4,'Policy Assignments'!$E$5:$E$868,"Core")&gt;0,"R",IF(COUNTIFS('Policy Assignments'!$C$5:$C$868,$A120,'Policy Assignments'!$B$5:$B$868,G$4,'Policy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H120" s="94" t="str">
        <x:f>IF(COUNTIFS('Policy Assignments'!$C$5:$C$868,$A120,'Policy Assignments'!$B$5:$B$868,H$4,'Policy Assignments'!$E$5:$E$868,"Hold")&gt;0,"H",IF(COUNTIFS('Policy Assignments'!$C$5:$C$868,$A120,'Policy Assignments'!$B$5:$B$868,H$4,'Policy Assignments'!$E$5:$E$868,"Core")&gt;0,"R",IF(COUNTIFS('Policy Assignments'!$C$5:$C$868,$A120,'Policy Assignments'!$B$5:$B$868,H$4,'Policy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I120" s="94" t="str">
        <x:f>IF(COUNTIFS('Policy Assignments'!$C$5:$C$868,$A120,'Policy Assignments'!$B$5:$B$868,I$4,'Policy Assignments'!$E$5:$E$868,"Hold")&gt;0,"H",IF(COUNTIFS('Policy Assignments'!$C$5:$C$868,$A120,'Policy Assignments'!$B$5:$B$868,I$4,'Policy Assignments'!$E$5:$E$868,"Core")&gt;0,"R",IF(COUNTIFS('Policy Assignments'!$C$5:$C$868,$A120,'Policy Assignments'!$B$5:$B$868,I$4,'Policy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J120" s="94" t="str">
        <x:f>IF(COUNTIFS('Policy Assignments'!$C$5:$C$868,$A120,'Policy Assignments'!$B$5:$B$868,J$4,'Policy Assignments'!$E$5:$E$868,"Hold")&gt;0,"H",IF(COUNTIFS('Policy Assignments'!$C$5:$C$868,$A120,'Policy Assignments'!$B$5:$B$868,J$4,'Policy Assignments'!$E$5:$E$868,"Core")&gt;0,"R",IF(COUNTIFS('Policy Assignments'!$C$5:$C$868,$A120,'Policy Assignments'!$B$5:$B$868,J$4,'Policy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K120" s="94" t="str">
        <x:f>IF(COUNTIFS('Policy Assignments'!$C$5:$C$868,$A120,'Policy Assignments'!$B$5:$B$868,K$4,'Policy Assignments'!$E$5:$E$868,"Hold")&gt;0,"H",IF(COUNTIFS('Policy Assignments'!$C$5:$C$868,$A120,'Policy Assignments'!$B$5:$B$868,K$4,'Policy Assignments'!$E$5:$E$868,"Core")&gt;0,"R",IF(COUNTIFS('Policy Assignments'!$C$5:$C$868,$A120,'Policy Assignments'!$B$5:$B$868,K$4,'Policy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L120" s="94" t="str">
        <x:f>IF(COUNTIFS('Policy Assignments'!$C$5:$C$868,$A120,'Policy Assignments'!$B$5:$B$868,L$4,'Policy Assignments'!$E$5:$E$868,"Hold")&gt;0,"H",IF(COUNTIFS('Policy Assignments'!$C$5:$C$868,$A120,'Policy Assignments'!$B$5:$B$868,L$4,'Policy Assignments'!$E$5:$E$868,"Core")&gt;0,"R",IF(COUNTIFS('Policy Assignments'!$C$5:$C$868,$A120,'Policy Assignments'!$B$5:$B$868,L$4,'Policy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M120" s="94" t="str">
        <x:f>IF(COUNTIFS('Policy Assignments'!$C$5:$C$868,$A120,'Policy Assignments'!$B$5:$B$868,M$4,'Policy Assignments'!$E$5:$E$868,"Hold")&gt;0,"H",IF(COUNTIFS('Policy Assignments'!$C$5:$C$868,$A120,'Policy Assignments'!$B$5:$B$868,M$4,'Policy Assignments'!$E$5:$E$868,"Core")&gt;0,"R",IF(COUNTIFS('Policy Assignments'!$C$5:$C$868,$A120,'Policy Assignments'!$B$5:$B$868,M$4,'Policy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v>R</x:v>
      </x:c>
      <x:c r="N120" s="94" t="str">
        <x:f>IF(COUNTIFS('Policy Assignments'!$C$5:$C$868,$A120,'Policy Assignments'!$B$5:$B$868,N$4,'Policy Assignments'!$E$5:$E$868,"Hold")&gt;0,"H",IF(COUNTIFS('Policy Assignments'!$C$5:$C$868,$A120,'Policy Assignments'!$B$5:$B$868,N$4,'Policy Assignments'!$E$5:$E$868,"Core")&gt;0,"R",IF(COUNTIFS('Policy Assignments'!$C$5:$C$868,$A120,'Policy Assignments'!$B$5:$B$868,N$4,'Policy Assignments'!$E$5:$E$868,"Conditional")&gt;0,"C",IF(COUNTIFS('Policy Assignments'!$C$5:$C$868,$A120,'Policy Assignments'!$B$5:$B$868,"General",'Policy Assignments'!$E$5:$E$868,"Hold")&gt;0,"H",IF(COUNTIFS('Policy Assignments'!$C$5:$C$868,$A120,'Policy Assignments'!$B$5:$B$868,"General",'Policy Assignments'!$E$5:$E$868,"Conditional")&gt;0,"C",IF(COUNTIFS('Policy Assignments'!$C$5:$C$868,$A120,'Policy Assignments'!$B$5:$B$868,"General")&gt;0,"G",""))))))</x:f>
      </x:c>
      <x:c r="O120" s="94" t="str">
        <x:f>IF(COUNTIFS('Policy Assignments'!$C$5:$C$868,$A120,'Policy Assignments'!$B$5:$B$868,O$4,'Policy Assignments'!$E$5:$E$868,"Hold")&gt;0,"H",IF(COUNTIFS('Policy Assignments'!$C$5:$C$868,$A120,'Policy Assignments'!$B$5:$B$868,O$4,'Policy Assignments'!$E$5:$E$868,"Core")&gt;0,"R",IF(COUNTIFS('Policy Assignments'!$C$5:$C$868,$A120,'Policy Assignments'!$B$5:$B$868,O$4,'Policy Assignments'!$E$5:$E$868,"Conditional")&gt;0,"C","")))</x:f>
        <x:v>R</x:v>
      </x:c>
      <x:c r="P120" s="90" t="str">
        <x:v>Mapped</x:v>
      </x:c>
    </x:row>
    <x:row r="121" ht="22" customHeight="1">
      <x:c r="A121" s="90" t="str">
        <x:v>GV-GB-003</x:v>
      </x:c>
      <x:c r="B121" s="90" t="str">
        <x:v>Conflict of Interest Disclosure</x:v>
      </x:c>
      <x:c r="C121" s="94" t="str">
        <x:f>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D121" s="94" t="str">
        <x:f>IF(COUNTIFS('Policy Assignments'!$C$5:$C$868,$A121,'Policy Assignments'!$B$5:$B$868,D$4,'Policy Assignments'!$E$5:$E$868,"Hold")&gt;0,"H",IF(COUNTIFS('Policy Assignments'!$C$5:$C$868,$A121,'Policy Assignments'!$B$5:$B$868,D$4,'Policy Assignments'!$E$5:$E$868,"Core")&gt;0,"R",IF(COUNTIFS('Policy Assignments'!$C$5:$C$868,$A121,'Policy Assignments'!$B$5:$B$868,D$4,'Policy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E121" s="94" t="str">
        <x:f>IF(COUNTIFS('Policy Assignments'!$C$5:$C$868,$A121,'Policy Assignments'!$B$5:$B$868,E$4,'Policy Assignments'!$E$5:$E$868,"Hold")&gt;0,"H",IF(COUNTIFS('Policy Assignments'!$C$5:$C$868,$A121,'Policy Assignments'!$B$5:$B$868,E$4,'Policy Assignments'!$E$5:$E$868,"Core")&gt;0,"R",IF(COUNTIFS('Policy Assignments'!$C$5:$C$868,$A121,'Policy Assignments'!$B$5:$B$868,E$4,'Policy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F121" s="94" t="str">
        <x:f>IF(COUNTIFS('Policy Assignments'!$C$5:$C$868,$A121,'Policy Assignments'!$B$5:$B$868,F$4,'Policy Assignments'!$E$5:$E$868,"Hold")&gt;0,"H",IF(COUNTIFS('Policy Assignments'!$C$5:$C$868,$A121,'Policy Assignments'!$B$5:$B$868,F$4,'Policy Assignments'!$E$5:$E$868,"Core")&gt;0,"R",IF(COUNTIFS('Policy Assignments'!$C$5:$C$868,$A121,'Policy Assignments'!$B$5:$B$868,F$4,'Policy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G121" s="94" t="str">
        <x:f>IF(COUNTIFS('Policy Assignments'!$C$5:$C$868,$A121,'Policy Assignments'!$B$5:$B$868,G$4,'Policy Assignments'!$E$5:$E$868,"Hold")&gt;0,"H",IF(COUNTIFS('Policy Assignments'!$C$5:$C$868,$A121,'Policy Assignments'!$B$5:$B$868,G$4,'Policy Assignments'!$E$5:$E$868,"Core")&gt;0,"R",IF(COUNTIFS('Policy Assignments'!$C$5:$C$868,$A121,'Policy Assignments'!$B$5:$B$868,G$4,'Policy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H121" s="94" t="str">
        <x:f>IF(COUNTIFS('Policy Assignments'!$C$5:$C$868,$A121,'Policy Assignments'!$B$5:$B$868,H$4,'Policy Assignments'!$E$5:$E$868,"Hold")&gt;0,"H",IF(COUNTIFS('Policy Assignments'!$C$5:$C$868,$A121,'Policy Assignments'!$B$5:$B$868,H$4,'Policy Assignments'!$E$5:$E$868,"Core")&gt;0,"R",IF(COUNTIFS('Policy Assignments'!$C$5:$C$868,$A121,'Policy Assignments'!$B$5:$B$868,H$4,'Policy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I121" s="94" t="str">
        <x:f>IF(COUNTIFS('Policy Assignments'!$C$5:$C$868,$A121,'Policy Assignments'!$B$5:$B$868,I$4,'Policy Assignments'!$E$5:$E$868,"Hold")&gt;0,"H",IF(COUNTIFS('Policy Assignments'!$C$5:$C$868,$A121,'Policy Assignments'!$B$5:$B$868,I$4,'Policy Assignments'!$E$5:$E$868,"Core")&gt;0,"R",IF(COUNTIFS('Policy Assignments'!$C$5:$C$868,$A121,'Policy Assignments'!$B$5:$B$868,I$4,'Policy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J121" s="94" t="str">
        <x:f>IF(COUNTIFS('Policy Assignments'!$C$5:$C$868,$A121,'Policy Assignments'!$B$5:$B$868,J$4,'Policy Assignments'!$E$5:$E$868,"Hold")&gt;0,"H",IF(COUNTIFS('Policy Assignments'!$C$5:$C$868,$A121,'Policy Assignments'!$B$5:$B$868,J$4,'Policy Assignments'!$E$5:$E$868,"Core")&gt;0,"R",IF(COUNTIFS('Policy Assignments'!$C$5:$C$868,$A121,'Policy Assignments'!$B$5:$B$868,J$4,'Policy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K121" s="94" t="str">
        <x:f>IF(COUNTIFS('Policy Assignments'!$C$5:$C$868,$A121,'Policy Assignments'!$B$5:$B$868,K$4,'Policy Assignments'!$E$5:$E$868,"Hold")&gt;0,"H",IF(COUNTIFS('Policy Assignments'!$C$5:$C$868,$A121,'Policy Assignments'!$B$5:$B$868,K$4,'Policy Assignments'!$E$5:$E$868,"Core")&gt;0,"R",IF(COUNTIFS('Policy Assignments'!$C$5:$C$868,$A121,'Policy Assignments'!$B$5:$B$868,K$4,'Policy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L121" s="94" t="str">
        <x:f>IF(COUNTIFS('Policy Assignments'!$C$5:$C$868,$A121,'Policy Assignments'!$B$5:$B$868,L$4,'Policy Assignments'!$E$5:$E$868,"Hold")&gt;0,"H",IF(COUNTIFS('Policy Assignments'!$C$5:$C$868,$A121,'Policy Assignments'!$B$5:$B$868,L$4,'Policy Assignments'!$E$5:$E$868,"Core")&gt;0,"R",IF(COUNTIFS('Policy Assignments'!$C$5:$C$868,$A121,'Policy Assignments'!$B$5:$B$868,L$4,'Policy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M121" s="94" t="str">
        <x:f>IF(COUNTIFS('Policy Assignments'!$C$5:$C$868,$A121,'Policy Assignments'!$B$5:$B$868,M$4,'Policy Assignments'!$E$5:$E$868,"Hold")&gt;0,"H",IF(COUNTIFS('Policy Assignments'!$C$5:$C$868,$A121,'Policy Assignments'!$B$5:$B$868,M$4,'Policy Assignments'!$E$5:$E$868,"Core")&gt;0,"R",IF(COUNTIFS('Policy Assignments'!$C$5:$C$868,$A121,'Policy Assignments'!$B$5:$B$868,M$4,'Policy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v>R</x:v>
      </x:c>
      <x:c r="N121" s="94" t="str">
        <x:f>IF(COUNTIFS('Policy Assignments'!$C$5:$C$868,$A121,'Policy Assignments'!$B$5:$B$868,N$4,'Policy Assignments'!$E$5:$E$868,"Hold")&gt;0,"H",IF(COUNTIFS('Policy Assignments'!$C$5:$C$868,$A121,'Policy Assignments'!$B$5:$B$868,N$4,'Policy Assignments'!$E$5:$E$868,"Core")&gt;0,"R",IF(COUNTIFS('Policy Assignments'!$C$5:$C$868,$A121,'Policy Assignments'!$B$5:$B$868,N$4,'Policy Assignments'!$E$5:$E$868,"Conditional")&gt;0,"C",IF(COUNTIFS('Policy Assignments'!$C$5:$C$868,$A121,'Policy Assignments'!$B$5:$B$868,"General",'Policy Assignments'!$E$5:$E$868,"Hold")&gt;0,"H",IF(COUNTIFS('Policy Assignments'!$C$5:$C$868,$A121,'Policy Assignments'!$B$5:$B$868,"General",'Policy Assignments'!$E$5:$E$868,"Conditional")&gt;0,"C",IF(COUNTIFS('Policy Assignments'!$C$5:$C$868,$A121,'Policy Assignments'!$B$5:$B$868,"General")&gt;0,"G",""))))))</x:f>
      </x:c>
      <x:c r="O121" s="94" t="str">
        <x:f>IF(COUNTIFS('Policy Assignments'!$C$5:$C$868,$A121,'Policy Assignments'!$B$5:$B$868,O$4,'Policy Assignments'!$E$5:$E$868,"Hold")&gt;0,"H",IF(COUNTIFS('Policy Assignments'!$C$5:$C$868,$A121,'Policy Assignments'!$B$5:$B$868,O$4,'Policy Assignments'!$E$5:$E$868,"Core")&gt;0,"R",IF(COUNTIFS('Policy Assignments'!$C$5:$C$868,$A121,'Policy Assignments'!$B$5:$B$868,O$4,'Policy Assignments'!$E$5:$E$868,"Conditional")&gt;0,"C","")))</x:f>
        <x:v>R</x:v>
      </x:c>
      <x:c r="P121" s="90" t="str">
        <x:v>Mapped</x:v>
      </x:c>
    </x:row>
    <x:row r="122" ht="22" customHeight="1">
      <x:c r="A122" s="90" t="str">
        <x:v>GV-GB-004</x:v>
      </x:c>
      <x:c r="B122" s="90" t="str">
        <x:v>Succession Planning for Key Leadership</x:v>
      </x:c>
      <x:c r="C122" s="94" t="str">
        <x:f>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D122" s="94" t="str">
        <x:f>IF(COUNTIFS('Policy Assignments'!$C$5:$C$868,$A122,'Policy Assignments'!$B$5:$B$868,D$4,'Policy Assignments'!$E$5:$E$868,"Hold")&gt;0,"H",IF(COUNTIFS('Policy Assignments'!$C$5:$C$868,$A122,'Policy Assignments'!$B$5:$B$868,D$4,'Policy Assignments'!$E$5:$E$868,"Core")&gt;0,"R",IF(COUNTIFS('Policy Assignments'!$C$5:$C$868,$A122,'Policy Assignments'!$B$5:$B$868,D$4,'Policy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E122" s="94" t="str">
        <x:f>IF(COUNTIFS('Policy Assignments'!$C$5:$C$868,$A122,'Policy Assignments'!$B$5:$B$868,E$4,'Policy Assignments'!$E$5:$E$868,"Hold")&gt;0,"H",IF(COUNTIFS('Policy Assignments'!$C$5:$C$868,$A122,'Policy Assignments'!$B$5:$B$868,E$4,'Policy Assignments'!$E$5:$E$868,"Core")&gt;0,"R",IF(COUNTIFS('Policy Assignments'!$C$5:$C$868,$A122,'Policy Assignments'!$B$5:$B$868,E$4,'Policy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F122" s="94" t="str">
        <x:f>IF(COUNTIFS('Policy Assignments'!$C$5:$C$868,$A122,'Policy Assignments'!$B$5:$B$868,F$4,'Policy Assignments'!$E$5:$E$868,"Hold")&gt;0,"H",IF(COUNTIFS('Policy Assignments'!$C$5:$C$868,$A122,'Policy Assignments'!$B$5:$B$868,F$4,'Policy Assignments'!$E$5:$E$868,"Core")&gt;0,"R",IF(COUNTIFS('Policy Assignments'!$C$5:$C$868,$A122,'Policy Assignments'!$B$5:$B$868,F$4,'Policy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G122" s="94" t="str">
        <x:f>IF(COUNTIFS('Policy Assignments'!$C$5:$C$868,$A122,'Policy Assignments'!$B$5:$B$868,G$4,'Policy Assignments'!$E$5:$E$868,"Hold")&gt;0,"H",IF(COUNTIFS('Policy Assignments'!$C$5:$C$868,$A122,'Policy Assignments'!$B$5:$B$868,G$4,'Policy Assignments'!$E$5:$E$868,"Core")&gt;0,"R",IF(COUNTIFS('Policy Assignments'!$C$5:$C$868,$A122,'Policy Assignments'!$B$5:$B$868,G$4,'Policy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H122" s="94" t="str">
        <x:f>IF(COUNTIFS('Policy Assignments'!$C$5:$C$868,$A122,'Policy Assignments'!$B$5:$B$868,H$4,'Policy Assignments'!$E$5:$E$868,"Hold")&gt;0,"H",IF(COUNTIFS('Policy Assignments'!$C$5:$C$868,$A122,'Policy Assignments'!$B$5:$B$868,H$4,'Policy Assignments'!$E$5:$E$868,"Core")&gt;0,"R",IF(COUNTIFS('Policy Assignments'!$C$5:$C$868,$A122,'Policy Assignments'!$B$5:$B$868,H$4,'Policy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I122" s="94" t="str">
        <x:f>IF(COUNTIFS('Policy Assignments'!$C$5:$C$868,$A122,'Policy Assignments'!$B$5:$B$868,I$4,'Policy Assignments'!$E$5:$E$868,"Hold")&gt;0,"H",IF(COUNTIFS('Policy Assignments'!$C$5:$C$868,$A122,'Policy Assignments'!$B$5:$B$868,I$4,'Policy Assignments'!$E$5:$E$868,"Core")&gt;0,"R",IF(COUNTIFS('Policy Assignments'!$C$5:$C$868,$A122,'Policy Assignments'!$B$5:$B$868,I$4,'Policy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J122" s="94" t="str">
        <x:f>IF(COUNTIFS('Policy Assignments'!$C$5:$C$868,$A122,'Policy Assignments'!$B$5:$B$868,J$4,'Policy Assignments'!$E$5:$E$868,"Hold")&gt;0,"H",IF(COUNTIFS('Policy Assignments'!$C$5:$C$868,$A122,'Policy Assignments'!$B$5:$B$868,J$4,'Policy Assignments'!$E$5:$E$868,"Core")&gt;0,"R",IF(COUNTIFS('Policy Assignments'!$C$5:$C$868,$A122,'Policy Assignments'!$B$5:$B$868,J$4,'Policy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K122" s="94" t="str">
        <x:f>IF(COUNTIFS('Policy Assignments'!$C$5:$C$868,$A122,'Policy Assignments'!$B$5:$B$868,K$4,'Policy Assignments'!$E$5:$E$868,"Hold")&gt;0,"H",IF(COUNTIFS('Policy Assignments'!$C$5:$C$868,$A122,'Policy Assignments'!$B$5:$B$868,K$4,'Policy Assignments'!$E$5:$E$868,"Core")&gt;0,"R",IF(COUNTIFS('Policy Assignments'!$C$5:$C$868,$A122,'Policy Assignments'!$B$5:$B$868,K$4,'Policy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L122" s="94" t="str">
        <x:f>IF(COUNTIFS('Policy Assignments'!$C$5:$C$868,$A122,'Policy Assignments'!$B$5:$B$868,L$4,'Policy Assignments'!$E$5:$E$868,"Hold")&gt;0,"H",IF(COUNTIFS('Policy Assignments'!$C$5:$C$868,$A122,'Policy Assignments'!$B$5:$B$868,L$4,'Policy Assignments'!$E$5:$E$868,"Core")&gt;0,"R",IF(COUNTIFS('Policy Assignments'!$C$5:$C$868,$A122,'Policy Assignments'!$B$5:$B$868,L$4,'Policy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M122" s="94" t="str">
        <x:f>IF(COUNTIFS('Policy Assignments'!$C$5:$C$868,$A122,'Policy Assignments'!$B$5:$B$868,M$4,'Policy Assignments'!$E$5:$E$868,"Hold")&gt;0,"H",IF(COUNTIFS('Policy Assignments'!$C$5:$C$868,$A122,'Policy Assignments'!$B$5:$B$868,M$4,'Policy Assignments'!$E$5:$E$868,"Core")&gt;0,"R",IF(COUNTIFS('Policy Assignments'!$C$5:$C$868,$A122,'Policy Assignments'!$B$5:$B$868,M$4,'Policy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v>R</x:v>
      </x:c>
      <x:c r="N122" s="94" t="str">
        <x:f>IF(COUNTIFS('Policy Assignments'!$C$5:$C$868,$A122,'Policy Assignments'!$B$5:$B$868,N$4,'Policy Assignments'!$E$5:$E$868,"Hold")&gt;0,"H",IF(COUNTIFS('Policy Assignments'!$C$5:$C$868,$A122,'Policy Assignments'!$B$5:$B$868,N$4,'Policy Assignments'!$E$5:$E$868,"Core")&gt;0,"R",IF(COUNTIFS('Policy Assignments'!$C$5:$C$868,$A122,'Policy Assignments'!$B$5:$B$868,N$4,'Policy Assignments'!$E$5:$E$868,"Conditional")&gt;0,"C",IF(COUNTIFS('Policy Assignments'!$C$5:$C$868,$A122,'Policy Assignments'!$B$5:$B$868,"General",'Policy Assignments'!$E$5:$E$868,"Hold")&gt;0,"H",IF(COUNTIFS('Policy Assignments'!$C$5:$C$868,$A122,'Policy Assignments'!$B$5:$B$868,"General",'Policy Assignments'!$E$5:$E$868,"Conditional")&gt;0,"C",IF(COUNTIFS('Policy Assignments'!$C$5:$C$868,$A122,'Policy Assignments'!$B$5:$B$868,"General")&gt;0,"G",""))))))</x:f>
      </x:c>
      <x:c r="O122" s="94" t="str">
        <x:f>IF(COUNTIFS('Policy Assignments'!$C$5:$C$868,$A122,'Policy Assignments'!$B$5:$B$868,O$4,'Policy Assignments'!$E$5:$E$868,"Hold")&gt;0,"H",IF(COUNTIFS('Policy Assignments'!$C$5:$C$868,$A122,'Policy Assignments'!$B$5:$B$868,O$4,'Policy Assignments'!$E$5:$E$868,"Core")&gt;0,"R",IF(COUNTIFS('Policy Assignments'!$C$5:$C$868,$A122,'Policy Assignments'!$B$5:$B$868,O$4,'Policy Assignments'!$E$5:$E$868,"Conditional")&gt;0,"C","")))</x:f>
        <x:v>R</x:v>
      </x:c>
      <x:c r="P122" s="90" t="str">
        <x:v>Mapped</x:v>
      </x:c>
    </x:row>
    <x:row r="123" ht="22" customHeight="1">
      <x:c r="A123" s="90" t="str">
        <x:v>GV-GB-005</x:v>
      </x:c>
      <x:c r="B123" s="90" t="str">
        <x:v>Annual Governance Self-Assessment</x:v>
      </x:c>
      <x:c r="C123" s="94" t="str">
        <x:f>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D123" s="94" t="str">
        <x:f>IF(COUNTIFS('Policy Assignments'!$C$5:$C$868,$A123,'Policy Assignments'!$B$5:$B$868,D$4,'Policy Assignments'!$E$5:$E$868,"Hold")&gt;0,"H",IF(COUNTIFS('Policy Assignments'!$C$5:$C$868,$A123,'Policy Assignments'!$B$5:$B$868,D$4,'Policy Assignments'!$E$5:$E$868,"Core")&gt;0,"R",IF(COUNTIFS('Policy Assignments'!$C$5:$C$868,$A123,'Policy Assignments'!$B$5:$B$868,D$4,'Policy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E123" s="94" t="str">
        <x:f>IF(COUNTIFS('Policy Assignments'!$C$5:$C$868,$A123,'Policy Assignments'!$B$5:$B$868,E$4,'Policy Assignments'!$E$5:$E$868,"Hold")&gt;0,"H",IF(COUNTIFS('Policy Assignments'!$C$5:$C$868,$A123,'Policy Assignments'!$B$5:$B$868,E$4,'Policy Assignments'!$E$5:$E$868,"Core")&gt;0,"R",IF(COUNTIFS('Policy Assignments'!$C$5:$C$868,$A123,'Policy Assignments'!$B$5:$B$868,E$4,'Policy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F123" s="94" t="str">
        <x:f>IF(COUNTIFS('Policy Assignments'!$C$5:$C$868,$A123,'Policy Assignments'!$B$5:$B$868,F$4,'Policy Assignments'!$E$5:$E$868,"Hold")&gt;0,"H",IF(COUNTIFS('Policy Assignments'!$C$5:$C$868,$A123,'Policy Assignments'!$B$5:$B$868,F$4,'Policy Assignments'!$E$5:$E$868,"Core")&gt;0,"R",IF(COUNTIFS('Policy Assignments'!$C$5:$C$868,$A123,'Policy Assignments'!$B$5:$B$868,F$4,'Policy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G123" s="94" t="str">
        <x:f>IF(COUNTIFS('Policy Assignments'!$C$5:$C$868,$A123,'Policy Assignments'!$B$5:$B$868,G$4,'Policy Assignments'!$E$5:$E$868,"Hold")&gt;0,"H",IF(COUNTIFS('Policy Assignments'!$C$5:$C$868,$A123,'Policy Assignments'!$B$5:$B$868,G$4,'Policy Assignments'!$E$5:$E$868,"Core")&gt;0,"R",IF(COUNTIFS('Policy Assignments'!$C$5:$C$868,$A123,'Policy Assignments'!$B$5:$B$868,G$4,'Policy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H123" s="94" t="str">
        <x:f>IF(COUNTIFS('Policy Assignments'!$C$5:$C$868,$A123,'Policy Assignments'!$B$5:$B$868,H$4,'Policy Assignments'!$E$5:$E$868,"Hold")&gt;0,"H",IF(COUNTIFS('Policy Assignments'!$C$5:$C$868,$A123,'Policy Assignments'!$B$5:$B$868,H$4,'Policy Assignments'!$E$5:$E$868,"Core")&gt;0,"R",IF(COUNTIFS('Policy Assignments'!$C$5:$C$868,$A123,'Policy Assignments'!$B$5:$B$868,H$4,'Policy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I123" s="94" t="str">
        <x:f>IF(COUNTIFS('Policy Assignments'!$C$5:$C$868,$A123,'Policy Assignments'!$B$5:$B$868,I$4,'Policy Assignments'!$E$5:$E$868,"Hold")&gt;0,"H",IF(COUNTIFS('Policy Assignments'!$C$5:$C$868,$A123,'Policy Assignments'!$B$5:$B$868,I$4,'Policy Assignments'!$E$5:$E$868,"Core")&gt;0,"R",IF(COUNTIFS('Policy Assignments'!$C$5:$C$868,$A123,'Policy Assignments'!$B$5:$B$868,I$4,'Policy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J123" s="94" t="str">
        <x:f>IF(COUNTIFS('Policy Assignments'!$C$5:$C$868,$A123,'Policy Assignments'!$B$5:$B$868,J$4,'Policy Assignments'!$E$5:$E$868,"Hold")&gt;0,"H",IF(COUNTIFS('Policy Assignments'!$C$5:$C$868,$A123,'Policy Assignments'!$B$5:$B$868,J$4,'Policy Assignments'!$E$5:$E$868,"Core")&gt;0,"R",IF(COUNTIFS('Policy Assignments'!$C$5:$C$868,$A123,'Policy Assignments'!$B$5:$B$868,J$4,'Policy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K123" s="94" t="str">
        <x:f>IF(COUNTIFS('Policy Assignments'!$C$5:$C$868,$A123,'Policy Assignments'!$B$5:$B$868,K$4,'Policy Assignments'!$E$5:$E$868,"Hold")&gt;0,"H",IF(COUNTIFS('Policy Assignments'!$C$5:$C$868,$A123,'Policy Assignments'!$B$5:$B$868,K$4,'Policy Assignments'!$E$5:$E$868,"Core")&gt;0,"R",IF(COUNTIFS('Policy Assignments'!$C$5:$C$868,$A123,'Policy Assignments'!$B$5:$B$868,K$4,'Policy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L123" s="94" t="str">
        <x:f>IF(COUNTIFS('Policy Assignments'!$C$5:$C$868,$A123,'Policy Assignments'!$B$5:$B$868,L$4,'Policy Assignments'!$E$5:$E$868,"Hold")&gt;0,"H",IF(COUNTIFS('Policy Assignments'!$C$5:$C$868,$A123,'Policy Assignments'!$B$5:$B$868,L$4,'Policy Assignments'!$E$5:$E$868,"Core")&gt;0,"R",IF(COUNTIFS('Policy Assignments'!$C$5:$C$868,$A123,'Policy Assignments'!$B$5:$B$868,L$4,'Policy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M123" s="94" t="str">
        <x:f>IF(COUNTIFS('Policy Assignments'!$C$5:$C$868,$A123,'Policy Assignments'!$B$5:$B$868,M$4,'Policy Assignments'!$E$5:$E$868,"Hold")&gt;0,"H",IF(COUNTIFS('Policy Assignments'!$C$5:$C$868,$A123,'Policy Assignments'!$B$5:$B$868,M$4,'Policy Assignments'!$E$5:$E$868,"Core")&gt;0,"R",IF(COUNTIFS('Policy Assignments'!$C$5:$C$868,$A123,'Policy Assignments'!$B$5:$B$868,M$4,'Policy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v>R</x:v>
      </x:c>
      <x:c r="N123" s="94" t="str">
        <x:f>IF(COUNTIFS('Policy Assignments'!$C$5:$C$868,$A123,'Policy Assignments'!$B$5:$B$868,N$4,'Policy Assignments'!$E$5:$E$868,"Hold")&gt;0,"H",IF(COUNTIFS('Policy Assignments'!$C$5:$C$868,$A123,'Policy Assignments'!$B$5:$B$868,N$4,'Policy Assignments'!$E$5:$E$868,"Core")&gt;0,"R",IF(COUNTIFS('Policy Assignments'!$C$5:$C$868,$A123,'Policy Assignments'!$B$5:$B$868,N$4,'Policy Assignments'!$E$5:$E$868,"Conditional")&gt;0,"C",IF(COUNTIFS('Policy Assignments'!$C$5:$C$868,$A123,'Policy Assignments'!$B$5:$B$868,"General",'Policy Assignments'!$E$5:$E$868,"Hold")&gt;0,"H",IF(COUNTIFS('Policy Assignments'!$C$5:$C$868,$A123,'Policy Assignments'!$B$5:$B$868,"General",'Policy Assignments'!$E$5:$E$868,"Conditional")&gt;0,"C",IF(COUNTIFS('Policy Assignments'!$C$5:$C$868,$A123,'Policy Assignments'!$B$5:$B$868,"General")&gt;0,"G",""))))))</x:f>
      </x:c>
      <x:c r="O123" s="94" t="str">
        <x:f>IF(COUNTIFS('Policy Assignments'!$C$5:$C$868,$A123,'Policy Assignments'!$B$5:$B$868,O$4,'Policy Assignments'!$E$5:$E$868,"Hold")&gt;0,"H",IF(COUNTIFS('Policy Assignments'!$C$5:$C$868,$A123,'Policy Assignments'!$B$5:$B$868,O$4,'Policy Assignments'!$E$5:$E$868,"Core")&gt;0,"R",IF(COUNTIFS('Policy Assignments'!$C$5:$C$868,$A123,'Policy Assignments'!$B$5:$B$868,O$4,'Policy Assignments'!$E$5:$E$868,"Conditional")&gt;0,"C","")))</x:f>
        <x:v>R</x:v>
      </x:c>
      <x:c r="P123" s="90" t="str">
        <x:v>Mapped</x:v>
      </x:c>
    </x:row>
    <x:row r="124" ht="22" customHeight="1">
      <x:c r="A124" s="90" t="str">
        <x:v>GV-OG-001</x:v>
      </x:c>
      <x:c r="B124" s="90" t="str">
        <x:v>Organizational Structure &amp; Reporting</x:v>
      </x:c>
      <x:c r="C124" s="94" t="str">
        <x:f>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D124" s="94" t="str">
        <x:f>IF(COUNTIFS('Policy Assignments'!$C$5:$C$868,$A124,'Policy Assignments'!$B$5:$B$868,D$4,'Policy Assignments'!$E$5:$E$868,"Hold")&gt;0,"H",IF(COUNTIFS('Policy Assignments'!$C$5:$C$868,$A124,'Policy Assignments'!$B$5:$B$868,D$4,'Policy Assignments'!$E$5:$E$868,"Core")&gt;0,"R",IF(COUNTIFS('Policy Assignments'!$C$5:$C$868,$A124,'Policy Assignments'!$B$5:$B$868,D$4,'Policy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E124" s="94" t="str">
        <x:f>IF(COUNTIFS('Policy Assignments'!$C$5:$C$868,$A124,'Policy Assignments'!$B$5:$B$868,E$4,'Policy Assignments'!$E$5:$E$868,"Hold")&gt;0,"H",IF(COUNTIFS('Policy Assignments'!$C$5:$C$868,$A124,'Policy Assignments'!$B$5:$B$868,E$4,'Policy Assignments'!$E$5:$E$868,"Core")&gt;0,"R",IF(COUNTIFS('Policy Assignments'!$C$5:$C$868,$A124,'Policy Assignments'!$B$5:$B$868,E$4,'Policy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F124" s="94" t="str">
        <x:f>IF(COUNTIFS('Policy Assignments'!$C$5:$C$868,$A124,'Policy Assignments'!$B$5:$B$868,F$4,'Policy Assignments'!$E$5:$E$868,"Hold")&gt;0,"H",IF(COUNTIFS('Policy Assignments'!$C$5:$C$868,$A124,'Policy Assignments'!$B$5:$B$868,F$4,'Policy Assignments'!$E$5:$E$868,"Core")&gt;0,"R",IF(COUNTIFS('Policy Assignments'!$C$5:$C$868,$A124,'Policy Assignments'!$B$5:$B$868,F$4,'Policy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G124" s="94" t="str">
        <x:f>IF(COUNTIFS('Policy Assignments'!$C$5:$C$868,$A124,'Policy Assignments'!$B$5:$B$868,G$4,'Policy Assignments'!$E$5:$E$868,"Hold")&gt;0,"H",IF(COUNTIFS('Policy Assignments'!$C$5:$C$868,$A124,'Policy Assignments'!$B$5:$B$868,G$4,'Policy Assignments'!$E$5:$E$868,"Core")&gt;0,"R",IF(COUNTIFS('Policy Assignments'!$C$5:$C$868,$A124,'Policy Assignments'!$B$5:$B$868,G$4,'Policy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H124" s="94" t="str">
        <x:f>IF(COUNTIFS('Policy Assignments'!$C$5:$C$868,$A124,'Policy Assignments'!$B$5:$B$868,H$4,'Policy Assignments'!$E$5:$E$868,"Hold")&gt;0,"H",IF(COUNTIFS('Policy Assignments'!$C$5:$C$868,$A124,'Policy Assignments'!$B$5:$B$868,H$4,'Policy Assignments'!$E$5:$E$868,"Core")&gt;0,"R",IF(COUNTIFS('Policy Assignments'!$C$5:$C$868,$A124,'Policy Assignments'!$B$5:$B$868,H$4,'Policy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I124" s="94" t="str">
        <x:f>IF(COUNTIFS('Policy Assignments'!$C$5:$C$868,$A124,'Policy Assignments'!$B$5:$B$868,I$4,'Policy Assignments'!$E$5:$E$868,"Hold")&gt;0,"H",IF(COUNTIFS('Policy Assignments'!$C$5:$C$868,$A124,'Policy Assignments'!$B$5:$B$868,I$4,'Policy Assignments'!$E$5:$E$868,"Core")&gt;0,"R",IF(COUNTIFS('Policy Assignments'!$C$5:$C$868,$A124,'Policy Assignments'!$B$5:$B$868,I$4,'Policy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J124" s="94" t="str">
        <x:f>IF(COUNTIFS('Policy Assignments'!$C$5:$C$868,$A124,'Policy Assignments'!$B$5:$B$868,J$4,'Policy Assignments'!$E$5:$E$868,"Hold")&gt;0,"H",IF(COUNTIFS('Policy Assignments'!$C$5:$C$868,$A124,'Policy Assignments'!$B$5:$B$868,J$4,'Policy Assignments'!$E$5:$E$868,"Core")&gt;0,"R",IF(COUNTIFS('Policy Assignments'!$C$5:$C$868,$A124,'Policy Assignments'!$B$5:$B$868,J$4,'Policy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K124" s="94" t="str">
        <x:f>IF(COUNTIFS('Policy Assignments'!$C$5:$C$868,$A124,'Policy Assignments'!$B$5:$B$868,K$4,'Policy Assignments'!$E$5:$E$868,"Hold")&gt;0,"H",IF(COUNTIFS('Policy Assignments'!$C$5:$C$868,$A124,'Policy Assignments'!$B$5:$B$868,K$4,'Policy Assignments'!$E$5:$E$868,"Core")&gt;0,"R",IF(COUNTIFS('Policy Assignments'!$C$5:$C$868,$A124,'Policy Assignments'!$B$5:$B$868,K$4,'Policy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L124" s="94" t="str">
        <x:f>IF(COUNTIFS('Policy Assignments'!$C$5:$C$868,$A124,'Policy Assignments'!$B$5:$B$868,L$4,'Policy Assignments'!$E$5:$E$868,"Hold")&gt;0,"H",IF(COUNTIFS('Policy Assignments'!$C$5:$C$868,$A124,'Policy Assignments'!$B$5:$B$868,L$4,'Policy Assignments'!$E$5:$E$868,"Core")&gt;0,"R",IF(COUNTIFS('Policy Assignments'!$C$5:$C$868,$A124,'Policy Assignments'!$B$5:$B$868,L$4,'Policy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M124" s="94" t="str">
        <x:f>IF(COUNTIFS('Policy Assignments'!$C$5:$C$868,$A124,'Policy Assignments'!$B$5:$B$868,M$4,'Policy Assignments'!$E$5:$E$868,"Hold")&gt;0,"H",IF(COUNTIFS('Policy Assignments'!$C$5:$C$868,$A124,'Policy Assignments'!$B$5:$B$868,M$4,'Policy Assignments'!$E$5:$E$868,"Core")&gt;0,"R",IF(COUNTIFS('Policy Assignments'!$C$5:$C$868,$A124,'Policy Assignments'!$B$5:$B$868,M$4,'Policy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R</x:v>
      </x:c>
      <x:c r="N124" s="94" t="str">
        <x:f>IF(COUNTIFS('Policy Assignments'!$C$5:$C$868,$A124,'Policy Assignments'!$B$5:$B$868,N$4,'Policy Assignments'!$E$5:$E$868,"Hold")&gt;0,"H",IF(COUNTIFS('Policy Assignments'!$C$5:$C$868,$A124,'Policy Assignments'!$B$5:$B$868,N$4,'Policy Assignments'!$E$5:$E$868,"Core")&gt;0,"R",IF(COUNTIFS('Policy Assignments'!$C$5:$C$868,$A124,'Policy Assignments'!$B$5:$B$868,N$4,'Policy Assignments'!$E$5:$E$868,"Conditional")&gt;0,"C",IF(COUNTIFS('Policy Assignments'!$C$5:$C$868,$A124,'Policy Assignments'!$B$5:$B$868,"General",'Policy Assignments'!$E$5:$E$868,"Hold")&gt;0,"H",IF(COUNTIFS('Policy Assignments'!$C$5:$C$868,$A124,'Policy Assignments'!$B$5:$B$868,"General",'Policy Assignments'!$E$5:$E$868,"Conditional")&gt;0,"C",IF(COUNTIFS('Policy Assignments'!$C$5:$C$868,$A124,'Policy Assignments'!$B$5:$B$868,"General")&gt;0,"G",""))))))</x:f>
        <x:v>G</x:v>
      </x:c>
      <x:c r="O124" s="94" t="str">
        <x:f>IF(COUNTIFS('Policy Assignments'!$C$5:$C$868,$A124,'Policy Assignments'!$B$5:$B$868,O$4,'Policy Assignments'!$E$5:$E$868,"Hold")&gt;0,"H",IF(COUNTIFS('Policy Assignments'!$C$5:$C$868,$A124,'Policy Assignments'!$B$5:$B$868,O$4,'Policy Assignments'!$E$5:$E$868,"Core")&gt;0,"R",IF(COUNTIFS('Policy Assignments'!$C$5:$C$868,$A124,'Policy Assignments'!$B$5:$B$868,O$4,'Policy Assignments'!$E$5:$E$868,"Conditional")&gt;0,"C","")))</x:f>
        <x:v>R</x:v>
      </x:c>
      <x:c r="P124" s="90" t="str">
        <x:v>Mapped</x:v>
      </x:c>
    </x:row>
    <x:row r="125" ht="22" customHeight="1">
      <x:c r="A125" s="90" t="str">
        <x:v>GV-OG-002</x:v>
      </x:c>
      <x:c r="B125" s="90" t="str">
        <x:v>Administrator Qualifications &amp; Responsibilities</x:v>
      </x:c>
      <x:c r="C125" s="94" t="str">
        <x:f>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D125" s="94" t="str">
        <x:f>IF(COUNTIFS('Policy Assignments'!$C$5:$C$868,$A125,'Policy Assignments'!$B$5:$B$868,D$4,'Policy Assignments'!$E$5:$E$868,"Hold")&gt;0,"H",IF(COUNTIFS('Policy Assignments'!$C$5:$C$868,$A125,'Policy Assignments'!$B$5:$B$868,D$4,'Policy Assignments'!$E$5:$E$868,"Core")&gt;0,"R",IF(COUNTIFS('Policy Assignments'!$C$5:$C$868,$A125,'Policy Assignments'!$B$5:$B$868,D$4,'Policy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E125" s="94" t="str">
        <x:f>IF(COUNTIFS('Policy Assignments'!$C$5:$C$868,$A125,'Policy Assignments'!$B$5:$B$868,E$4,'Policy Assignments'!$E$5:$E$868,"Hold")&gt;0,"H",IF(COUNTIFS('Policy Assignments'!$C$5:$C$868,$A125,'Policy Assignments'!$B$5:$B$868,E$4,'Policy Assignments'!$E$5:$E$868,"Core")&gt;0,"R",IF(COUNTIFS('Policy Assignments'!$C$5:$C$868,$A125,'Policy Assignments'!$B$5:$B$868,E$4,'Policy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F125" s="94" t="str">
        <x:f>IF(COUNTIFS('Policy Assignments'!$C$5:$C$868,$A125,'Policy Assignments'!$B$5:$B$868,F$4,'Policy Assignments'!$E$5:$E$868,"Hold")&gt;0,"H",IF(COUNTIFS('Policy Assignments'!$C$5:$C$868,$A125,'Policy Assignments'!$B$5:$B$868,F$4,'Policy Assignments'!$E$5:$E$868,"Core")&gt;0,"R",IF(COUNTIFS('Policy Assignments'!$C$5:$C$868,$A125,'Policy Assignments'!$B$5:$B$868,F$4,'Policy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G125" s="94" t="str">
        <x:f>IF(COUNTIFS('Policy Assignments'!$C$5:$C$868,$A125,'Policy Assignments'!$B$5:$B$868,G$4,'Policy Assignments'!$E$5:$E$868,"Hold")&gt;0,"H",IF(COUNTIFS('Policy Assignments'!$C$5:$C$868,$A125,'Policy Assignments'!$B$5:$B$868,G$4,'Policy Assignments'!$E$5:$E$868,"Core")&gt;0,"R",IF(COUNTIFS('Policy Assignments'!$C$5:$C$868,$A125,'Policy Assignments'!$B$5:$B$868,G$4,'Policy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H125" s="94" t="str">
        <x:f>IF(COUNTIFS('Policy Assignments'!$C$5:$C$868,$A125,'Policy Assignments'!$B$5:$B$868,H$4,'Policy Assignments'!$E$5:$E$868,"Hold")&gt;0,"H",IF(COUNTIFS('Policy Assignments'!$C$5:$C$868,$A125,'Policy Assignments'!$B$5:$B$868,H$4,'Policy Assignments'!$E$5:$E$868,"Core")&gt;0,"R",IF(COUNTIFS('Policy Assignments'!$C$5:$C$868,$A125,'Policy Assignments'!$B$5:$B$868,H$4,'Policy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I125" s="94" t="str">
        <x:f>IF(COUNTIFS('Policy Assignments'!$C$5:$C$868,$A125,'Policy Assignments'!$B$5:$B$868,I$4,'Policy Assignments'!$E$5:$E$868,"Hold")&gt;0,"H",IF(COUNTIFS('Policy Assignments'!$C$5:$C$868,$A125,'Policy Assignments'!$B$5:$B$868,I$4,'Policy Assignments'!$E$5:$E$868,"Core")&gt;0,"R",IF(COUNTIFS('Policy Assignments'!$C$5:$C$868,$A125,'Policy Assignments'!$B$5:$B$868,I$4,'Policy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J125" s="94" t="str">
        <x:f>IF(COUNTIFS('Policy Assignments'!$C$5:$C$868,$A125,'Policy Assignments'!$B$5:$B$868,J$4,'Policy Assignments'!$E$5:$E$868,"Hold")&gt;0,"H",IF(COUNTIFS('Policy Assignments'!$C$5:$C$868,$A125,'Policy Assignments'!$B$5:$B$868,J$4,'Policy Assignments'!$E$5:$E$868,"Core")&gt;0,"R",IF(COUNTIFS('Policy Assignments'!$C$5:$C$868,$A125,'Policy Assignments'!$B$5:$B$868,J$4,'Policy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K125" s="94" t="str">
        <x:f>IF(COUNTIFS('Policy Assignments'!$C$5:$C$868,$A125,'Policy Assignments'!$B$5:$B$868,K$4,'Policy Assignments'!$E$5:$E$868,"Hold")&gt;0,"H",IF(COUNTIFS('Policy Assignments'!$C$5:$C$868,$A125,'Policy Assignments'!$B$5:$B$868,K$4,'Policy Assignments'!$E$5:$E$868,"Core")&gt;0,"R",IF(COUNTIFS('Policy Assignments'!$C$5:$C$868,$A125,'Policy Assignments'!$B$5:$B$868,K$4,'Policy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L125" s="94" t="str">
        <x:f>IF(COUNTIFS('Policy Assignments'!$C$5:$C$868,$A125,'Policy Assignments'!$B$5:$B$868,L$4,'Policy Assignments'!$E$5:$E$868,"Hold")&gt;0,"H",IF(COUNTIFS('Policy Assignments'!$C$5:$C$868,$A125,'Policy Assignments'!$B$5:$B$868,L$4,'Policy Assignments'!$E$5:$E$868,"Core")&gt;0,"R",IF(COUNTIFS('Policy Assignments'!$C$5:$C$868,$A125,'Policy Assignments'!$B$5:$B$868,L$4,'Policy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c>
      <x:c r="M125" s="94" t="str">
        <x:f>IF(COUNTIFS('Policy Assignments'!$C$5:$C$868,$A125,'Policy Assignments'!$B$5:$B$868,M$4,'Policy Assignments'!$E$5:$E$868,"Hold")&gt;0,"H",IF(COUNTIFS('Policy Assignments'!$C$5:$C$868,$A125,'Policy Assignments'!$B$5:$B$868,M$4,'Policy Assignments'!$E$5:$E$868,"Core")&gt;0,"R",IF(COUNTIFS('Policy Assignments'!$C$5:$C$868,$A125,'Policy Assignments'!$B$5:$B$868,M$4,'Policy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v>R</x:v>
      </x:c>
      <x:c r="N125" s="94" t="str">
        <x:f>IF(COUNTIFS('Policy Assignments'!$C$5:$C$868,$A125,'Policy Assignments'!$B$5:$B$868,N$4,'Policy Assignments'!$E$5:$E$868,"Hold")&gt;0,"H",IF(COUNTIFS('Policy Assignments'!$C$5:$C$868,$A125,'Policy Assignments'!$B$5:$B$868,N$4,'Policy Assignments'!$E$5:$E$868,"Core")&gt;0,"R",IF(COUNTIFS('Policy Assignments'!$C$5:$C$868,$A125,'Policy Assignments'!$B$5:$B$868,N$4,'Policy Assignments'!$E$5:$E$868,"Conditional")&gt;0,"C",IF(COUNTIFS('Policy Assignments'!$C$5:$C$868,$A125,'Policy Assignments'!$B$5:$B$868,"General",'Policy Assignments'!$E$5:$E$868,"Hold")&gt;0,"H",IF(COUNTIFS('Policy Assignments'!$C$5:$C$868,$A125,'Policy Assignments'!$B$5:$B$868,"General",'Policy Assignments'!$E$5:$E$868,"Conditional")&gt;0,"C",IF(COUNTIFS('Policy Assignments'!$C$5:$C$868,$A125,'Policy Assignments'!$B$5:$B$868,"General")&gt;0,"G",""))))))</x:f>
        <x:v>R</x:v>
      </x:c>
      <x:c r="O125" s="94" t="str">
        <x:f>IF(COUNTIFS('Policy Assignments'!$C$5:$C$868,$A125,'Policy Assignments'!$B$5:$B$868,O$4,'Policy Assignments'!$E$5:$E$868,"Hold")&gt;0,"H",IF(COUNTIFS('Policy Assignments'!$C$5:$C$868,$A125,'Policy Assignments'!$B$5:$B$868,O$4,'Policy Assignments'!$E$5:$E$868,"Core")&gt;0,"R",IF(COUNTIFS('Policy Assignments'!$C$5:$C$868,$A125,'Policy Assignments'!$B$5:$B$868,O$4,'Policy Assignments'!$E$5:$E$868,"Conditional")&gt;0,"C","")))</x:f>
        <x:v>R</x:v>
      </x:c>
      <x:c r="P125" s="90" t="str">
        <x:v>Mapped</x:v>
      </x:c>
    </x:row>
    <x:row r="126" ht="22" customHeight="1">
      <x:c r="A126" s="90" t="str">
        <x:v>GV-OG-003</x:v>
      </x:c>
      <x:c r="B126" s="90" t="str">
        <x:v>Scope of Services Definition</x:v>
      </x:c>
      <x:c r="C126" s="94" t="str">
        <x:f>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D126" s="94" t="str">
        <x:f>IF(COUNTIFS('Policy Assignments'!$C$5:$C$868,$A126,'Policy Assignments'!$B$5:$B$868,D$4,'Policy Assignments'!$E$5:$E$868,"Hold")&gt;0,"H",IF(COUNTIFS('Policy Assignments'!$C$5:$C$868,$A126,'Policy Assignments'!$B$5:$B$868,D$4,'Policy Assignments'!$E$5:$E$868,"Core")&gt;0,"R",IF(COUNTIFS('Policy Assignments'!$C$5:$C$868,$A126,'Policy Assignments'!$B$5:$B$868,D$4,'Policy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E126" s="94" t="str">
        <x:f>IF(COUNTIFS('Policy Assignments'!$C$5:$C$868,$A126,'Policy Assignments'!$B$5:$B$868,E$4,'Policy Assignments'!$E$5:$E$868,"Hold")&gt;0,"H",IF(COUNTIFS('Policy Assignments'!$C$5:$C$868,$A126,'Policy Assignments'!$B$5:$B$868,E$4,'Policy Assignments'!$E$5:$E$868,"Core")&gt;0,"R",IF(COUNTIFS('Policy Assignments'!$C$5:$C$868,$A126,'Policy Assignments'!$B$5:$B$868,E$4,'Policy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F126" s="94" t="str">
        <x:f>IF(COUNTIFS('Policy Assignments'!$C$5:$C$868,$A126,'Policy Assignments'!$B$5:$B$868,F$4,'Policy Assignments'!$E$5:$E$868,"Hold")&gt;0,"H",IF(COUNTIFS('Policy Assignments'!$C$5:$C$868,$A126,'Policy Assignments'!$B$5:$B$868,F$4,'Policy Assignments'!$E$5:$E$868,"Core")&gt;0,"R",IF(COUNTIFS('Policy Assignments'!$C$5:$C$868,$A126,'Policy Assignments'!$B$5:$B$868,F$4,'Policy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G126" s="94" t="str">
        <x:f>IF(COUNTIFS('Policy Assignments'!$C$5:$C$868,$A126,'Policy Assignments'!$B$5:$B$868,G$4,'Policy Assignments'!$E$5:$E$868,"Hold")&gt;0,"H",IF(COUNTIFS('Policy Assignments'!$C$5:$C$868,$A126,'Policy Assignments'!$B$5:$B$868,G$4,'Policy Assignments'!$E$5:$E$868,"Core")&gt;0,"R",IF(COUNTIFS('Policy Assignments'!$C$5:$C$868,$A126,'Policy Assignments'!$B$5:$B$868,G$4,'Policy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H126" s="94" t="str">
        <x:f>IF(COUNTIFS('Policy Assignments'!$C$5:$C$868,$A126,'Policy Assignments'!$B$5:$B$868,H$4,'Policy Assignments'!$E$5:$E$868,"Hold")&gt;0,"H",IF(COUNTIFS('Policy Assignments'!$C$5:$C$868,$A126,'Policy Assignments'!$B$5:$B$868,H$4,'Policy Assignments'!$E$5:$E$868,"Core")&gt;0,"R",IF(COUNTIFS('Policy Assignments'!$C$5:$C$868,$A126,'Policy Assignments'!$B$5:$B$868,H$4,'Policy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I126" s="94" t="str">
        <x:f>IF(COUNTIFS('Policy Assignments'!$C$5:$C$868,$A126,'Policy Assignments'!$B$5:$B$868,I$4,'Policy Assignments'!$E$5:$E$868,"Hold")&gt;0,"H",IF(COUNTIFS('Policy Assignments'!$C$5:$C$868,$A126,'Policy Assignments'!$B$5:$B$868,I$4,'Policy Assignments'!$E$5:$E$868,"Core")&gt;0,"R",IF(COUNTIFS('Policy Assignments'!$C$5:$C$868,$A126,'Policy Assignments'!$B$5:$B$868,I$4,'Policy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J126" s="94" t="str">
        <x:f>IF(COUNTIFS('Policy Assignments'!$C$5:$C$868,$A126,'Policy Assignments'!$B$5:$B$868,J$4,'Policy Assignments'!$E$5:$E$868,"Hold")&gt;0,"H",IF(COUNTIFS('Policy Assignments'!$C$5:$C$868,$A126,'Policy Assignments'!$B$5:$B$868,J$4,'Policy Assignments'!$E$5:$E$868,"Core")&gt;0,"R",IF(COUNTIFS('Policy Assignments'!$C$5:$C$868,$A126,'Policy Assignments'!$B$5:$B$868,J$4,'Policy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K126" s="94" t="str">
        <x:f>IF(COUNTIFS('Policy Assignments'!$C$5:$C$868,$A126,'Policy Assignments'!$B$5:$B$868,K$4,'Policy Assignments'!$E$5:$E$868,"Hold")&gt;0,"H",IF(COUNTIFS('Policy Assignments'!$C$5:$C$868,$A126,'Policy Assignments'!$B$5:$B$868,K$4,'Policy Assignments'!$E$5:$E$868,"Core")&gt;0,"R",IF(COUNTIFS('Policy Assignments'!$C$5:$C$868,$A126,'Policy Assignments'!$B$5:$B$868,K$4,'Policy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L126" s="94" t="str">
        <x:f>IF(COUNTIFS('Policy Assignments'!$C$5:$C$868,$A126,'Policy Assignments'!$B$5:$B$868,L$4,'Policy Assignments'!$E$5:$E$868,"Hold")&gt;0,"H",IF(COUNTIFS('Policy Assignments'!$C$5:$C$868,$A126,'Policy Assignments'!$B$5:$B$868,L$4,'Policy Assignments'!$E$5:$E$868,"Core")&gt;0,"R",IF(COUNTIFS('Policy Assignments'!$C$5:$C$868,$A126,'Policy Assignments'!$B$5:$B$868,L$4,'Policy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M126" s="94" t="str">
        <x:f>IF(COUNTIFS('Policy Assignments'!$C$5:$C$868,$A126,'Policy Assignments'!$B$5:$B$868,M$4,'Policy Assignments'!$E$5:$E$868,"Hold")&gt;0,"H",IF(COUNTIFS('Policy Assignments'!$C$5:$C$868,$A126,'Policy Assignments'!$B$5:$B$868,M$4,'Policy Assignments'!$E$5:$E$868,"Core")&gt;0,"R",IF(COUNTIFS('Policy Assignments'!$C$5:$C$868,$A126,'Policy Assignments'!$B$5:$B$868,M$4,'Policy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R</x:v>
      </x:c>
      <x:c r="N126" s="94" t="str">
        <x:f>IF(COUNTIFS('Policy Assignments'!$C$5:$C$868,$A126,'Policy Assignments'!$B$5:$B$868,N$4,'Policy Assignments'!$E$5:$E$868,"Hold")&gt;0,"H",IF(COUNTIFS('Policy Assignments'!$C$5:$C$868,$A126,'Policy Assignments'!$B$5:$B$868,N$4,'Policy Assignments'!$E$5:$E$868,"Core")&gt;0,"R",IF(COUNTIFS('Policy Assignments'!$C$5:$C$868,$A126,'Policy Assignments'!$B$5:$B$868,N$4,'Policy Assignments'!$E$5:$E$868,"Conditional")&gt;0,"C",IF(COUNTIFS('Policy Assignments'!$C$5:$C$868,$A126,'Policy Assignments'!$B$5:$B$868,"General",'Policy Assignments'!$E$5:$E$868,"Hold")&gt;0,"H",IF(COUNTIFS('Policy Assignments'!$C$5:$C$868,$A126,'Policy Assignments'!$B$5:$B$868,"General",'Policy Assignments'!$E$5:$E$868,"Conditional")&gt;0,"C",IF(COUNTIFS('Policy Assignments'!$C$5:$C$868,$A126,'Policy Assignments'!$B$5:$B$868,"General")&gt;0,"G",""))))))</x:f>
        <x:v>G</x:v>
      </x:c>
      <x:c r="O126" s="94" t="str">
        <x:f>IF(COUNTIFS('Policy Assignments'!$C$5:$C$868,$A126,'Policy Assignments'!$B$5:$B$868,O$4,'Policy Assignments'!$E$5:$E$868,"Hold")&gt;0,"H",IF(COUNTIFS('Policy Assignments'!$C$5:$C$868,$A126,'Policy Assignments'!$B$5:$B$868,O$4,'Policy Assignments'!$E$5:$E$868,"Core")&gt;0,"R",IF(COUNTIFS('Policy Assignments'!$C$5:$C$868,$A126,'Policy Assignments'!$B$5:$B$868,O$4,'Policy Assignments'!$E$5:$E$868,"Conditional")&gt;0,"C","")))</x:f>
        <x:v>R</x:v>
      </x:c>
      <x:c r="P126" s="90" t="str">
        <x:v>Mapped</x:v>
      </x:c>
    </x:row>
    <x:row r="127" ht="22" customHeight="1">
      <x:c r="A127" s="90" t="str">
        <x:v>GV-OG-004</x:v>
      </x:c>
      <x:c r="B127" s="90" t="str">
        <x:v>Strategic Planning &amp; Annual Goals</x:v>
      </x:c>
      <x:c r="C127" s="94" t="str">
        <x:f>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D127" s="94" t="str">
        <x:f>IF(COUNTIFS('Policy Assignments'!$C$5:$C$868,$A127,'Policy Assignments'!$B$5:$B$868,D$4,'Policy Assignments'!$E$5:$E$868,"Hold")&gt;0,"H",IF(COUNTIFS('Policy Assignments'!$C$5:$C$868,$A127,'Policy Assignments'!$B$5:$B$868,D$4,'Policy Assignments'!$E$5:$E$868,"Core")&gt;0,"R",IF(COUNTIFS('Policy Assignments'!$C$5:$C$868,$A127,'Policy Assignments'!$B$5:$B$868,D$4,'Policy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E127" s="94" t="str">
        <x:f>IF(COUNTIFS('Policy Assignments'!$C$5:$C$868,$A127,'Policy Assignments'!$B$5:$B$868,E$4,'Policy Assignments'!$E$5:$E$868,"Hold")&gt;0,"H",IF(COUNTIFS('Policy Assignments'!$C$5:$C$868,$A127,'Policy Assignments'!$B$5:$B$868,E$4,'Policy Assignments'!$E$5:$E$868,"Core")&gt;0,"R",IF(COUNTIFS('Policy Assignments'!$C$5:$C$868,$A127,'Policy Assignments'!$B$5:$B$868,E$4,'Policy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F127" s="94" t="str">
        <x:f>IF(COUNTIFS('Policy Assignments'!$C$5:$C$868,$A127,'Policy Assignments'!$B$5:$B$868,F$4,'Policy Assignments'!$E$5:$E$868,"Hold")&gt;0,"H",IF(COUNTIFS('Policy Assignments'!$C$5:$C$868,$A127,'Policy Assignments'!$B$5:$B$868,F$4,'Policy Assignments'!$E$5:$E$868,"Core")&gt;0,"R",IF(COUNTIFS('Policy Assignments'!$C$5:$C$868,$A127,'Policy Assignments'!$B$5:$B$868,F$4,'Policy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G127" s="94" t="str">
        <x:f>IF(COUNTIFS('Policy Assignments'!$C$5:$C$868,$A127,'Policy Assignments'!$B$5:$B$868,G$4,'Policy Assignments'!$E$5:$E$868,"Hold")&gt;0,"H",IF(COUNTIFS('Policy Assignments'!$C$5:$C$868,$A127,'Policy Assignments'!$B$5:$B$868,G$4,'Policy Assignments'!$E$5:$E$868,"Core")&gt;0,"R",IF(COUNTIFS('Policy Assignments'!$C$5:$C$868,$A127,'Policy Assignments'!$B$5:$B$868,G$4,'Policy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H127" s="94" t="str">
        <x:f>IF(COUNTIFS('Policy Assignments'!$C$5:$C$868,$A127,'Policy Assignments'!$B$5:$B$868,H$4,'Policy Assignments'!$E$5:$E$868,"Hold")&gt;0,"H",IF(COUNTIFS('Policy Assignments'!$C$5:$C$868,$A127,'Policy Assignments'!$B$5:$B$868,H$4,'Policy Assignments'!$E$5:$E$868,"Core")&gt;0,"R",IF(COUNTIFS('Policy Assignments'!$C$5:$C$868,$A127,'Policy Assignments'!$B$5:$B$868,H$4,'Policy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I127" s="94" t="str">
        <x:f>IF(COUNTIFS('Policy Assignments'!$C$5:$C$868,$A127,'Policy Assignments'!$B$5:$B$868,I$4,'Policy Assignments'!$E$5:$E$868,"Hold")&gt;0,"H",IF(COUNTIFS('Policy Assignments'!$C$5:$C$868,$A127,'Policy Assignments'!$B$5:$B$868,I$4,'Policy Assignments'!$E$5:$E$868,"Core")&gt;0,"R",IF(COUNTIFS('Policy Assignments'!$C$5:$C$868,$A127,'Policy Assignments'!$B$5:$B$868,I$4,'Policy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J127" s="94" t="str">
        <x:f>IF(COUNTIFS('Policy Assignments'!$C$5:$C$868,$A127,'Policy Assignments'!$B$5:$B$868,J$4,'Policy Assignments'!$E$5:$E$868,"Hold")&gt;0,"H",IF(COUNTIFS('Policy Assignments'!$C$5:$C$868,$A127,'Policy Assignments'!$B$5:$B$868,J$4,'Policy Assignments'!$E$5:$E$868,"Core")&gt;0,"R",IF(COUNTIFS('Policy Assignments'!$C$5:$C$868,$A127,'Policy Assignments'!$B$5:$B$868,J$4,'Policy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K127" s="94" t="str">
        <x:f>IF(COUNTIFS('Policy Assignments'!$C$5:$C$868,$A127,'Policy Assignments'!$B$5:$B$868,K$4,'Policy Assignments'!$E$5:$E$868,"Hold")&gt;0,"H",IF(COUNTIFS('Policy Assignments'!$C$5:$C$868,$A127,'Policy Assignments'!$B$5:$B$868,K$4,'Policy Assignments'!$E$5:$E$868,"Core")&gt;0,"R",IF(COUNTIFS('Policy Assignments'!$C$5:$C$868,$A127,'Policy Assignments'!$B$5:$B$868,K$4,'Policy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L127" s="94" t="str">
        <x:f>IF(COUNTIFS('Policy Assignments'!$C$5:$C$868,$A127,'Policy Assignments'!$B$5:$B$868,L$4,'Policy Assignments'!$E$5:$E$868,"Hold")&gt;0,"H",IF(COUNTIFS('Policy Assignments'!$C$5:$C$868,$A127,'Policy Assignments'!$B$5:$B$868,L$4,'Policy Assignments'!$E$5:$E$868,"Core")&gt;0,"R",IF(COUNTIFS('Policy Assignments'!$C$5:$C$868,$A127,'Policy Assignments'!$B$5:$B$868,L$4,'Policy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M127" s="94" t="str">
        <x:f>IF(COUNTIFS('Policy Assignments'!$C$5:$C$868,$A127,'Policy Assignments'!$B$5:$B$868,M$4,'Policy Assignments'!$E$5:$E$868,"Hold")&gt;0,"H",IF(COUNTIFS('Policy Assignments'!$C$5:$C$868,$A127,'Policy Assignments'!$B$5:$B$868,M$4,'Policy Assignments'!$E$5:$E$868,"Core")&gt;0,"R",IF(COUNTIFS('Policy Assignments'!$C$5:$C$868,$A127,'Policy Assignments'!$B$5:$B$868,M$4,'Policy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v>R</x:v>
      </x:c>
      <x:c r="N127" s="94" t="str">
        <x:f>IF(COUNTIFS('Policy Assignments'!$C$5:$C$868,$A127,'Policy Assignments'!$B$5:$B$868,N$4,'Policy Assignments'!$E$5:$E$868,"Hold")&gt;0,"H",IF(COUNTIFS('Policy Assignments'!$C$5:$C$868,$A127,'Policy Assignments'!$B$5:$B$868,N$4,'Policy Assignments'!$E$5:$E$868,"Core")&gt;0,"R",IF(COUNTIFS('Policy Assignments'!$C$5:$C$868,$A127,'Policy Assignments'!$B$5:$B$868,N$4,'Policy Assignments'!$E$5:$E$868,"Conditional")&gt;0,"C",IF(COUNTIFS('Policy Assignments'!$C$5:$C$868,$A127,'Policy Assignments'!$B$5:$B$868,"General",'Policy Assignments'!$E$5:$E$868,"Hold")&gt;0,"H",IF(COUNTIFS('Policy Assignments'!$C$5:$C$868,$A127,'Policy Assignments'!$B$5:$B$868,"General",'Policy Assignments'!$E$5:$E$868,"Conditional")&gt;0,"C",IF(COUNTIFS('Policy Assignments'!$C$5:$C$868,$A127,'Policy Assignments'!$B$5:$B$868,"General")&gt;0,"G",""))))))</x:f>
      </x:c>
      <x:c r="O127" s="94" t="str">
        <x:f>IF(COUNTIFS('Policy Assignments'!$C$5:$C$868,$A127,'Policy Assignments'!$B$5:$B$868,O$4,'Policy Assignments'!$E$5:$E$868,"Hold")&gt;0,"H",IF(COUNTIFS('Policy Assignments'!$C$5:$C$868,$A127,'Policy Assignments'!$B$5:$B$868,O$4,'Policy Assignments'!$E$5:$E$868,"Core")&gt;0,"R",IF(COUNTIFS('Policy Assignments'!$C$5:$C$868,$A127,'Policy Assignments'!$B$5:$B$868,O$4,'Policy Assignments'!$E$5:$E$868,"Conditional")&gt;0,"C","")))</x:f>
        <x:v>R</x:v>
      </x:c>
      <x:c r="P127" s="90" t="str">
        <x:v>Mapped</x:v>
      </x:c>
    </x:row>
    <x:row r="128" ht="22" customHeight="1">
      <x:c r="A128" s="90" t="str">
        <x:v>GV-OG-005</x:v>
      </x:c>
      <x:c r="B128" s="90" t="str">
        <x:v>Delegation of Authority</x:v>
      </x:c>
      <x:c r="C128" s="94" t="str">
        <x:f>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D128" s="94" t="str">
        <x:f>IF(COUNTIFS('Policy Assignments'!$C$5:$C$868,$A128,'Policy Assignments'!$B$5:$B$868,D$4,'Policy Assignments'!$E$5:$E$868,"Hold")&gt;0,"H",IF(COUNTIFS('Policy Assignments'!$C$5:$C$868,$A128,'Policy Assignments'!$B$5:$B$868,D$4,'Policy Assignments'!$E$5:$E$868,"Core")&gt;0,"R",IF(COUNTIFS('Policy Assignments'!$C$5:$C$868,$A128,'Policy Assignments'!$B$5:$B$868,D$4,'Policy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E128" s="94" t="str">
        <x:f>IF(COUNTIFS('Policy Assignments'!$C$5:$C$868,$A128,'Policy Assignments'!$B$5:$B$868,E$4,'Policy Assignments'!$E$5:$E$868,"Hold")&gt;0,"H",IF(COUNTIFS('Policy Assignments'!$C$5:$C$868,$A128,'Policy Assignments'!$B$5:$B$868,E$4,'Policy Assignments'!$E$5:$E$868,"Core")&gt;0,"R",IF(COUNTIFS('Policy Assignments'!$C$5:$C$868,$A128,'Policy Assignments'!$B$5:$B$868,E$4,'Policy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F128" s="94" t="str">
        <x:f>IF(COUNTIFS('Policy Assignments'!$C$5:$C$868,$A128,'Policy Assignments'!$B$5:$B$868,F$4,'Policy Assignments'!$E$5:$E$868,"Hold")&gt;0,"H",IF(COUNTIFS('Policy Assignments'!$C$5:$C$868,$A128,'Policy Assignments'!$B$5:$B$868,F$4,'Policy Assignments'!$E$5:$E$868,"Core")&gt;0,"R",IF(COUNTIFS('Policy Assignments'!$C$5:$C$868,$A128,'Policy Assignments'!$B$5:$B$868,F$4,'Policy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G128" s="94" t="str">
        <x:f>IF(COUNTIFS('Policy Assignments'!$C$5:$C$868,$A128,'Policy Assignments'!$B$5:$B$868,G$4,'Policy Assignments'!$E$5:$E$868,"Hold")&gt;0,"H",IF(COUNTIFS('Policy Assignments'!$C$5:$C$868,$A128,'Policy Assignments'!$B$5:$B$868,G$4,'Policy Assignments'!$E$5:$E$868,"Core")&gt;0,"R",IF(COUNTIFS('Policy Assignments'!$C$5:$C$868,$A128,'Policy Assignments'!$B$5:$B$868,G$4,'Policy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H128" s="94" t="str">
        <x:f>IF(COUNTIFS('Policy Assignments'!$C$5:$C$868,$A128,'Policy Assignments'!$B$5:$B$868,H$4,'Policy Assignments'!$E$5:$E$868,"Hold")&gt;0,"H",IF(COUNTIFS('Policy Assignments'!$C$5:$C$868,$A128,'Policy Assignments'!$B$5:$B$868,H$4,'Policy Assignments'!$E$5:$E$868,"Core")&gt;0,"R",IF(COUNTIFS('Policy Assignments'!$C$5:$C$868,$A128,'Policy Assignments'!$B$5:$B$868,H$4,'Policy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I128" s="94" t="str">
        <x:f>IF(COUNTIFS('Policy Assignments'!$C$5:$C$868,$A128,'Policy Assignments'!$B$5:$B$868,I$4,'Policy Assignments'!$E$5:$E$868,"Hold")&gt;0,"H",IF(COUNTIFS('Policy Assignments'!$C$5:$C$868,$A128,'Policy Assignments'!$B$5:$B$868,I$4,'Policy Assignments'!$E$5:$E$868,"Core")&gt;0,"R",IF(COUNTIFS('Policy Assignments'!$C$5:$C$868,$A128,'Policy Assignments'!$B$5:$B$868,I$4,'Policy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J128" s="94" t="str">
        <x:f>IF(COUNTIFS('Policy Assignments'!$C$5:$C$868,$A128,'Policy Assignments'!$B$5:$B$868,J$4,'Policy Assignments'!$E$5:$E$868,"Hold")&gt;0,"H",IF(COUNTIFS('Policy Assignments'!$C$5:$C$868,$A128,'Policy Assignments'!$B$5:$B$868,J$4,'Policy Assignments'!$E$5:$E$868,"Core")&gt;0,"R",IF(COUNTIFS('Policy Assignments'!$C$5:$C$868,$A128,'Policy Assignments'!$B$5:$B$868,J$4,'Policy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K128" s="94" t="str">
        <x:f>IF(COUNTIFS('Policy Assignments'!$C$5:$C$868,$A128,'Policy Assignments'!$B$5:$B$868,K$4,'Policy Assignments'!$E$5:$E$868,"Hold")&gt;0,"H",IF(COUNTIFS('Policy Assignments'!$C$5:$C$868,$A128,'Policy Assignments'!$B$5:$B$868,K$4,'Policy Assignments'!$E$5:$E$868,"Core")&gt;0,"R",IF(COUNTIFS('Policy Assignments'!$C$5:$C$868,$A128,'Policy Assignments'!$B$5:$B$868,K$4,'Policy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L128" s="94" t="str">
        <x:f>IF(COUNTIFS('Policy Assignments'!$C$5:$C$868,$A128,'Policy Assignments'!$B$5:$B$868,L$4,'Policy Assignments'!$E$5:$E$868,"Hold")&gt;0,"H",IF(COUNTIFS('Policy Assignments'!$C$5:$C$868,$A128,'Policy Assignments'!$B$5:$B$868,L$4,'Policy Assignments'!$E$5:$E$868,"Core")&gt;0,"R",IF(COUNTIFS('Policy Assignments'!$C$5:$C$868,$A128,'Policy Assignments'!$B$5:$B$868,L$4,'Policy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c>
      <x:c r="M128" s="94" t="str">
        <x:f>IF(COUNTIFS('Policy Assignments'!$C$5:$C$868,$A128,'Policy Assignments'!$B$5:$B$868,M$4,'Policy Assignments'!$E$5:$E$868,"Hold")&gt;0,"H",IF(COUNTIFS('Policy Assignments'!$C$5:$C$868,$A128,'Policy Assignments'!$B$5:$B$868,M$4,'Policy Assignments'!$E$5:$E$868,"Core")&gt;0,"R",IF(COUNTIFS('Policy Assignments'!$C$5:$C$868,$A128,'Policy Assignments'!$B$5:$B$868,M$4,'Policy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v>R</x:v>
      </x:c>
      <x:c r="N128" s="94" t="str">
        <x:f>IF(COUNTIFS('Policy Assignments'!$C$5:$C$868,$A128,'Policy Assignments'!$B$5:$B$868,N$4,'Policy Assignments'!$E$5:$E$868,"Hold")&gt;0,"H",IF(COUNTIFS('Policy Assignments'!$C$5:$C$868,$A128,'Policy Assignments'!$B$5:$B$868,N$4,'Policy Assignments'!$E$5:$E$868,"Core")&gt;0,"R",IF(COUNTIFS('Policy Assignments'!$C$5:$C$868,$A128,'Policy Assignments'!$B$5:$B$868,N$4,'Policy Assignments'!$E$5:$E$868,"Conditional")&gt;0,"C",IF(COUNTIFS('Policy Assignments'!$C$5:$C$868,$A128,'Policy Assignments'!$B$5:$B$868,"General",'Policy Assignments'!$E$5:$E$868,"Hold")&gt;0,"H",IF(COUNTIFS('Policy Assignments'!$C$5:$C$868,$A128,'Policy Assignments'!$B$5:$B$868,"General",'Policy Assignments'!$E$5:$E$868,"Conditional")&gt;0,"C",IF(COUNTIFS('Policy Assignments'!$C$5:$C$868,$A128,'Policy Assignments'!$B$5:$B$868,"General")&gt;0,"G",""))))))</x:f>
        <x:v>R</x:v>
      </x:c>
      <x:c r="O128" s="94" t="str">
        <x:f>IF(COUNTIFS('Policy Assignments'!$C$5:$C$868,$A128,'Policy Assignments'!$B$5:$B$868,O$4,'Policy Assignments'!$E$5:$E$868,"Hold")&gt;0,"H",IF(COUNTIFS('Policy Assignments'!$C$5:$C$868,$A128,'Policy Assignments'!$B$5:$B$868,O$4,'Policy Assignments'!$E$5:$E$868,"Core")&gt;0,"R",IF(COUNTIFS('Policy Assignments'!$C$5:$C$868,$A128,'Policy Assignments'!$B$5:$B$868,O$4,'Policy Assignments'!$E$5:$E$868,"Conditional")&gt;0,"C","")))</x:f>
        <x:v>R</x:v>
      </x:c>
      <x:c r="P128" s="90" t="str">
        <x:v>Mapped</x:v>
      </x:c>
    </x:row>
    <x:row r="129" ht="22" customHeight="1">
      <x:c r="A129" s="90" t="str">
        <x:v>GV-PM-001</x:v>
      </x:c>
      <x:c r="B129" s="90" t="str">
        <x:v>Policy Development &amp; Approval Process</x:v>
      </x:c>
      <x:c r="C129" s="94" t="str">
        <x:f>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D129" s="94" t="str">
        <x:f>IF(COUNTIFS('Policy Assignments'!$C$5:$C$868,$A129,'Policy Assignments'!$B$5:$B$868,D$4,'Policy Assignments'!$E$5:$E$868,"Hold")&gt;0,"H",IF(COUNTIFS('Policy Assignments'!$C$5:$C$868,$A129,'Policy Assignments'!$B$5:$B$868,D$4,'Policy Assignments'!$E$5:$E$868,"Core")&gt;0,"R",IF(COUNTIFS('Policy Assignments'!$C$5:$C$868,$A129,'Policy Assignments'!$B$5:$B$868,D$4,'Policy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E129" s="94" t="str">
        <x:f>IF(COUNTIFS('Policy Assignments'!$C$5:$C$868,$A129,'Policy Assignments'!$B$5:$B$868,E$4,'Policy Assignments'!$E$5:$E$868,"Hold")&gt;0,"H",IF(COUNTIFS('Policy Assignments'!$C$5:$C$868,$A129,'Policy Assignments'!$B$5:$B$868,E$4,'Policy Assignments'!$E$5:$E$868,"Core")&gt;0,"R",IF(COUNTIFS('Policy Assignments'!$C$5:$C$868,$A129,'Policy Assignments'!$B$5:$B$868,E$4,'Policy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F129" s="94" t="str">
        <x:f>IF(COUNTIFS('Policy Assignments'!$C$5:$C$868,$A129,'Policy Assignments'!$B$5:$B$868,F$4,'Policy Assignments'!$E$5:$E$868,"Hold")&gt;0,"H",IF(COUNTIFS('Policy Assignments'!$C$5:$C$868,$A129,'Policy Assignments'!$B$5:$B$868,F$4,'Policy Assignments'!$E$5:$E$868,"Core")&gt;0,"R",IF(COUNTIFS('Policy Assignments'!$C$5:$C$868,$A129,'Policy Assignments'!$B$5:$B$868,F$4,'Policy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G129" s="94" t="str">
        <x:f>IF(COUNTIFS('Policy Assignments'!$C$5:$C$868,$A129,'Policy Assignments'!$B$5:$B$868,G$4,'Policy Assignments'!$E$5:$E$868,"Hold")&gt;0,"H",IF(COUNTIFS('Policy Assignments'!$C$5:$C$868,$A129,'Policy Assignments'!$B$5:$B$868,G$4,'Policy Assignments'!$E$5:$E$868,"Core")&gt;0,"R",IF(COUNTIFS('Policy Assignments'!$C$5:$C$868,$A129,'Policy Assignments'!$B$5:$B$868,G$4,'Policy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H129" s="94" t="str">
        <x:f>IF(COUNTIFS('Policy Assignments'!$C$5:$C$868,$A129,'Policy Assignments'!$B$5:$B$868,H$4,'Policy Assignments'!$E$5:$E$868,"Hold")&gt;0,"H",IF(COUNTIFS('Policy Assignments'!$C$5:$C$868,$A129,'Policy Assignments'!$B$5:$B$868,H$4,'Policy Assignments'!$E$5:$E$868,"Core")&gt;0,"R",IF(COUNTIFS('Policy Assignments'!$C$5:$C$868,$A129,'Policy Assignments'!$B$5:$B$868,H$4,'Policy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I129" s="94" t="str">
        <x:f>IF(COUNTIFS('Policy Assignments'!$C$5:$C$868,$A129,'Policy Assignments'!$B$5:$B$868,I$4,'Policy Assignments'!$E$5:$E$868,"Hold")&gt;0,"H",IF(COUNTIFS('Policy Assignments'!$C$5:$C$868,$A129,'Policy Assignments'!$B$5:$B$868,I$4,'Policy Assignments'!$E$5:$E$868,"Core")&gt;0,"R",IF(COUNTIFS('Policy Assignments'!$C$5:$C$868,$A129,'Policy Assignments'!$B$5:$B$868,I$4,'Policy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J129" s="94" t="str">
        <x:f>IF(COUNTIFS('Policy Assignments'!$C$5:$C$868,$A129,'Policy Assignments'!$B$5:$B$868,J$4,'Policy Assignments'!$E$5:$E$868,"Hold")&gt;0,"H",IF(COUNTIFS('Policy Assignments'!$C$5:$C$868,$A129,'Policy Assignments'!$B$5:$B$868,J$4,'Policy Assignments'!$E$5:$E$868,"Core")&gt;0,"R",IF(COUNTIFS('Policy Assignments'!$C$5:$C$868,$A129,'Policy Assignments'!$B$5:$B$868,J$4,'Policy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K129" s="94" t="str">
        <x:f>IF(COUNTIFS('Policy Assignments'!$C$5:$C$868,$A129,'Policy Assignments'!$B$5:$B$868,K$4,'Policy Assignments'!$E$5:$E$868,"Hold")&gt;0,"H",IF(COUNTIFS('Policy Assignments'!$C$5:$C$868,$A129,'Policy Assignments'!$B$5:$B$868,K$4,'Policy Assignments'!$E$5:$E$868,"Core")&gt;0,"R",IF(COUNTIFS('Policy Assignments'!$C$5:$C$868,$A129,'Policy Assignments'!$B$5:$B$868,K$4,'Policy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L129" s="94" t="str">
        <x:f>IF(COUNTIFS('Policy Assignments'!$C$5:$C$868,$A129,'Policy Assignments'!$B$5:$B$868,L$4,'Policy Assignments'!$E$5:$E$868,"Hold")&gt;0,"H",IF(COUNTIFS('Policy Assignments'!$C$5:$C$868,$A129,'Policy Assignments'!$B$5:$B$868,L$4,'Policy Assignments'!$E$5:$E$868,"Core")&gt;0,"R",IF(COUNTIFS('Policy Assignments'!$C$5:$C$868,$A129,'Policy Assignments'!$B$5:$B$868,L$4,'Policy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M129" s="94" t="str">
        <x:f>IF(COUNTIFS('Policy Assignments'!$C$5:$C$868,$A129,'Policy Assignments'!$B$5:$B$868,M$4,'Policy Assignments'!$E$5:$E$868,"Hold")&gt;0,"H",IF(COUNTIFS('Policy Assignments'!$C$5:$C$868,$A129,'Policy Assignments'!$B$5:$B$868,M$4,'Policy Assignments'!$E$5:$E$868,"Core")&gt;0,"R",IF(COUNTIFS('Policy Assignments'!$C$5:$C$868,$A129,'Policy Assignments'!$B$5:$B$868,M$4,'Policy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v>R</x:v>
      </x:c>
      <x:c r="N129" s="94" t="str">
        <x:f>IF(COUNTIFS('Policy Assignments'!$C$5:$C$868,$A129,'Policy Assignments'!$B$5:$B$868,N$4,'Policy Assignments'!$E$5:$E$868,"Hold")&gt;0,"H",IF(COUNTIFS('Policy Assignments'!$C$5:$C$868,$A129,'Policy Assignments'!$B$5:$B$868,N$4,'Policy Assignments'!$E$5:$E$868,"Core")&gt;0,"R",IF(COUNTIFS('Policy Assignments'!$C$5:$C$868,$A129,'Policy Assignments'!$B$5:$B$868,N$4,'Policy Assignments'!$E$5:$E$868,"Conditional")&gt;0,"C",IF(COUNTIFS('Policy Assignments'!$C$5:$C$868,$A129,'Policy Assignments'!$B$5:$B$868,"General",'Policy Assignments'!$E$5:$E$868,"Hold")&gt;0,"H",IF(COUNTIFS('Policy Assignments'!$C$5:$C$868,$A129,'Policy Assignments'!$B$5:$B$868,"General",'Policy Assignments'!$E$5:$E$868,"Conditional")&gt;0,"C",IF(COUNTIFS('Policy Assignments'!$C$5:$C$868,$A129,'Policy Assignments'!$B$5:$B$868,"General")&gt;0,"G",""))))))</x:f>
      </x:c>
      <x:c r="O129" s="94" t="str">
        <x:f>IF(COUNTIFS('Policy Assignments'!$C$5:$C$868,$A129,'Policy Assignments'!$B$5:$B$868,O$4,'Policy Assignments'!$E$5:$E$868,"Hold")&gt;0,"H",IF(COUNTIFS('Policy Assignments'!$C$5:$C$868,$A129,'Policy Assignments'!$B$5:$B$868,O$4,'Policy Assignments'!$E$5:$E$868,"Core")&gt;0,"R",IF(COUNTIFS('Policy Assignments'!$C$5:$C$868,$A129,'Policy Assignments'!$B$5:$B$868,O$4,'Policy Assignments'!$E$5:$E$868,"Conditional")&gt;0,"C","")))</x:f>
        <x:v>R</x:v>
      </x:c>
      <x:c r="P129" s="90" t="str">
        <x:v>Mapped</x:v>
      </x:c>
    </x:row>
    <x:row r="130" ht="22" customHeight="1">
      <x:c r="A130" s="90" t="str">
        <x:v>GV-PM-002</x:v>
      </x:c>
      <x:c r="B130" s="90" t="str">
        <x:v>Policy Review &amp; Revision Cycle</x:v>
      </x:c>
      <x:c r="C130" s="94" t="str">
        <x:f>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D130" s="94" t="str">
        <x:f>IF(COUNTIFS('Policy Assignments'!$C$5:$C$868,$A130,'Policy Assignments'!$B$5:$B$868,D$4,'Policy Assignments'!$E$5:$E$868,"Hold")&gt;0,"H",IF(COUNTIFS('Policy Assignments'!$C$5:$C$868,$A130,'Policy Assignments'!$B$5:$B$868,D$4,'Policy Assignments'!$E$5:$E$868,"Core")&gt;0,"R",IF(COUNTIFS('Policy Assignments'!$C$5:$C$868,$A130,'Policy Assignments'!$B$5:$B$868,D$4,'Policy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E130" s="94" t="str">
        <x:f>IF(COUNTIFS('Policy Assignments'!$C$5:$C$868,$A130,'Policy Assignments'!$B$5:$B$868,E$4,'Policy Assignments'!$E$5:$E$868,"Hold")&gt;0,"H",IF(COUNTIFS('Policy Assignments'!$C$5:$C$868,$A130,'Policy Assignments'!$B$5:$B$868,E$4,'Policy Assignments'!$E$5:$E$868,"Core")&gt;0,"R",IF(COUNTIFS('Policy Assignments'!$C$5:$C$868,$A130,'Policy Assignments'!$B$5:$B$868,E$4,'Policy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F130" s="94" t="str">
        <x:f>IF(COUNTIFS('Policy Assignments'!$C$5:$C$868,$A130,'Policy Assignments'!$B$5:$B$868,F$4,'Policy Assignments'!$E$5:$E$868,"Hold")&gt;0,"H",IF(COUNTIFS('Policy Assignments'!$C$5:$C$868,$A130,'Policy Assignments'!$B$5:$B$868,F$4,'Policy Assignments'!$E$5:$E$868,"Core")&gt;0,"R",IF(COUNTIFS('Policy Assignments'!$C$5:$C$868,$A130,'Policy Assignments'!$B$5:$B$868,F$4,'Policy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G130" s="94" t="str">
        <x:f>IF(COUNTIFS('Policy Assignments'!$C$5:$C$868,$A130,'Policy Assignments'!$B$5:$B$868,G$4,'Policy Assignments'!$E$5:$E$868,"Hold")&gt;0,"H",IF(COUNTIFS('Policy Assignments'!$C$5:$C$868,$A130,'Policy Assignments'!$B$5:$B$868,G$4,'Policy Assignments'!$E$5:$E$868,"Core")&gt;0,"R",IF(COUNTIFS('Policy Assignments'!$C$5:$C$868,$A130,'Policy Assignments'!$B$5:$B$868,G$4,'Policy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H130" s="94" t="str">
        <x:f>IF(COUNTIFS('Policy Assignments'!$C$5:$C$868,$A130,'Policy Assignments'!$B$5:$B$868,H$4,'Policy Assignments'!$E$5:$E$868,"Hold")&gt;0,"H",IF(COUNTIFS('Policy Assignments'!$C$5:$C$868,$A130,'Policy Assignments'!$B$5:$B$868,H$4,'Policy Assignments'!$E$5:$E$868,"Core")&gt;0,"R",IF(COUNTIFS('Policy Assignments'!$C$5:$C$868,$A130,'Policy Assignments'!$B$5:$B$868,H$4,'Policy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I130" s="94" t="str">
        <x:f>IF(COUNTIFS('Policy Assignments'!$C$5:$C$868,$A130,'Policy Assignments'!$B$5:$B$868,I$4,'Policy Assignments'!$E$5:$E$868,"Hold")&gt;0,"H",IF(COUNTIFS('Policy Assignments'!$C$5:$C$868,$A130,'Policy Assignments'!$B$5:$B$868,I$4,'Policy Assignments'!$E$5:$E$868,"Core")&gt;0,"R",IF(COUNTIFS('Policy Assignments'!$C$5:$C$868,$A130,'Policy Assignments'!$B$5:$B$868,I$4,'Policy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J130" s="94" t="str">
        <x:f>IF(COUNTIFS('Policy Assignments'!$C$5:$C$868,$A130,'Policy Assignments'!$B$5:$B$868,J$4,'Policy Assignments'!$E$5:$E$868,"Hold")&gt;0,"H",IF(COUNTIFS('Policy Assignments'!$C$5:$C$868,$A130,'Policy Assignments'!$B$5:$B$868,J$4,'Policy Assignments'!$E$5:$E$868,"Core")&gt;0,"R",IF(COUNTIFS('Policy Assignments'!$C$5:$C$868,$A130,'Policy Assignments'!$B$5:$B$868,J$4,'Policy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K130" s="94" t="str">
        <x:f>IF(COUNTIFS('Policy Assignments'!$C$5:$C$868,$A130,'Policy Assignments'!$B$5:$B$868,K$4,'Policy Assignments'!$E$5:$E$868,"Hold")&gt;0,"H",IF(COUNTIFS('Policy Assignments'!$C$5:$C$868,$A130,'Policy Assignments'!$B$5:$B$868,K$4,'Policy Assignments'!$E$5:$E$868,"Core")&gt;0,"R",IF(COUNTIFS('Policy Assignments'!$C$5:$C$868,$A130,'Policy Assignments'!$B$5:$B$868,K$4,'Policy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L130" s="94" t="str">
        <x:f>IF(COUNTIFS('Policy Assignments'!$C$5:$C$868,$A130,'Policy Assignments'!$B$5:$B$868,L$4,'Policy Assignments'!$E$5:$E$868,"Hold")&gt;0,"H",IF(COUNTIFS('Policy Assignments'!$C$5:$C$868,$A130,'Policy Assignments'!$B$5:$B$868,L$4,'Policy Assignments'!$E$5:$E$868,"Core")&gt;0,"R",IF(COUNTIFS('Policy Assignments'!$C$5:$C$868,$A130,'Policy Assignments'!$B$5:$B$868,L$4,'Policy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M130" s="94" t="str">
        <x:f>IF(COUNTIFS('Policy Assignments'!$C$5:$C$868,$A130,'Policy Assignments'!$B$5:$B$868,M$4,'Policy Assignments'!$E$5:$E$868,"Hold")&gt;0,"H",IF(COUNTIFS('Policy Assignments'!$C$5:$C$868,$A130,'Policy Assignments'!$B$5:$B$868,M$4,'Policy Assignments'!$E$5:$E$868,"Core")&gt;0,"R",IF(COUNTIFS('Policy Assignments'!$C$5:$C$868,$A130,'Policy Assignments'!$B$5:$B$868,M$4,'Policy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v>R</x:v>
      </x:c>
      <x:c r="N130" s="94" t="str">
        <x:f>IF(COUNTIFS('Policy Assignments'!$C$5:$C$868,$A130,'Policy Assignments'!$B$5:$B$868,N$4,'Policy Assignments'!$E$5:$E$868,"Hold")&gt;0,"H",IF(COUNTIFS('Policy Assignments'!$C$5:$C$868,$A130,'Policy Assignments'!$B$5:$B$868,N$4,'Policy Assignments'!$E$5:$E$868,"Core")&gt;0,"R",IF(COUNTIFS('Policy Assignments'!$C$5:$C$868,$A130,'Policy Assignments'!$B$5:$B$868,N$4,'Policy Assignments'!$E$5:$E$868,"Conditional")&gt;0,"C",IF(COUNTIFS('Policy Assignments'!$C$5:$C$868,$A130,'Policy Assignments'!$B$5:$B$868,"General",'Policy Assignments'!$E$5:$E$868,"Hold")&gt;0,"H",IF(COUNTIFS('Policy Assignments'!$C$5:$C$868,$A130,'Policy Assignments'!$B$5:$B$868,"General",'Policy Assignments'!$E$5:$E$868,"Conditional")&gt;0,"C",IF(COUNTIFS('Policy Assignments'!$C$5:$C$868,$A130,'Policy Assignments'!$B$5:$B$868,"General")&gt;0,"G",""))))))</x:f>
      </x:c>
      <x:c r="O130" s="94" t="str">
        <x:f>IF(COUNTIFS('Policy Assignments'!$C$5:$C$868,$A130,'Policy Assignments'!$B$5:$B$868,O$4,'Policy Assignments'!$E$5:$E$868,"Hold")&gt;0,"H",IF(COUNTIFS('Policy Assignments'!$C$5:$C$868,$A130,'Policy Assignments'!$B$5:$B$868,O$4,'Policy Assignments'!$E$5:$E$868,"Core")&gt;0,"R",IF(COUNTIFS('Policy Assignments'!$C$5:$C$868,$A130,'Policy Assignments'!$B$5:$B$868,O$4,'Policy Assignments'!$E$5:$E$868,"Conditional")&gt;0,"C","")))</x:f>
        <x:v>R</x:v>
      </x:c>
      <x:c r="P130" s="90" t="str">
        <x:v>Mapped</x:v>
      </x:c>
    </x:row>
    <x:row r="131" ht="22" customHeight="1">
      <x:c r="A131" s="90" t="str">
        <x:v>GV-PM-003</x:v>
      </x:c>
      <x:c r="B131" s="90" t="str">
        <x:v>Policy Acknowledgment &amp; Staff Attestation</x:v>
      </x:c>
      <x:c r="C131" s="94" t="str">
        <x:f>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D131" s="94" t="str">
        <x:f>IF(COUNTIFS('Policy Assignments'!$C$5:$C$868,$A131,'Policy Assignments'!$B$5:$B$868,D$4,'Policy Assignments'!$E$5:$E$868,"Hold")&gt;0,"H",IF(COUNTIFS('Policy Assignments'!$C$5:$C$868,$A131,'Policy Assignments'!$B$5:$B$868,D$4,'Policy Assignments'!$E$5:$E$868,"Core")&gt;0,"R",IF(COUNTIFS('Policy Assignments'!$C$5:$C$868,$A131,'Policy Assignments'!$B$5:$B$868,D$4,'Policy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E131" s="94" t="str">
        <x:f>IF(COUNTIFS('Policy Assignments'!$C$5:$C$868,$A131,'Policy Assignments'!$B$5:$B$868,E$4,'Policy Assignments'!$E$5:$E$868,"Hold")&gt;0,"H",IF(COUNTIFS('Policy Assignments'!$C$5:$C$868,$A131,'Policy Assignments'!$B$5:$B$868,E$4,'Policy Assignments'!$E$5:$E$868,"Core")&gt;0,"R",IF(COUNTIFS('Policy Assignments'!$C$5:$C$868,$A131,'Policy Assignments'!$B$5:$B$868,E$4,'Policy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F131" s="94" t="str">
        <x:f>IF(COUNTIFS('Policy Assignments'!$C$5:$C$868,$A131,'Policy Assignments'!$B$5:$B$868,F$4,'Policy Assignments'!$E$5:$E$868,"Hold")&gt;0,"H",IF(COUNTIFS('Policy Assignments'!$C$5:$C$868,$A131,'Policy Assignments'!$B$5:$B$868,F$4,'Policy Assignments'!$E$5:$E$868,"Core")&gt;0,"R",IF(COUNTIFS('Policy Assignments'!$C$5:$C$868,$A131,'Policy Assignments'!$B$5:$B$868,F$4,'Policy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G131" s="94" t="str">
        <x:f>IF(COUNTIFS('Policy Assignments'!$C$5:$C$868,$A131,'Policy Assignments'!$B$5:$B$868,G$4,'Policy Assignments'!$E$5:$E$868,"Hold")&gt;0,"H",IF(COUNTIFS('Policy Assignments'!$C$5:$C$868,$A131,'Policy Assignments'!$B$5:$B$868,G$4,'Policy Assignments'!$E$5:$E$868,"Core")&gt;0,"R",IF(COUNTIFS('Policy Assignments'!$C$5:$C$868,$A131,'Policy Assignments'!$B$5:$B$868,G$4,'Policy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H131" s="94" t="str">
        <x:f>IF(COUNTIFS('Policy Assignments'!$C$5:$C$868,$A131,'Policy Assignments'!$B$5:$B$868,H$4,'Policy Assignments'!$E$5:$E$868,"Hold")&gt;0,"H",IF(COUNTIFS('Policy Assignments'!$C$5:$C$868,$A131,'Policy Assignments'!$B$5:$B$868,H$4,'Policy Assignments'!$E$5:$E$868,"Core")&gt;0,"R",IF(COUNTIFS('Policy Assignments'!$C$5:$C$868,$A131,'Policy Assignments'!$B$5:$B$868,H$4,'Policy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I131" s="94" t="str">
        <x:f>IF(COUNTIFS('Policy Assignments'!$C$5:$C$868,$A131,'Policy Assignments'!$B$5:$B$868,I$4,'Policy Assignments'!$E$5:$E$868,"Hold")&gt;0,"H",IF(COUNTIFS('Policy Assignments'!$C$5:$C$868,$A131,'Policy Assignments'!$B$5:$B$868,I$4,'Policy Assignments'!$E$5:$E$868,"Core")&gt;0,"R",IF(COUNTIFS('Policy Assignments'!$C$5:$C$868,$A131,'Policy Assignments'!$B$5:$B$868,I$4,'Policy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J131" s="94" t="str">
        <x:f>IF(COUNTIFS('Policy Assignments'!$C$5:$C$868,$A131,'Policy Assignments'!$B$5:$B$868,J$4,'Policy Assignments'!$E$5:$E$868,"Hold")&gt;0,"H",IF(COUNTIFS('Policy Assignments'!$C$5:$C$868,$A131,'Policy Assignments'!$B$5:$B$868,J$4,'Policy Assignments'!$E$5:$E$868,"Core")&gt;0,"R",IF(COUNTIFS('Policy Assignments'!$C$5:$C$868,$A131,'Policy Assignments'!$B$5:$B$868,J$4,'Policy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K131" s="94" t="str">
        <x:f>IF(COUNTIFS('Policy Assignments'!$C$5:$C$868,$A131,'Policy Assignments'!$B$5:$B$868,K$4,'Policy Assignments'!$E$5:$E$868,"Hold")&gt;0,"H",IF(COUNTIFS('Policy Assignments'!$C$5:$C$868,$A131,'Policy Assignments'!$B$5:$B$868,K$4,'Policy Assignments'!$E$5:$E$868,"Core")&gt;0,"R",IF(COUNTIFS('Policy Assignments'!$C$5:$C$868,$A131,'Policy Assignments'!$B$5:$B$868,K$4,'Policy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L131" s="94" t="str">
        <x:f>IF(COUNTIFS('Policy Assignments'!$C$5:$C$868,$A131,'Policy Assignments'!$B$5:$B$868,L$4,'Policy Assignments'!$E$5:$E$868,"Hold")&gt;0,"H",IF(COUNTIFS('Policy Assignments'!$C$5:$C$868,$A131,'Policy Assignments'!$B$5:$B$868,L$4,'Policy Assignments'!$E$5:$E$868,"Core")&gt;0,"R",IF(COUNTIFS('Policy Assignments'!$C$5:$C$868,$A131,'Policy Assignments'!$B$5:$B$868,L$4,'Policy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M131" s="94" t="str">
        <x:f>IF(COUNTIFS('Policy Assignments'!$C$5:$C$868,$A131,'Policy Assignments'!$B$5:$B$868,M$4,'Policy Assignments'!$E$5:$E$868,"Hold")&gt;0,"H",IF(COUNTIFS('Policy Assignments'!$C$5:$C$868,$A131,'Policy Assignments'!$B$5:$B$868,M$4,'Policy Assignments'!$E$5:$E$868,"Core")&gt;0,"R",IF(COUNTIFS('Policy Assignments'!$C$5:$C$868,$A131,'Policy Assignments'!$B$5:$B$868,M$4,'Policy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R</x:v>
      </x:c>
      <x:c r="N131" s="94" t="str">
        <x:f>IF(COUNTIFS('Policy Assignments'!$C$5:$C$868,$A131,'Policy Assignments'!$B$5:$B$868,N$4,'Policy Assignments'!$E$5:$E$868,"Hold")&gt;0,"H",IF(COUNTIFS('Policy Assignments'!$C$5:$C$868,$A131,'Policy Assignments'!$B$5:$B$868,N$4,'Policy Assignments'!$E$5:$E$868,"Core")&gt;0,"R",IF(COUNTIFS('Policy Assignments'!$C$5:$C$868,$A131,'Policy Assignments'!$B$5:$B$868,N$4,'Policy Assignments'!$E$5:$E$868,"Conditional")&gt;0,"C",IF(COUNTIFS('Policy Assignments'!$C$5:$C$868,$A131,'Policy Assignments'!$B$5:$B$868,"General",'Policy Assignments'!$E$5:$E$868,"Hold")&gt;0,"H",IF(COUNTIFS('Policy Assignments'!$C$5:$C$868,$A131,'Policy Assignments'!$B$5:$B$868,"General",'Policy Assignments'!$E$5:$E$868,"Conditional")&gt;0,"C",IF(COUNTIFS('Policy Assignments'!$C$5:$C$868,$A131,'Policy Assignments'!$B$5:$B$868,"General")&gt;0,"G",""))))))</x:f>
        <x:v>G</x:v>
      </x:c>
      <x:c r="O131" s="94" t="str">
        <x:f>IF(COUNTIFS('Policy Assignments'!$C$5:$C$868,$A131,'Policy Assignments'!$B$5:$B$868,O$4,'Policy Assignments'!$E$5:$E$868,"Hold")&gt;0,"H",IF(COUNTIFS('Policy Assignments'!$C$5:$C$868,$A131,'Policy Assignments'!$B$5:$B$868,O$4,'Policy Assignments'!$E$5:$E$868,"Core")&gt;0,"R",IF(COUNTIFS('Policy Assignments'!$C$5:$C$868,$A131,'Policy Assignments'!$B$5:$B$868,O$4,'Policy Assignments'!$E$5:$E$868,"Conditional")&gt;0,"C","")))</x:f>
        <x:v>R</x:v>
      </x:c>
      <x:c r="P131" s="90" t="str">
        <x:v>Mapped</x:v>
      </x:c>
    </x:row>
    <x:row r="132" ht="22" customHeight="1">
      <x:c r="A132" s="90" t="str">
        <x:v>GV-PM-004</x:v>
      </x:c>
      <x:c r="B132" s="90" t="str">
        <x:v>Communication &amp; Notification Standards</x:v>
      </x:c>
      <x:c r="C132" s="94" t="str">
        <x:f>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D132" s="94" t="str">
        <x:f>IF(COUNTIFS('Policy Assignments'!$C$5:$C$868,$A132,'Policy Assignments'!$B$5:$B$868,D$4,'Policy Assignments'!$E$5:$E$868,"Hold")&gt;0,"H",IF(COUNTIFS('Policy Assignments'!$C$5:$C$868,$A132,'Policy Assignments'!$B$5:$B$868,D$4,'Policy Assignments'!$E$5:$E$868,"Core")&gt;0,"R",IF(COUNTIFS('Policy Assignments'!$C$5:$C$868,$A132,'Policy Assignments'!$B$5:$B$868,D$4,'Policy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E132" s="94" t="str">
        <x:f>IF(COUNTIFS('Policy Assignments'!$C$5:$C$868,$A132,'Policy Assignments'!$B$5:$B$868,E$4,'Policy Assignments'!$E$5:$E$868,"Hold")&gt;0,"H",IF(COUNTIFS('Policy Assignments'!$C$5:$C$868,$A132,'Policy Assignments'!$B$5:$B$868,E$4,'Policy Assignments'!$E$5:$E$868,"Core")&gt;0,"R",IF(COUNTIFS('Policy Assignments'!$C$5:$C$868,$A132,'Policy Assignments'!$B$5:$B$868,E$4,'Policy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F132" s="94" t="str">
        <x:f>IF(COUNTIFS('Policy Assignments'!$C$5:$C$868,$A132,'Policy Assignments'!$B$5:$B$868,F$4,'Policy Assignments'!$E$5:$E$868,"Hold")&gt;0,"H",IF(COUNTIFS('Policy Assignments'!$C$5:$C$868,$A132,'Policy Assignments'!$B$5:$B$868,F$4,'Policy Assignments'!$E$5:$E$868,"Core")&gt;0,"R",IF(COUNTIFS('Policy Assignments'!$C$5:$C$868,$A132,'Policy Assignments'!$B$5:$B$868,F$4,'Policy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G132" s="94" t="str">
        <x:f>IF(COUNTIFS('Policy Assignments'!$C$5:$C$868,$A132,'Policy Assignments'!$B$5:$B$868,G$4,'Policy Assignments'!$E$5:$E$868,"Hold")&gt;0,"H",IF(COUNTIFS('Policy Assignments'!$C$5:$C$868,$A132,'Policy Assignments'!$B$5:$B$868,G$4,'Policy Assignments'!$E$5:$E$868,"Core")&gt;0,"R",IF(COUNTIFS('Policy Assignments'!$C$5:$C$868,$A132,'Policy Assignments'!$B$5:$B$868,G$4,'Policy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H132" s="94" t="str">
        <x:f>IF(COUNTIFS('Policy Assignments'!$C$5:$C$868,$A132,'Policy Assignments'!$B$5:$B$868,H$4,'Policy Assignments'!$E$5:$E$868,"Hold")&gt;0,"H",IF(COUNTIFS('Policy Assignments'!$C$5:$C$868,$A132,'Policy Assignments'!$B$5:$B$868,H$4,'Policy Assignments'!$E$5:$E$868,"Core")&gt;0,"R",IF(COUNTIFS('Policy Assignments'!$C$5:$C$868,$A132,'Policy Assignments'!$B$5:$B$868,H$4,'Policy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I132" s="94" t="str">
        <x:f>IF(COUNTIFS('Policy Assignments'!$C$5:$C$868,$A132,'Policy Assignments'!$B$5:$B$868,I$4,'Policy Assignments'!$E$5:$E$868,"Hold")&gt;0,"H",IF(COUNTIFS('Policy Assignments'!$C$5:$C$868,$A132,'Policy Assignments'!$B$5:$B$868,I$4,'Policy Assignments'!$E$5:$E$868,"Core")&gt;0,"R",IF(COUNTIFS('Policy Assignments'!$C$5:$C$868,$A132,'Policy Assignments'!$B$5:$B$868,I$4,'Policy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J132" s="94" t="str">
        <x:f>IF(COUNTIFS('Policy Assignments'!$C$5:$C$868,$A132,'Policy Assignments'!$B$5:$B$868,J$4,'Policy Assignments'!$E$5:$E$868,"Hold")&gt;0,"H",IF(COUNTIFS('Policy Assignments'!$C$5:$C$868,$A132,'Policy Assignments'!$B$5:$B$868,J$4,'Policy Assignments'!$E$5:$E$868,"Core")&gt;0,"R",IF(COUNTIFS('Policy Assignments'!$C$5:$C$868,$A132,'Policy Assignments'!$B$5:$B$868,J$4,'Policy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K132" s="94" t="str">
        <x:f>IF(COUNTIFS('Policy Assignments'!$C$5:$C$868,$A132,'Policy Assignments'!$B$5:$B$868,K$4,'Policy Assignments'!$E$5:$E$868,"Hold")&gt;0,"H",IF(COUNTIFS('Policy Assignments'!$C$5:$C$868,$A132,'Policy Assignments'!$B$5:$B$868,K$4,'Policy Assignments'!$E$5:$E$868,"Core")&gt;0,"R",IF(COUNTIFS('Policy Assignments'!$C$5:$C$868,$A132,'Policy Assignments'!$B$5:$B$868,K$4,'Policy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L132" s="94" t="str">
        <x:f>IF(COUNTIFS('Policy Assignments'!$C$5:$C$868,$A132,'Policy Assignments'!$B$5:$B$868,L$4,'Policy Assignments'!$E$5:$E$868,"Hold")&gt;0,"H",IF(COUNTIFS('Policy Assignments'!$C$5:$C$868,$A132,'Policy Assignments'!$B$5:$B$868,L$4,'Policy Assignments'!$E$5:$E$868,"Core")&gt;0,"R",IF(COUNTIFS('Policy Assignments'!$C$5:$C$868,$A132,'Policy Assignments'!$B$5:$B$868,L$4,'Policy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M132" s="94" t="str">
        <x:f>IF(COUNTIFS('Policy Assignments'!$C$5:$C$868,$A132,'Policy Assignments'!$B$5:$B$868,M$4,'Policy Assignments'!$E$5:$E$868,"Hold")&gt;0,"H",IF(COUNTIFS('Policy Assignments'!$C$5:$C$868,$A132,'Policy Assignments'!$B$5:$B$868,M$4,'Policy Assignments'!$E$5:$E$868,"Core")&gt;0,"R",IF(COUNTIFS('Policy Assignments'!$C$5:$C$868,$A132,'Policy Assignments'!$B$5:$B$868,M$4,'Policy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R</x:v>
      </x:c>
      <x:c r="N132" s="94" t="str">
        <x:f>IF(COUNTIFS('Policy Assignments'!$C$5:$C$868,$A132,'Policy Assignments'!$B$5:$B$868,N$4,'Policy Assignments'!$E$5:$E$868,"Hold")&gt;0,"H",IF(COUNTIFS('Policy Assignments'!$C$5:$C$868,$A132,'Policy Assignments'!$B$5:$B$868,N$4,'Policy Assignments'!$E$5:$E$868,"Core")&gt;0,"R",IF(COUNTIFS('Policy Assignments'!$C$5:$C$868,$A132,'Policy Assignments'!$B$5:$B$868,N$4,'Policy Assignments'!$E$5:$E$868,"Conditional")&gt;0,"C",IF(COUNTIFS('Policy Assignments'!$C$5:$C$868,$A132,'Policy Assignments'!$B$5:$B$868,"General",'Policy Assignments'!$E$5:$E$868,"Hold")&gt;0,"H",IF(COUNTIFS('Policy Assignments'!$C$5:$C$868,$A132,'Policy Assignments'!$B$5:$B$868,"General",'Policy Assignments'!$E$5:$E$868,"Conditional")&gt;0,"C",IF(COUNTIFS('Policy Assignments'!$C$5:$C$868,$A132,'Policy Assignments'!$B$5:$B$868,"General")&gt;0,"G",""))))))</x:f>
        <x:v>G</x:v>
      </x:c>
      <x:c r="O132" s="94" t="str">
        <x:f>IF(COUNTIFS('Policy Assignments'!$C$5:$C$868,$A132,'Policy Assignments'!$B$5:$B$868,O$4,'Policy Assignments'!$E$5:$E$868,"Hold")&gt;0,"H",IF(COUNTIFS('Policy Assignments'!$C$5:$C$868,$A132,'Policy Assignments'!$B$5:$B$868,O$4,'Policy Assignments'!$E$5:$E$868,"Core")&gt;0,"R",IF(COUNTIFS('Policy Assignments'!$C$5:$C$868,$A132,'Policy Assignments'!$B$5:$B$868,O$4,'Policy Assignments'!$E$5:$E$868,"Conditional")&gt;0,"C","")))</x:f>
      </x:c>
      <x:c r="P132" s="90" t="str">
        <x:v>Mapped</x:v>
      </x:c>
    </x:row>
    <x:row r="133" ht="22" customHeight="1">
      <x:c r="A133" s="90" t="str">
        <x:v>GV-PM-005</x:v>
      </x:c>
      <x:c r="B133" s="90" t="str">
        <x:v>Stakeholder Grievance &amp; Feedback Management</x:v>
      </x:c>
      <x:c r="C133" s="94" t="str">
        <x:f>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D133" s="94" t="str">
        <x:f>IF(COUNTIFS('Policy Assignments'!$C$5:$C$868,$A133,'Policy Assignments'!$B$5:$B$868,D$4,'Policy Assignments'!$E$5:$E$868,"Hold")&gt;0,"H",IF(COUNTIFS('Policy Assignments'!$C$5:$C$868,$A133,'Policy Assignments'!$B$5:$B$868,D$4,'Policy Assignments'!$E$5:$E$868,"Core")&gt;0,"R",IF(COUNTIFS('Policy Assignments'!$C$5:$C$868,$A133,'Policy Assignments'!$B$5:$B$868,D$4,'Policy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E133" s="94" t="str">
        <x:f>IF(COUNTIFS('Policy Assignments'!$C$5:$C$868,$A133,'Policy Assignments'!$B$5:$B$868,E$4,'Policy Assignments'!$E$5:$E$868,"Hold")&gt;0,"H",IF(COUNTIFS('Policy Assignments'!$C$5:$C$868,$A133,'Policy Assignments'!$B$5:$B$868,E$4,'Policy Assignments'!$E$5:$E$868,"Core")&gt;0,"R",IF(COUNTIFS('Policy Assignments'!$C$5:$C$868,$A133,'Policy Assignments'!$B$5:$B$868,E$4,'Policy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F133" s="94" t="str">
        <x:f>IF(COUNTIFS('Policy Assignments'!$C$5:$C$868,$A133,'Policy Assignments'!$B$5:$B$868,F$4,'Policy Assignments'!$E$5:$E$868,"Hold")&gt;0,"H",IF(COUNTIFS('Policy Assignments'!$C$5:$C$868,$A133,'Policy Assignments'!$B$5:$B$868,F$4,'Policy Assignments'!$E$5:$E$868,"Core")&gt;0,"R",IF(COUNTIFS('Policy Assignments'!$C$5:$C$868,$A133,'Policy Assignments'!$B$5:$B$868,F$4,'Policy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G133" s="94" t="str">
        <x:f>IF(COUNTIFS('Policy Assignments'!$C$5:$C$868,$A133,'Policy Assignments'!$B$5:$B$868,G$4,'Policy Assignments'!$E$5:$E$868,"Hold")&gt;0,"H",IF(COUNTIFS('Policy Assignments'!$C$5:$C$868,$A133,'Policy Assignments'!$B$5:$B$868,G$4,'Policy Assignments'!$E$5:$E$868,"Core")&gt;0,"R",IF(COUNTIFS('Policy Assignments'!$C$5:$C$868,$A133,'Policy Assignments'!$B$5:$B$868,G$4,'Policy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H133" s="94" t="str">
        <x:f>IF(COUNTIFS('Policy Assignments'!$C$5:$C$868,$A133,'Policy Assignments'!$B$5:$B$868,H$4,'Policy Assignments'!$E$5:$E$868,"Hold")&gt;0,"H",IF(COUNTIFS('Policy Assignments'!$C$5:$C$868,$A133,'Policy Assignments'!$B$5:$B$868,H$4,'Policy Assignments'!$E$5:$E$868,"Core")&gt;0,"R",IF(COUNTIFS('Policy Assignments'!$C$5:$C$868,$A133,'Policy Assignments'!$B$5:$B$868,H$4,'Policy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I133" s="94" t="str">
        <x:f>IF(COUNTIFS('Policy Assignments'!$C$5:$C$868,$A133,'Policy Assignments'!$B$5:$B$868,I$4,'Policy Assignments'!$E$5:$E$868,"Hold")&gt;0,"H",IF(COUNTIFS('Policy Assignments'!$C$5:$C$868,$A133,'Policy Assignments'!$B$5:$B$868,I$4,'Policy Assignments'!$E$5:$E$868,"Core")&gt;0,"R",IF(COUNTIFS('Policy Assignments'!$C$5:$C$868,$A133,'Policy Assignments'!$B$5:$B$868,I$4,'Policy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J133" s="94" t="str">
        <x:f>IF(COUNTIFS('Policy Assignments'!$C$5:$C$868,$A133,'Policy Assignments'!$B$5:$B$868,J$4,'Policy Assignments'!$E$5:$E$868,"Hold")&gt;0,"H",IF(COUNTIFS('Policy Assignments'!$C$5:$C$868,$A133,'Policy Assignments'!$B$5:$B$868,J$4,'Policy Assignments'!$E$5:$E$868,"Core")&gt;0,"R",IF(COUNTIFS('Policy Assignments'!$C$5:$C$868,$A133,'Policy Assignments'!$B$5:$B$868,J$4,'Policy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K133" s="94" t="str">
        <x:f>IF(COUNTIFS('Policy Assignments'!$C$5:$C$868,$A133,'Policy Assignments'!$B$5:$B$868,K$4,'Policy Assignments'!$E$5:$E$868,"Hold")&gt;0,"H",IF(COUNTIFS('Policy Assignments'!$C$5:$C$868,$A133,'Policy Assignments'!$B$5:$B$868,K$4,'Policy Assignments'!$E$5:$E$868,"Core")&gt;0,"R",IF(COUNTIFS('Policy Assignments'!$C$5:$C$868,$A133,'Policy Assignments'!$B$5:$B$868,K$4,'Policy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L133" s="94" t="str">
        <x:f>IF(COUNTIFS('Policy Assignments'!$C$5:$C$868,$A133,'Policy Assignments'!$B$5:$B$868,L$4,'Policy Assignments'!$E$5:$E$868,"Hold")&gt;0,"H",IF(COUNTIFS('Policy Assignments'!$C$5:$C$868,$A133,'Policy Assignments'!$B$5:$B$868,L$4,'Policy Assignments'!$E$5:$E$868,"Core")&gt;0,"R",IF(COUNTIFS('Policy Assignments'!$C$5:$C$868,$A133,'Policy Assignments'!$B$5:$B$868,L$4,'Policy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M133" s="94" t="str">
        <x:f>IF(COUNTIFS('Policy Assignments'!$C$5:$C$868,$A133,'Policy Assignments'!$B$5:$B$868,M$4,'Policy Assignments'!$E$5:$E$868,"Hold")&gt;0,"H",IF(COUNTIFS('Policy Assignments'!$C$5:$C$868,$A133,'Policy Assignments'!$B$5:$B$868,M$4,'Policy Assignments'!$E$5:$E$868,"Core")&gt;0,"R",IF(COUNTIFS('Policy Assignments'!$C$5:$C$868,$A133,'Policy Assignments'!$B$5:$B$868,M$4,'Policy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R</x:v>
      </x:c>
      <x:c r="N133" s="94" t="str">
        <x:f>IF(COUNTIFS('Policy Assignments'!$C$5:$C$868,$A133,'Policy Assignments'!$B$5:$B$868,N$4,'Policy Assignments'!$E$5:$E$868,"Hold")&gt;0,"H",IF(COUNTIFS('Policy Assignments'!$C$5:$C$868,$A133,'Policy Assignments'!$B$5:$B$868,N$4,'Policy Assignments'!$E$5:$E$868,"Core")&gt;0,"R",IF(COUNTIFS('Policy Assignments'!$C$5:$C$868,$A133,'Policy Assignments'!$B$5:$B$868,N$4,'Policy Assignments'!$E$5:$E$868,"Conditional")&gt;0,"C",IF(COUNTIFS('Policy Assignments'!$C$5:$C$868,$A133,'Policy Assignments'!$B$5:$B$868,"General",'Policy Assignments'!$E$5:$E$868,"Hold")&gt;0,"H",IF(COUNTIFS('Policy Assignments'!$C$5:$C$868,$A133,'Policy Assignments'!$B$5:$B$868,"General",'Policy Assignments'!$E$5:$E$868,"Conditional")&gt;0,"C",IF(COUNTIFS('Policy Assignments'!$C$5:$C$868,$A133,'Policy Assignments'!$B$5:$B$868,"General")&gt;0,"G",""))))))</x:f>
        <x:v>G</x:v>
      </x:c>
      <x:c r="O133" s="94" t="str">
        <x:f>IF(COUNTIFS('Policy Assignments'!$C$5:$C$868,$A133,'Policy Assignments'!$B$5:$B$868,O$4,'Policy Assignments'!$E$5:$E$868,"Hold")&gt;0,"H",IF(COUNTIFS('Policy Assignments'!$C$5:$C$868,$A133,'Policy Assignments'!$B$5:$B$868,O$4,'Policy Assignments'!$E$5:$E$868,"Core")&gt;0,"R",IF(COUNTIFS('Policy Assignments'!$C$5:$C$868,$A133,'Policy Assignments'!$B$5:$B$868,O$4,'Policy Assignments'!$E$5:$E$868,"Conditional")&gt;0,"C","")))</x:f>
      </x:c>
      <x:c r="P133" s="90" t="str">
        <x:v>Mapped</x:v>
      </x:c>
    </x:row>
    <x:row r="134" ht="22" customHeight="1">
      <x:c r="A134" s="90" t="str">
        <x:v>HR-ER-001</x:v>
      </x:c>
      <x:c r="B134" s="90" t="str">
        <x:v>Performance Evaluation &amp; Review</x:v>
      </x:c>
      <x:c r="C134" s="94" t="str">
        <x:f>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D134" s="94" t="str">
        <x:f>IF(COUNTIFS('Policy Assignments'!$C$5:$C$868,$A134,'Policy Assignments'!$B$5:$B$868,D$4,'Policy Assignments'!$E$5:$E$868,"Hold")&gt;0,"H",IF(COUNTIFS('Policy Assignments'!$C$5:$C$868,$A134,'Policy Assignments'!$B$5:$B$868,D$4,'Policy Assignments'!$E$5:$E$868,"Core")&gt;0,"R",IF(COUNTIFS('Policy Assignments'!$C$5:$C$868,$A134,'Policy Assignments'!$B$5:$B$868,D$4,'Policy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E134" s="94" t="str">
        <x:f>IF(COUNTIFS('Policy Assignments'!$C$5:$C$868,$A134,'Policy Assignments'!$B$5:$B$868,E$4,'Policy Assignments'!$E$5:$E$868,"Hold")&gt;0,"H",IF(COUNTIFS('Policy Assignments'!$C$5:$C$868,$A134,'Policy Assignments'!$B$5:$B$868,E$4,'Policy Assignments'!$E$5:$E$868,"Core")&gt;0,"R",IF(COUNTIFS('Policy Assignments'!$C$5:$C$868,$A134,'Policy Assignments'!$B$5:$B$868,E$4,'Policy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F134" s="94" t="str">
        <x:f>IF(COUNTIFS('Policy Assignments'!$C$5:$C$868,$A134,'Policy Assignments'!$B$5:$B$868,F$4,'Policy Assignments'!$E$5:$E$868,"Hold")&gt;0,"H",IF(COUNTIFS('Policy Assignments'!$C$5:$C$868,$A134,'Policy Assignments'!$B$5:$B$868,F$4,'Policy Assignments'!$E$5:$E$868,"Core")&gt;0,"R",IF(COUNTIFS('Policy Assignments'!$C$5:$C$868,$A134,'Policy Assignments'!$B$5:$B$868,F$4,'Policy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G134" s="94" t="str">
        <x:f>IF(COUNTIFS('Policy Assignments'!$C$5:$C$868,$A134,'Policy Assignments'!$B$5:$B$868,G$4,'Policy Assignments'!$E$5:$E$868,"Hold")&gt;0,"H",IF(COUNTIFS('Policy Assignments'!$C$5:$C$868,$A134,'Policy Assignments'!$B$5:$B$868,G$4,'Policy Assignments'!$E$5:$E$868,"Core")&gt;0,"R",IF(COUNTIFS('Policy Assignments'!$C$5:$C$868,$A134,'Policy Assignments'!$B$5:$B$868,G$4,'Policy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H134" s="94" t="str">
        <x:f>IF(COUNTIFS('Policy Assignments'!$C$5:$C$868,$A134,'Policy Assignments'!$B$5:$B$868,H$4,'Policy Assignments'!$E$5:$E$868,"Hold")&gt;0,"H",IF(COUNTIFS('Policy Assignments'!$C$5:$C$868,$A134,'Policy Assignments'!$B$5:$B$868,H$4,'Policy Assignments'!$E$5:$E$868,"Core")&gt;0,"R",IF(COUNTIFS('Policy Assignments'!$C$5:$C$868,$A134,'Policy Assignments'!$B$5:$B$868,H$4,'Policy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I134" s="94" t="str">
        <x:f>IF(COUNTIFS('Policy Assignments'!$C$5:$C$868,$A134,'Policy Assignments'!$B$5:$B$868,I$4,'Policy Assignments'!$E$5:$E$868,"Hold")&gt;0,"H",IF(COUNTIFS('Policy Assignments'!$C$5:$C$868,$A134,'Policy Assignments'!$B$5:$B$868,I$4,'Policy Assignments'!$E$5:$E$868,"Core")&gt;0,"R",IF(COUNTIFS('Policy Assignments'!$C$5:$C$868,$A134,'Policy Assignments'!$B$5:$B$868,I$4,'Policy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J134" s="94" t="str">
        <x:f>IF(COUNTIFS('Policy Assignments'!$C$5:$C$868,$A134,'Policy Assignments'!$B$5:$B$868,J$4,'Policy Assignments'!$E$5:$E$868,"Hold")&gt;0,"H",IF(COUNTIFS('Policy Assignments'!$C$5:$C$868,$A134,'Policy Assignments'!$B$5:$B$868,J$4,'Policy Assignments'!$E$5:$E$868,"Core")&gt;0,"R",IF(COUNTIFS('Policy Assignments'!$C$5:$C$868,$A134,'Policy Assignments'!$B$5:$B$868,J$4,'Policy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K134" s="94" t="str">
        <x:f>IF(COUNTIFS('Policy Assignments'!$C$5:$C$868,$A134,'Policy Assignments'!$B$5:$B$868,K$4,'Policy Assignments'!$E$5:$E$868,"Hold")&gt;0,"H",IF(COUNTIFS('Policy Assignments'!$C$5:$C$868,$A134,'Policy Assignments'!$B$5:$B$868,K$4,'Policy Assignments'!$E$5:$E$868,"Core")&gt;0,"R",IF(COUNTIFS('Policy Assignments'!$C$5:$C$868,$A134,'Policy Assignments'!$B$5:$B$868,K$4,'Policy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L134" s="94" t="str">
        <x:f>IF(COUNTIFS('Policy Assignments'!$C$5:$C$868,$A134,'Policy Assignments'!$B$5:$B$868,L$4,'Policy Assignments'!$E$5:$E$868,"Hold")&gt;0,"H",IF(COUNTIFS('Policy Assignments'!$C$5:$C$868,$A134,'Policy Assignments'!$B$5:$B$868,L$4,'Policy Assignments'!$E$5:$E$868,"Core")&gt;0,"R",IF(COUNTIFS('Policy Assignments'!$C$5:$C$868,$A134,'Policy Assignments'!$B$5:$B$868,L$4,'Policy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c>
      <x:c r="M134" s="94" t="str">
        <x:f>IF(COUNTIFS('Policy Assignments'!$C$5:$C$868,$A134,'Policy Assignments'!$B$5:$B$868,M$4,'Policy Assignments'!$E$5:$E$868,"Hold")&gt;0,"H",IF(COUNTIFS('Policy Assignments'!$C$5:$C$868,$A134,'Policy Assignments'!$B$5:$B$868,M$4,'Policy Assignments'!$E$5:$E$868,"Core")&gt;0,"R",IF(COUNTIFS('Policy Assignments'!$C$5:$C$868,$A134,'Policy Assignments'!$B$5:$B$868,M$4,'Policy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v>R</x:v>
      </x:c>
      <x:c r="N134" s="94" t="str">
        <x:f>IF(COUNTIFS('Policy Assignments'!$C$5:$C$868,$A134,'Policy Assignments'!$B$5:$B$868,N$4,'Policy Assignments'!$E$5:$E$868,"Hold")&gt;0,"H",IF(COUNTIFS('Policy Assignments'!$C$5:$C$868,$A134,'Policy Assignments'!$B$5:$B$868,N$4,'Policy Assignments'!$E$5:$E$868,"Core")&gt;0,"R",IF(COUNTIFS('Policy Assignments'!$C$5:$C$868,$A134,'Policy Assignments'!$B$5:$B$868,N$4,'Policy Assignments'!$E$5:$E$868,"Conditional")&gt;0,"C",IF(COUNTIFS('Policy Assignments'!$C$5:$C$868,$A134,'Policy Assignments'!$B$5:$B$868,"General",'Policy Assignments'!$E$5:$E$868,"Hold")&gt;0,"H",IF(COUNTIFS('Policy Assignments'!$C$5:$C$868,$A134,'Policy Assignments'!$B$5:$B$868,"General",'Policy Assignments'!$E$5:$E$868,"Conditional")&gt;0,"C",IF(COUNTIFS('Policy Assignments'!$C$5:$C$868,$A134,'Policy Assignments'!$B$5:$B$868,"General")&gt;0,"G",""))))))</x:f>
        <x:v>R</x:v>
      </x:c>
      <x:c r="O134" s="94" t="str">
        <x:f>IF(COUNTIFS('Policy Assignments'!$C$5:$C$868,$A134,'Policy Assignments'!$B$5:$B$868,O$4,'Policy Assignments'!$E$5:$E$868,"Hold")&gt;0,"H",IF(COUNTIFS('Policy Assignments'!$C$5:$C$868,$A134,'Policy Assignments'!$B$5:$B$868,O$4,'Policy Assignments'!$E$5:$E$868,"Core")&gt;0,"R",IF(COUNTIFS('Policy Assignments'!$C$5:$C$868,$A134,'Policy Assignments'!$B$5:$B$868,O$4,'Policy Assignments'!$E$5:$E$868,"Conditional")&gt;0,"C","")))</x:f>
      </x:c>
      <x:c r="P134" s="90" t="str">
        <x:v>Mapped</x:v>
      </x:c>
    </x:row>
    <x:row r="135" ht="22" customHeight="1">
      <x:c r="A135" s="90" t="str">
        <x:v>HR-ER-002</x:v>
      </x:c>
      <x:c r="B135" s="90" t="str">
        <x:v>Disciplinary Action &amp; Progressive Discipline</x:v>
      </x:c>
      <x:c r="C135" s="94" t="str">
        <x:f>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D135" s="94" t="str">
        <x:f>IF(COUNTIFS('Policy Assignments'!$C$5:$C$868,$A135,'Policy Assignments'!$B$5:$B$868,D$4,'Policy Assignments'!$E$5:$E$868,"Hold")&gt;0,"H",IF(COUNTIFS('Policy Assignments'!$C$5:$C$868,$A135,'Policy Assignments'!$B$5:$B$868,D$4,'Policy Assignments'!$E$5:$E$868,"Core")&gt;0,"R",IF(COUNTIFS('Policy Assignments'!$C$5:$C$868,$A135,'Policy Assignments'!$B$5:$B$868,D$4,'Policy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E135" s="94" t="str">
        <x:f>IF(COUNTIFS('Policy Assignments'!$C$5:$C$868,$A135,'Policy Assignments'!$B$5:$B$868,E$4,'Policy Assignments'!$E$5:$E$868,"Hold")&gt;0,"H",IF(COUNTIFS('Policy Assignments'!$C$5:$C$868,$A135,'Policy Assignments'!$B$5:$B$868,E$4,'Policy Assignments'!$E$5:$E$868,"Core")&gt;0,"R",IF(COUNTIFS('Policy Assignments'!$C$5:$C$868,$A135,'Policy Assignments'!$B$5:$B$868,E$4,'Policy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F135" s="94" t="str">
        <x:f>IF(COUNTIFS('Policy Assignments'!$C$5:$C$868,$A135,'Policy Assignments'!$B$5:$B$868,F$4,'Policy Assignments'!$E$5:$E$868,"Hold")&gt;0,"H",IF(COUNTIFS('Policy Assignments'!$C$5:$C$868,$A135,'Policy Assignments'!$B$5:$B$868,F$4,'Policy Assignments'!$E$5:$E$868,"Core")&gt;0,"R",IF(COUNTIFS('Policy Assignments'!$C$5:$C$868,$A135,'Policy Assignments'!$B$5:$B$868,F$4,'Policy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G135" s="94" t="str">
        <x:f>IF(COUNTIFS('Policy Assignments'!$C$5:$C$868,$A135,'Policy Assignments'!$B$5:$B$868,G$4,'Policy Assignments'!$E$5:$E$868,"Hold")&gt;0,"H",IF(COUNTIFS('Policy Assignments'!$C$5:$C$868,$A135,'Policy Assignments'!$B$5:$B$868,G$4,'Policy Assignments'!$E$5:$E$868,"Core")&gt;0,"R",IF(COUNTIFS('Policy Assignments'!$C$5:$C$868,$A135,'Policy Assignments'!$B$5:$B$868,G$4,'Policy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H135" s="94" t="str">
        <x:f>IF(COUNTIFS('Policy Assignments'!$C$5:$C$868,$A135,'Policy Assignments'!$B$5:$B$868,H$4,'Policy Assignments'!$E$5:$E$868,"Hold")&gt;0,"H",IF(COUNTIFS('Policy Assignments'!$C$5:$C$868,$A135,'Policy Assignments'!$B$5:$B$868,H$4,'Policy Assignments'!$E$5:$E$868,"Core")&gt;0,"R",IF(COUNTIFS('Policy Assignments'!$C$5:$C$868,$A135,'Policy Assignments'!$B$5:$B$868,H$4,'Policy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I135" s="94" t="str">
        <x:f>IF(COUNTIFS('Policy Assignments'!$C$5:$C$868,$A135,'Policy Assignments'!$B$5:$B$868,I$4,'Policy Assignments'!$E$5:$E$868,"Hold")&gt;0,"H",IF(COUNTIFS('Policy Assignments'!$C$5:$C$868,$A135,'Policy Assignments'!$B$5:$B$868,I$4,'Policy Assignments'!$E$5:$E$868,"Core")&gt;0,"R",IF(COUNTIFS('Policy Assignments'!$C$5:$C$868,$A135,'Policy Assignments'!$B$5:$B$868,I$4,'Policy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J135" s="94" t="str">
        <x:f>IF(COUNTIFS('Policy Assignments'!$C$5:$C$868,$A135,'Policy Assignments'!$B$5:$B$868,J$4,'Policy Assignments'!$E$5:$E$868,"Hold")&gt;0,"H",IF(COUNTIFS('Policy Assignments'!$C$5:$C$868,$A135,'Policy Assignments'!$B$5:$B$868,J$4,'Policy Assignments'!$E$5:$E$868,"Core")&gt;0,"R",IF(COUNTIFS('Policy Assignments'!$C$5:$C$868,$A135,'Policy Assignments'!$B$5:$B$868,J$4,'Policy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K135" s="94" t="str">
        <x:f>IF(COUNTIFS('Policy Assignments'!$C$5:$C$868,$A135,'Policy Assignments'!$B$5:$B$868,K$4,'Policy Assignments'!$E$5:$E$868,"Hold")&gt;0,"H",IF(COUNTIFS('Policy Assignments'!$C$5:$C$868,$A135,'Policy Assignments'!$B$5:$B$868,K$4,'Policy Assignments'!$E$5:$E$868,"Core")&gt;0,"R",IF(COUNTIFS('Policy Assignments'!$C$5:$C$868,$A135,'Policy Assignments'!$B$5:$B$868,K$4,'Policy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L135" s="94" t="str">
        <x:f>IF(COUNTIFS('Policy Assignments'!$C$5:$C$868,$A135,'Policy Assignments'!$B$5:$B$868,L$4,'Policy Assignments'!$E$5:$E$868,"Hold")&gt;0,"H",IF(COUNTIFS('Policy Assignments'!$C$5:$C$868,$A135,'Policy Assignments'!$B$5:$B$868,L$4,'Policy Assignments'!$E$5:$E$868,"Core")&gt;0,"R",IF(COUNTIFS('Policy Assignments'!$C$5:$C$868,$A135,'Policy Assignments'!$B$5:$B$868,L$4,'Policy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G</x:v>
      </x:c>
      <x:c r="M135" s="94" t="str">
        <x:f>IF(COUNTIFS('Policy Assignments'!$C$5:$C$868,$A135,'Policy Assignments'!$B$5:$B$868,M$4,'Policy Assignments'!$E$5:$E$868,"Hold")&gt;0,"H",IF(COUNTIFS('Policy Assignments'!$C$5:$C$868,$A135,'Policy Assignments'!$B$5:$B$868,M$4,'Policy Assignments'!$E$5:$E$868,"Core")&gt;0,"R",IF(COUNTIFS('Policy Assignments'!$C$5:$C$868,$A135,'Policy Assignments'!$B$5:$B$868,M$4,'Policy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R</x:v>
      </x:c>
      <x:c r="N135" s="94" t="str">
        <x:f>IF(COUNTIFS('Policy Assignments'!$C$5:$C$868,$A135,'Policy Assignments'!$B$5:$B$868,N$4,'Policy Assignments'!$E$5:$E$868,"Hold")&gt;0,"H",IF(COUNTIFS('Policy Assignments'!$C$5:$C$868,$A135,'Policy Assignments'!$B$5:$B$868,N$4,'Policy Assignments'!$E$5:$E$868,"Core")&gt;0,"R",IF(COUNTIFS('Policy Assignments'!$C$5:$C$868,$A135,'Policy Assignments'!$B$5:$B$868,N$4,'Policy Assignments'!$E$5:$E$868,"Conditional")&gt;0,"C",IF(COUNTIFS('Policy Assignments'!$C$5:$C$868,$A135,'Policy Assignments'!$B$5:$B$868,"General",'Policy Assignments'!$E$5:$E$868,"Hold")&gt;0,"H",IF(COUNTIFS('Policy Assignments'!$C$5:$C$868,$A135,'Policy Assignments'!$B$5:$B$868,"General",'Policy Assignments'!$E$5:$E$868,"Conditional")&gt;0,"C",IF(COUNTIFS('Policy Assignments'!$C$5:$C$868,$A135,'Policy Assignments'!$B$5:$B$868,"General")&gt;0,"G",""))))))</x:f>
        <x:v>R</x:v>
      </x:c>
      <x:c r="O135" s="94" t="str">
        <x:f>IF(COUNTIFS('Policy Assignments'!$C$5:$C$868,$A135,'Policy Assignments'!$B$5:$B$868,O$4,'Policy Assignments'!$E$5:$E$868,"Hold")&gt;0,"H",IF(COUNTIFS('Policy Assignments'!$C$5:$C$868,$A135,'Policy Assignments'!$B$5:$B$868,O$4,'Policy Assignments'!$E$5:$E$868,"Core")&gt;0,"R",IF(COUNTIFS('Policy Assignments'!$C$5:$C$868,$A135,'Policy Assignments'!$B$5:$B$868,O$4,'Policy Assignments'!$E$5:$E$868,"Conditional")&gt;0,"C","")))</x:f>
      </x:c>
      <x:c r="P135" s="90" t="str">
        <x:v>Mapped</x:v>
      </x:c>
    </x:row>
    <x:row r="136" ht="22" customHeight="1">
      <x:c r="A136" s="90" t="str">
        <x:v>HR-ER-003</x:v>
      </x:c>
      <x:c r="B136" s="90" t="str">
        <x:v>Employee Grievance &amp; Complaint Process</x:v>
      </x:c>
      <x:c r="C136" s="94" t="str">
        <x:f>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D136" s="94" t="str">
        <x:f>IF(COUNTIFS('Policy Assignments'!$C$5:$C$868,$A136,'Policy Assignments'!$B$5:$B$868,D$4,'Policy Assignments'!$E$5:$E$868,"Hold")&gt;0,"H",IF(COUNTIFS('Policy Assignments'!$C$5:$C$868,$A136,'Policy Assignments'!$B$5:$B$868,D$4,'Policy Assignments'!$E$5:$E$868,"Core")&gt;0,"R",IF(COUNTIFS('Policy Assignments'!$C$5:$C$868,$A136,'Policy Assignments'!$B$5:$B$868,D$4,'Policy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E136" s="94" t="str">
        <x:f>IF(COUNTIFS('Policy Assignments'!$C$5:$C$868,$A136,'Policy Assignments'!$B$5:$B$868,E$4,'Policy Assignments'!$E$5:$E$868,"Hold")&gt;0,"H",IF(COUNTIFS('Policy Assignments'!$C$5:$C$868,$A136,'Policy Assignments'!$B$5:$B$868,E$4,'Policy Assignments'!$E$5:$E$868,"Core")&gt;0,"R",IF(COUNTIFS('Policy Assignments'!$C$5:$C$868,$A136,'Policy Assignments'!$B$5:$B$868,E$4,'Policy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F136" s="94" t="str">
        <x:f>IF(COUNTIFS('Policy Assignments'!$C$5:$C$868,$A136,'Policy Assignments'!$B$5:$B$868,F$4,'Policy Assignments'!$E$5:$E$868,"Hold")&gt;0,"H",IF(COUNTIFS('Policy Assignments'!$C$5:$C$868,$A136,'Policy Assignments'!$B$5:$B$868,F$4,'Policy Assignments'!$E$5:$E$868,"Core")&gt;0,"R",IF(COUNTIFS('Policy Assignments'!$C$5:$C$868,$A136,'Policy Assignments'!$B$5:$B$868,F$4,'Policy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G136" s="94" t="str">
        <x:f>IF(COUNTIFS('Policy Assignments'!$C$5:$C$868,$A136,'Policy Assignments'!$B$5:$B$868,G$4,'Policy Assignments'!$E$5:$E$868,"Hold")&gt;0,"H",IF(COUNTIFS('Policy Assignments'!$C$5:$C$868,$A136,'Policy Assignments'!$B$5:$B$868,G$4,'Policy Assignments'!$E$5:$E$868,"Core")&gt;0,"R",IF(COUNTIFS('Policy Assignments'!$C$5:$C$868,$A136,'Policy Assignments'!$B$5:$B$868,G$4,'Policy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H136" s="94" t="str">
        <x:f>IF(COUNTIFS('Policy Assignments'!$C$5:$C$868,$A136,'Policy Assignments'!$B$5:$B$868,H$4,'Policy Assignments'!$E$5:$E$868,"Hold")&gt;0,"H",IF(COUNTIFS('Policy Assignments'!$C$5:$C$868,$A136,'Policy Assignments'!$B$5:$B$868,H$4,'Policy Assignments'!$E$5:$E$868,"Core")&gt;0,"R",IF(COUNTIFS('Policy Assignments'!$C$5:$C$868,$A136,'Policy Assignments'!$B$5:$B$868,H$4,'Policy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I136" s="94" t="str">
        <x:f>IF(COUNTIFS('Policy Assignments'!$C$5:$C$868,$A136,'Policy Assignments'!$B$5:$B$868,I$4,'Policy Assignments'!$E$5:$E$868,"Hold")&gt;0,"H",IF(COUNTIFS('Policy Assignments'!$C$5:$C$868,$A136,'Policy Assignments'!$B$5:$B$868,I$4,'Policy Assignments'!$E$5:$E$868,"Core")&gt;0,"R",IF(COUNTIFS('Policy Assignments'!$C$5:$C$868,$A136,'Policy Assignments'!$B$5:$B$868,I$4,'Policy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J136" s="94" t="str">
        <x:f>IF(COUNTIFS('Policy Assignments'!$C$5:$C$868,$A136,'Policy Assignments'!$B$5:$B$868,J$4,'Policy Assignments'!$E$5:$E$868,"Hold")&gt;0,"H",IF(COUNTIFS('Policy Assignments'!$C$5:$C$868,$A136,'Policy Assignments'!$B$5:$B$868,J$4,'Policy Assignments'!$E$5:$E$868,"Core")&gt;0,"R",IF(COUNTIFS('Policy Assignments'!$C$5:$C$868,$A136,'Policy Assignments'!$B$5:$B$868,J$4,'Policy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K136" s="94" t="str">
        <x:f>IF(COUNTIFS('Policy Assignments'!$C$5:$C$868,$A136,'Policy Assignments'!$B$5:$B$868,K$4,'Policy Assignments'!$E$5:$E$868,"Hold")&gt;0,"H",IF(COUNTIFS('Policy Assignments'!$C$5:$C$868,$A136,'Policy Assignments'!$B$5:$B$868,K$4,'Policy Assignments'!$E$5:$E$868,"Core")&gt;0,"R",IF(COUNTIFS('Policy Assignments'!$C$5:$C$868,$A136,'Policy Assignments'!$B$5:$B$868,K$4,'Policy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L136" s="94" t="str">
        <x:f>IF(COUNTIFS('Policy Assignments'!$C$5:$C$868,$A136,'Policy Assignments'!$B$5:$B$868,L$4,'Policy Assignments'!$E$5:$E$868,"Hold")&gt;0,"H",IF(COUNTIFS('Policy Assignments'!$C$5:$C$868,$A136,'Policy Assignments'!$B$5:$B$868,L$4,'Policy Assignments'!$E$5:$E$868,"Core")&gt;0,"R",IF(COUNTIFS('Policy Assignments'!$C$5:$C$868,$A136,'Policy Assignments'!$B$5:$B$868,L$4,'Policy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M136" s="94" t="str">
        <x:f>IF(COUNTIFS('Policy Assignments'!$C$5:$C$868,$A136,'Policy Assignments'!$B$5:$B$868,M$4,'Policy Assignments'!$E$5:$E$868,"Hold")&gt;0,"H",IF(COUNTIFS('Policy Assignments'!$C$5:$C$868,$A136,'Policy Assignments'!$B$5:$B$868,M$4,'Policy Assignments'!$E$5:$E$868,"Core")&gt;0,"R",IF(COUNTIFS('Policy Assignments'!$C$5:$C$868,$A136,'Policy Assignments'!$B$5:$B$868,M$4,'Policy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N136" s="94" t="str">
        <x:f>IF(COUNTIFS('Policy Assignments'!$C$5:$C$868,$A136,'Policy Assignments'!$B$5:$B$868,N$4,'Policy Assignments'!$E$5:$E$868,"Hold")&gt;0,"H",IF(COUNTIFS('Policy Assignments'!$C$5:$C$868,$A136,'Policy Assignments'!$B$5:$B$868,N$4,'Policy Assignments'!$E$5:$E$868,"Core")&gt;0,"R",IF(COUNTIFS('Policy Assignments'!$C$5:$C$868,$A136,'Policy Assignments'!$B$5:$B$868,N$4,'Policy Assignments'!$E$5:$E$868,"Conditional")&gt;0,"C",IF(COUNTIFS('Policy Assignments'!$C$5:$C$868,$A136,'Policy Assignments'!$B$5:$B$868,"General",'Policy Assignments'!$E$5:$E$868,"Hold")&gt;0,"H",IF(COUNTIFS('Policy Assignments'!$C$5:$C$868,$A136,'Policy Assignments'!$B$5:$B$868,"General",'Policy Assignments'!$E$5:$E$868,"Conditional")&gt;0,"C",IF(COUNTIFS('Policy Assignments'!$C$5:$C$868,$A136,'Policy Assignments'!$B$5:$B$868,"General")&gt;0,"G",""))))))</x:f>
        <x:v>G</x:v>
      </x:c>
      <x:c r="O136" s="94" t="str">
        <x:f>IF(COUNTIFS('Policy Assignments'!$C$5:$C$868,$A136,'Policy Assignments'!$B$5:$B$868,O$4,'Policy Assignments'!$E$5:$E$868,"Hold")&gt;0,"H",IF(COUNTIFS('Policy Assignments'!$C$5:$C$868,$A136,'Policy Assignments'!$B$5:$B$868,O$4,'Policy Assignments'!$E$5:$E$868,"Core")&gt;0,"R",IF(COUNTIFS('Policy Assignments'!$C$5:$C$868,$A136,'Policy Assignments'!$B$5:$B$868,O$4,'Policy Assignments'!$E$5:$E$868,"Conditional")&gt;0,"C","")))</x:f>
      </x:c>
      <x:c r="P136" s="90" t="str">
        <x:v>Mapped</x:v>
      </x:c>
    </x:row>
    <x:row r="137" ht="22" customHeight="1">
      <x:c r="A137" s="90" t="str">
        <x:v>HR-ER-004</x:v>
      </x:c>
      <x:c r="B137" s="90" t="str">
        <x:v>Anti-Harassment &amp; Non-Discrimination</x:v>
      </x:c>
      <x:c r="C137" s="94" t="str">
        <x:f>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D137" s="94" t="str">
        <x:f>IF(COUNTIFS('Policy Assignments'!$C$5:$C$868,$A137,'Policy Assignments'!$B$5:$B$868,D$4,'Policy Assignments'!$E$5:$E$868,"Hold")&gt;0,"H",IF(COUNTIFS('Policy Assignments'!$C$5:$C$868,$A137,'Policy Assignments'!$B$5:$B$868,D$4,'Policy Assignments'!$E$5:$E$868,"Core")&gt;0,"R",IF(COUNTIFS('Policy Assignments'!$C$5:$C$868,$A137,'Policy Assignments'!$B$5:$B$868,D$4,'Policy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E137" s="94" t="str">
        <x:f>IF(COUNTIFS('Policy Assignments'!$C$5:$C$868,$A137,'Policy Assignments'!$B$5:$B$868,E$4,'Policy Assignments'!$E$5:$E$868,"Hold")&gt;0,"H",IF(COUNTIFS('Policy Assignments'!$C$5:$C$868,$A137,'Policy Assignments'!$B$5:$B$868,E$4,'Policy Assignments'!$E$5:$E$868,"Core")&gt;0,"R",IF(COUNTIFS('Policy Assignments'!$C$5:$C$868,$A137,'Policy Assignments'!$B$5:$B$868,E$4,'Policy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F137" s="94" t="str">
        <x:f>IF(COUNTIFS('Policy Assignments'!$C$5:$C$868,$A137,'Policy Assignments'!$B$5:$B$868,F$4,'Policy Assignments'!$E$5:$E$868,"Hold")&gt;0,"H",IF(COUNTIFS('Policy Assignments'!$C$5:$C$868,$A137,'Policy Assignments'!$B$5:$B$868,F$4,'Policy Assignments'!$E$5:$E$868,"Core")&gt;0,"R",IF(COUNTIFS('Policy Assignments'!$C$5:$C$868,$A137,'Policy Assignments'!$B$5:$B$868,F$4,'Policy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G137" s="94" t="str">
        <x:f>IF(COUNTIFS('Policy Assignments'!$C$5:$C$868,$A137,'Policy Assignments'!$B$5:$B$868,G$4,'Policy Assignments'!$E$5:$E$868,"Hold")&gt;0,"H",IF(COUNTIFS('Policy Assignments'!$C$5:$C$868,$A137,'Policy Assignments'!$B$5:$B$868,G$4,'Policy Assignments'!$E$5:$E$868,"Core")&gt;0,"R",IF(COUNTIFS('Policy Assignments'!$C$5:$C$868,$A137,'Policy Assignments'!$B$5:$B$868,G$4,'Policy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H137" s="94" t="str">
        <x:f>IF(COUNTIFS('Policy Assignments'!$C$5:$C$868,$A137,'Policy Assignments'!$B$5:$B$868,H$4,'Policy Assignments'!$E$5:$E$868,"Hold")&gt;0,"H",IF(COUNTIFS('Policy Assignments'!$C$5:$C$868,$A137,'Policy Assignments'!$B$5:$B$868,H$4,'Policy Assignments'!$E$5:$E$868,"Core")&gt;0,"R",IF(COUNTIFS('Policy Assignments'!$C$5:$C$868,$A137,'Policy Assignments'!$B$5:$B$868,H$4,'Policy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I137" s="94" t="str">
        <x:f>IF(COUNTIFS('Policy Assignments'!$C$5:$C$868,$A137,'Policy Assignments'!$B$5:$B$868,I$4,'Policy Assignments'!$E$5:$E$868,"Hold")&gt;0,"H",IF(COUNTIFS('Policy Assignments'!$C$5:$C$868,$A137,'Policy Assignments'!$B$5:$B$868,I$4,'Policy Assignments'!$E$5:$E$868,"Core")&gt;0,"R",IF(COUNTIFS('Policy Assignments'!$C$5:$C$868,$A137,'Policy Assignments'!$B$5:$B$868,I$4,'Policy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J137" s="94" t="str">
        <x:f>IF(COUNTIFS('Policy Assignments'!$C$5:$C$868,$A137,'Policy Assignments'!$B$5:$B$868,J$4,'Policy Assignments'!$E$5:$E$868,"Hold")&gt;0,"H",IF(COUNTIFS('Policy Assignments'!$C$5:$C$868,$A137,'Policy Assignments'!$B$5:$B$868,J$4,'Policy Assignments'!$E$5:$E$868,"Core")&gt;0,"R",IF(COUNTIFS('Policy Assignments'!$C$5:$C$868,$A137,'Policy Assignments'!$B$5:$B$868,J$4,'Policy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K137" s="94" t="str">
        <x:f>IF(COUNTIFS('Policy Assignments'!$C$5:$C$868,$A137,'Policy Assignments'!$B$5:$B$868,K$4,'Policy Assignments'!$E$5:$E$868,"Hold")&gt;0,"H",IF(COUNTIFS('Policy Assignments'!$C$5:$C$868,$A137,'Policy Assignments'!$B$5:$B$868,K$4,'Policy Assignments'!$E$5:$E$868,"Core")&gt;0,"R",IF(COUNTIFS('Policy Assignments'!$C$5:$C$868,$A137,'Policy Assignments'!$B$5:$B$868,K$4,'Policy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L137" s="94" t="str">
        <x:f>IF(COUNTIFS('Policy Assignments'!$C$5:$C$868,$A137,'Policy Assignments'!$B$5:$B$868,L$4,'Policy Assignments'!$E$5:$E$868,"Hold")&gt;0,"H",IF(COUNTIFS('Policy Assignments'!$C$5:$C$868,$A137,'Policy Assignments'!$B$5:$B$868,L$4,'Policy Assignments'!$E$5:$E$868,"Core")&gt;0,"R",IF(COUNTIFS('Policy Assignments'!$C$5:$C$868,$A137,'Policy Assignments'!$B$5:$B$868,L$4,'Policy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M137" s="94" t="str">
        <x:f>IF(COUNTIFS('Policy Assignments'!$C$5:$C$868,$A137,'Policy Assignments'!$B$5:$B$868,M$4,'Policy Assignments'!$E$5:$E$868,"Hold")&gt;0,"H",IF(COUNTIFS('Policy Assignments'!$C$5:$C$868,$A137,'Policy Assignments'!$B$5:$B$868,M$4,'Policy Assignments'!$E$5:$E$868,"Core")&gt;0,"R",IF(COUNTIFS('Policy Assignments'!$C$5:$C$868,$A137,'Policy Assignments'!$B$5:$B$868,M$4,'Policy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N137" s="94" t="str">
        <x:f>IF(COUNTIFS('Policy Assignments'!$C$5:$C$868,$A137,'Policy Assignments'!$B$5:$B$868,N$4,'Policy Assignments'!$E$5:$E$868,"Hold")&gt;0,"H",IF(COUNTIFS('Policy Assignments'!$C$5:$C$868,$A137,'Policy Assignments'!$B$5:$B$868,N$4,'Policy Assignments'!$E$5:$E$868,"Core")&gt;0,"R",IF(COUNTIFS('Policy Assignments'!$C$5:$C$868,$A137,'Policy Assignments'!$B$5:$B$868,N$4,'Policy Assignments'!$E$5:$E$868,"Conditional")&gt;0,"C",IF(COUNTIFS('Policy Assignments'!$C$5:$C$868,$A137,'Policy Assignments'!$B$5:$B$868,"General",'Policy Assignments'!$E$5:$E$868,"Hold")&gt;0,"H",IF(COUNTIFS('Policy Assignments'!$C$5:$C$868,$A137,'Policy Assignments'!$B$5:$B$868,"General",'Policy Assignments'!$E$5:$E$868,"Conditional")&gt;0,"C",IF(COUNTIFS('Policy Assignments'!$C$5:$C$868,$A137,'Policy Assignments'!$B$5:$B$868,"General")&gt;0,"G",""))))))</x:f>
        <x:v>H</x:v>
      </x:c>
      <x:c r="O137" s="94" t="str">
        <x:f>IF(COUNTIFS('Policy Assignments'!$C$5:$C$868,$A137,'Policy Assignments'!$B$5:$B$868,O$4,'Policy Assignments'!$E$5:$E$868,"Hold")&gt;0,"H",IF(COUNTIFS('Policy Assignments'!$C$5:$C$868,$A137,'Policy Assignments'!$B$5:$B$868,O$4,'Policy Assignments'!$E$5:$E$868,"Core")&gt;0,"R",IF(COUNTIFS('Policy Assignments'!$C$5:$C$868,$A137,'Policy Assignments'!$B$5:$B$868,O$4,'Policy Assignments'!$E$5:$E$868,"Conditional")&gt;0,"C","")))</x:f>
      </x:c>
      <x:c r="P137" s="90" t="str">
        <x:v>Hold/correction required</x:v>
      </x:c>
    </x:row>
    <x:row r="138" ht="22" customHeight="1">
      <x:c r="A138" s="90" t="str">
        <x:v>HR-ER-005</x:v>
      </x:c>
      <x:c r="B138" s="90" t="str">
        <x:v>Substance Abuse &amp; Drug-Free Workplace</x:v>
      </x:c>
      <x:c r="C138" s="94" t="str">
        <x:f>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D138" s="94" t="str">
        <x:f>IF(COUNTIFS('Policy Assignments'!$C$5:$C$868,$A138,'Policy Assignments'!$B$5:$B$868,D$4,'Policy Assignments'!$E$5:$E$868,"Hold")&gt;0,"H",IF(COUNTIFS('Policy Assignments'!$C$5:$C$868,$A138,'Policy Assignments'!$B$5:$B$868,D$4,'Policy Assignments'!$E$5:$E$868,"Core")&gt;0,"R",IF(COUNTIFS('Policy Assignments'!$C$5:$C$868,$A138,'Policy Assignments'!$B$5:$B$868,D$4,'Policy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E138" s="94" t="str">
        <x:f>IF(COUNTIFS('Policy Assignments'!$C$5:$C$868,$A138,'Policy Assignments'!$B$5:$B$868,E$4,'Policy Assignments'!$E$5:$E$868,"Hold")&gt;0,"H",IF(COUNTIFS('Policy Assignments'!$C$5:$C$868,$A138,'Policy Assignments'!$B$5:$B$868,E$4,'Policy Assignments'!$E$5:$E$868,"Core")&gt;0,"R",IF(COUNTIFS('Policy Assignments'!$C$5:$C$868,$A138,'Policy Assignments'!$B$5:$B$868,E$4,'Policy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F138" s="94" t="str">
        <x:f>IF(COUNTIFS('Policy Assignments'!$C$5:$C$868,$A138,'Policy Assignments'!$B$5:$B$868,F$4,'Policy Assignments'!$E$5:$E$868,"Hold")&gt;0,"H",IF(COUNTIFS('Policy Assignments'!$C$5:$C$868,$A138,'Policy Assignments'!$B$5:$B$868,F$4,'Policy Assignments'!$E$5:$E$868,"Core")&gt;0,"R",IF(COUNTIFS('Policy Assignments'!$C$5:$C$868,$A138,'Policy Assignments'!$B$5:$B$868,F$4,'Policy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G138" s="94" t="str">
        <x:f>IF(COUNTIFS('Policy Assignments'!$C$5:$C$868,$A138,'Policy Assignments'!$B$5:$B$868,G$4,'Policy Assignments'!$E$5:$E$868,"Hold")&gt;0,"H",IF(COUNTIFS('Policy Assignments'!$C$5:$C$868,$A138,'Policy Assignments'!$B$5:$B$868,G$4,'Policy Assignments'!$E$5:$E$868,"Core")&gt;0,"R",IF(COUNTIFS('Policy Assignments'!$C$5:$C$868,$A138,'Policy Assignments'!$B$5:$B$868,G$4,'Policy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H138" s="94" t="str">
        <x:f>IF(COUNTIFS('Policy Assignments'!$C$5:$C$868,$A138,'Policy Assignments'!$B$5:$B$868,H$4,'Policy Assignments'!$E$5:$E$868,"Hold")&gt;0,"H",IF(COUNTIFS('Policy Assignments'!$C$5:$C$868,$A138,'Policy Assignments'!$B$5:$B$868,H$4,'Policy Assignments'!$E$5:$E$868,"Core")&gt;0,"R",IF(COUNTIFS('Policy Assignments'!$C$5:$C$868,$A138,'Policy Assignments'!$B$5:$B$868,H$4,'Policy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I138" s="94" t="str">
        <x:f>IF(COUNTIFS('Policy Assignments'!$C$5:$C$868,$A138,'Policy Assignments'!$B$5:$B$868,I$4,'Policy Assignments'!$E$5:$E$868,"Hold")&gt;0,"H",IF(COUNTIFS('Policy Assignments'!$C$5:$C$868,$A138,'Policy Assignments'!$B$5:$B$868,I$4,'Policy Assignments'!$E$5:$E$868,"Core")&gt;0,"R",IF(COUNTIFS('Policy Assignments'!$C$5:$C$868,$A138,'Policy Assignments'!$B$5:$B$868,I$4,'Policy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J138" s="94" t="str">
        <x:f>IF(COUNTIFS('Policy Assignments'!$C$5:$C$868,$A138,'Policy Assignments'!$B$5:$B$868,J$4,'Policy Assignments'!$E$5:$E$868,"Hold")&gt;0,"H",IF(COUNTIFS('Policy Assignments'!$C$5:$C$868,$A138,'Policy Assignments'!$B$5:$B$868,J$4,'Policy Assignments'!$E$5:$E$868,"Core")&gt;0,"R",IF(COUNTIFS('Policy Assignments'!$C$5:$C$868,$A138,'Policy Assignments'!$B$5:$B$868,J$4,'Policy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K138" s="94" t="str">
        <x:f>IF(COUNTIFS('Policy Assignments'!$C$5:$C$868,$A138,'Policy Assignments'!$B$5:$B$868,K$4,'Policy Assignments'!$E$5:$E$868,"Hold")&gt;0,"H",IF(COUNTIFS('Policy Assignments'!$C$5:$C$868,$A138,'Policy Assignments'!$B$5:$B$868,K$4,'Policy Assignments'!$E$5:$E$868,"Core")&gt;0,"R",IF(COUNTIFS('Policy Assignments'!$C$5:$C$868,$A138,'Policy Assignments'!$B$5:$B$868,K$4,'Policy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L138" s="94" t="str">
        <x:f>IF(COUNTIFS('Policy Assignments'!$C$5:$C$868,$A138,'Policy Assignments'!$B$5:$B$868,L$4,'Policy Assignments'!$E$5:$E$868,"Hold")&gt;0,"H",IF(COUNTIFS('Policy Assignments'!$C$5:$C$868,$A138,'Policy Assignments'!$B$5:$B$868,L$4,'Policy Assignments'!$E$5:$E$868,"Core")&gt;0,"R",IF(COUNTIFS('Policy Assignments'!$C$5:$C$868,$A138,'Policy Assignments'!$B$5:$B$868,L$4,'Policy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M138" s="94" t="str">
        <x:f>IF(COUNTIFS('Policy Assignments'!$C$5:$C$868,$A138,'Policy Assignments'!$B$5:$B$868,M$4,'Policy Assignments'!$E$5:$E$868,"Hold")&gt;0,"H",IF(COUNTIFS('Policy Assignments'!$C$5:$C$868,$A138,'Policy Assignments'!$B$5:$B$868,M$4,'Policy Assignments'!$E$5:$E$868,"Core")&gt;0,"R",IF(COUNTIFS('Policy Assignments'!$C$5:$C$868,$A138,'Policy Assignments'!$B$5:$B$868,M$4,'Policy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N138" s="94" t="str">
        <x:f>IF(COUNTIFS('Policy Assignments'!$C$5:$C$868,$A138,'Policy Assignments'!$B$5:$B$868,N$4,'Policy Assignments'!$E$5:$E$868,"Hold")&gt;0,"H",IF(COUNTIFS('Policy Assignments'!$C$5:$C$868,$A138,'Policy Assignments'!$B$5:$B$868,N$4,'Policy Assignments'!$E$5:$E$868,"Core")&gt;0,"R",IF(COUNTIFS('Policy Assignments'!$C$5:$C$868,$A138,'Policy Assignments'!$B$5:$B$868,N$4,'Policy Assignments'!$E$5:$E$868,"Conditional")&gt;0,"C",IF(COUNTIFS('Policy Assignments'!$C$5:$C$868,$A138,'Policy Assignments'!$B$5:$B$868,"General",'Policy Assignments'!$E$5:$E$868,"Hold")&gt;0,"H",IF(COUNTIFS('Policy Assignments'!$C$5:$C$868,$A138,'Policy Assignments'!$B$5:$B$868,"General",'Policy Assignments'!$E$5:$E$868,"Conditional")&gt;0,"C",IF(COUNTIFS('Policy Assignments'!$C$5:$C$868,$A138,'Policy Assignments'!$B$5:$B$868,"General")&gt;0,"G",""))))))</x:f>
        <x:v>G</x:v>
      </x:c>
      <x:c r="O138" s="94" t="str">
        <x:f>IF(COUNTIFS('Policy Assignments'!$C$5:$C$868,$A138,'Policy Assignments'!$B$5:$B$868,O$4,'Policy Assignments'!$E$5:$E$868,"Hold")&gt;0,"H",IF(COUNTIFS('Policy Assignments'!$C$5:$C$868,$A138,'Policy Assignments'!$B$5:$B$868,O$4,'Policy Assignments'!$E$5:$E$868,"Core")&gt;0,"R",IF(COUNTIFS('Policy Assignments'!$C$5:$C$868,$A138,'Policy Assignments'!$B$5:$B$868,O$4,'Policy Assignments'!$E$5:$E$868,"Conditional")&gt;0,"C","")))</x:f>
      </x:c>
      <x:c r="P138" s="90" t="str">
        <x:v>Mapped</x:v>
      </x:c>
    </x:row>
    <x:row r="139" ht="22" customHeight="1">
      <x:c r="A139" s="90" t="str">
        <x:v>HR-ER-006</x:v>
      </x:c>
      <x:c r="B139" s="90" t="str">
        <x:v>Separation &amp; Exit Process</x:v>
      </x:c>
      <x:c r="C139" s="94" t="str">
        <x:f>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D139" s="94" t="str">
        <x:f>IF(COUNTIFS('Policy Assignments'!$C$5:$C$868,$A139,'Policy Assignments'!$B$5:$B$868,D$4,'Policy Assignments'!$E$5:$E$868,"Hold")&gt;0,"H",IF(COUNTIFS('Policy Assignments'!$C$5:$C$868,$A139,'Policy Assignments'!$B$5:$B$868,D$4,'Policy Assignments'!$E$5:$E$868,"Core")&gt;0,"R",IF(COUNTIFS('Policy Assignments'!$C$5:$C$868,$A139,'Policy Assignments'!$B$5:$B$868,D$4,'Policy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E139" s="94" t="str">
        <x:f>IF(COUNTIFS('Policy Assignments'!$C$5:$C$868,$A139,'Policy Assignments'!$B$5:$B$868,E$4,'Policy Assignments'!$E$5:$E$868,"Hold")&gt;0,"H",IF(COUNTIFS('Policy Assignments'!$C$5:$C$868,$A139,'Policy Assignments'!$B$5:$B$868,E$4,'Policy Assignments'!$E$5:$E$868,"Core")&gt;0,"R",IF(COUNTIFS('Policy Assignments'!$C$5:$C$868,$A139,'Policy Assignments'!$B$5:$B$868,E$4,'Policy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F139" s="94" t="str">
        <x:f>IF(COUNTIFS('Policy Assignments'!$C$5:$C$868,$A139,'Policy Assignments'!$B$5:$B$868,F$4,'Policy Assignments'!$E$5:$E$868,"Hold")&gt;0,"H",IF(COUNTIFS('Policy Assignments'!$C$5:$C$868,$A139,'Policy Assignments'!$B$5:$B$868,F$4,'Policy Assignments'!$E$5:$E$868,"Core")&gt;0,"R",IF(COUNTIFS('Policy Assignments'!$C$5:$C$868,$A139,'Policy Assignments'!$B$5:$B$868,F$4,'Policy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G139" s="94" t="str">
        <x:f>IF(COUNTIFS('Policy Assignments'!$C$5:$C$868,$A139,'Policy Assignments'!$B$5:$B$868,G$4,'Policy Assignments'!$E$5:$E$868,"Hold")&gt;0,"H",IF(COUNTIFS('Policy Assignments'!$C$5:$C$868,$A139,'Policy Assignments'!$B$5:$B$868,G$4,'Policy Assignments'!$E$5:$E$868,"Core")&gt;0,"R",IF(COUNTIFS('Policy Assignments'!$C$5:$C$868,$A139,'Policy Assignments'!$B$5:$B$868,G$4,'Policy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H139" s="94" t="str">
        <x:f>IF(COUNTIFS('Policy Assignments'!$C$5:$C$868,$A139,'Policy Assignments'!$B$5:$B$868,H$4,'Policy Assignments'!$E$5:$E$868,"Hold")&gt;0,"H",IF(COUNTIFS('Policy Assignments'!$C$5:$C$868,$A139,'Policy Assignments'!$B$5:$B$868,H$4,'Policy Assignments'!$E$5:$E$868,"Core")&gt;0,"R",IF(COUNTIFS('Policy Assignments'!$C$5:$C$868,$A139,'Policy Assignments'!$B$5:$B$868,H$4,'Policy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I139" s="94" t="str">
        <x:f>IF(COUNTIFS('Policy Assignments'!$C$5:$C$868,$A139,'Policy Assignments'!$B$5:$B$868,I$4,'Policy Assignments'!$E$5:$E$868,"Hold")&gt;0,"H",IF(COUNTIFS('Policy Assignments'!$C$5:$C$868,$A139,'Policy Assignments'!$B$5:$B$868,I$4,'Policy Assignments'!$E$5:$E$868,"Core")&gt;0,"R",IF(COUNTIFS('Policy Assignments'!$C$5:$C$868,$A139,'Policy Assignments'!$B$5:$B$868,I$4,'Policy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J139" s="94" t="str">
        <x:f>IF(COUNTIFS('Policy Assignments'!$C$5:$C$868,$A139,'Policy Assignments'!$B$5:$B$868,J$4,'Policy Assignments'!$E$5:$E$868,"Hold")&gt;0,"H",IF(COUNTIFS('Policy Assignments'!$C$5:$C$868,$A139,'Policy Assignments'!$B$5:$B$868,J$4,'Policy Assignments'!$E$5:$E$868,"Core")&gt;0,"R",IF(COUNTIFS('Policy Assignments'!$C$5:$C$868,$A139,'Policy Assignments'!$B$5:$B$868,J$4,'Policy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K139" s="94" t="str">
        <x:f>IF(COUNTIFS('Policy Assignments'!$C$5:$C$868,$A139,'Policy Assignments'!$B$5:$B$868,K$4,'Policy Assignments'!$E$5:$E$868,"Hold")&gt;0,"H",IF(COUNTIFS('Policy Assignments'!$C$5:$C$868,$A139,'Policy Assignments'!$B$5:$B$868,K$4,'Policy Assignments'!$E$5:$E$868,"Core")&gt;0,"R",IF(COUNTIFS('Policy Assignments'!$C$5:$C$868,$A139,'Policy Assignments'!$B$5:$B$868,K$4,'Policy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L139" s="94" t="str">
        <x:f>IF(COUNTIFS('Policy Assignments'!$C$5:$C$868,$A139,'Policy Assignments'!$B$5:$B$868,L$4,'Policy Assignments'!$E$5:$E$868,"Hold")&gt;0,"H",IF(COUNTIFS('Policy Assignments'!$C$5:$C$868,$A139,'Policy Assignments'!$B$5:$B$868,L$4,'Policy Assignments'!$E$5:$E$868,"Core")&gt;0,"R",IF(COUNTIFS('Policy Assignments'!$C$5:$C$868,$A139,'Policy Assignments'!$B$5:$B$868,L$4,'Policy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M139" s="94" t="str">
        <x:f>IF(COUNTIFS('Policy Assignments'!$C$5:$C$868,$A139,'Policy Assignments'!$B$5:$B$868,M$4,'Policy Assignments'!$E$5:$E$868,"Hold")&gt;0,"H",IF(COUNTIFS('Policy Assignments'!$C$5:$C$868,$A139,'Policy Assignments'!$B$5:$B$868,M$4,'Policy Assignments'!$E$5:$E$868,"Core")&gt;0,"R",IF(COUNTIFS('Policy Assignments'!$C$5:$C$868,$A139,'Policy Assignments'!$B$5:$B$868,M$4,'Policy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v>R</x:v>
      </x:c>
      <x:c r="N139" s="94" t="str">
        <x:f>IF(COUNTIFS('Policy Assignments'!$C$5:$C$868,$A139,'Policy Assignments'!$B$5:$B$868,N$4,'Policy Assignments'!$E$5:$E$868,"Hold")&gt;0,"H",IF(COUNTIFS('Policy Assignments'!$C$5:$C$868,$A139,'Policy Assignments'!$B$5:$B$868,N$4,'Policy Assignments'!$E$5:$E$868,"Core")&gt;0,"R",IF(COUNTIFS('Policy Assignments'!$C$5:$C$868,$A139,'Policy Assignments'!$B$5:$B$868,N$4,'Policy Assignments'!$E$5:$E$868,"Conditional")&gt;0,"C",IF(COUNTIFS('Policy Assignments'!$C$5:$C$868,$A139,'Policy Assignments'!$B$5:$B$868,"General",'Policy Assignments'!$E$5:$E$868,"Hold")&gt;0,"H",IF(COUNTIFS('Policy Assignments'!$C$5:$C$868,$A139,'Policy Assignments'!$B$5:$B$868,"General",'Policy Assignments'!$E$5:$E$868,"Conditional")&gt;0,"C",IF(COUNTIFS('Policy Assignments'!$C$5:$C$868,$A139,'Policy Assignments'!$B$5:$B$868,"General")&gt;0,"G",""))))))</x:f>
      </x:c>
      <x:c r="O139" s="94" t="str">
        <x:f>IF(COUNTIFS('Policy Assignments'!$C$5:$C$868,$A139,'Policy Assignments'!$B$5:$B$868,O$4,'Policy Assignments'!$E$5:$E$868,"Hold")&gt;0,"H",IF(COUNTIFS('Policy Assignments'!$C$5:$C$868,$A139,'Policy Assignments'!$B$5:$B$868,O$4,'Policy Assignments'!$E$5:$E$868,"Core")&gt;0,"R",IF(COUNTIFS('Policy Assignments'!$C$5:$C$868,$A139,'Policy Assignments'!$B$5:$B$868,O$4,'Policy Assignments'!$E$5:$E$868,"Conditional")&gt;0,"C","")))</x:f>
      </x:c>
      <x:c r="P139" s="90" t="str">
        <x:v>Mapped</x:v>
      </x:c>
    </x:row>
    <x:row r="140" ht="22" customHeight="1">
      <x:c r="A140" s="90" t="str">
        <x:v>HR-ER-009</x:v>
      </x:c>
      <x:c r="B140" s="90" t="str">
        <x:v>Mandatory Abuse Reporting by Staff</x:v>
      </x:c>
      <x:c r="C140" s="94" t="str">
        <x:f>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D140" s="94" t="str">
        <x:f>IF(COUNTIFS('Policy Assignments'!$C$5:$C$868,$A140,'Policy Assignments'!$B$5:$B$868,D$4,'Policy Assignments'!$E$5:$E$868,"Hold")&gt;0,"H",IF(COUNTIFS('Policy Assignments'!$C$5:$C$868,$A140,'Policy Assignments'!$B$5:$B$868,D$4,'Policy Assignments'!$E$5:$E$868,"Core")&gt;0,"R",IF(COUNTIFS('Policy Assignments'!$C$5:$C$868,$A140,'Policy Assignments'!$B$5:$B$868,D$4,'Policy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E140" s="94" t="str">
        <x:f>IF(COUNTIFS('Policy Assignments'!$C$5:$C$868,$A140,'Policy Assignments'!$B$5:$B$868,E$4,'Policy Assignments'!$E$5:$E$868,"Hold")&gt;0,"H",IF(COUNTIFS('Policy Assignments'!$C$5:$C$868,$A140,'Policy Assignments'!$B$5:$B$868,E$4,'Policy Assignments'!$E$5:$E$868,"Core")&gt;0,"R",IF(COUNTIFS('Policy Assignments'!$C$5:$C$868,$A140,'Policy Assignments'!$B$5:$B$868,E$4,'Policy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F140" s="94" t="str">
        <x:f>IF(COUNTIFS('Policy Assignments'!$C$5:$C$868,$A140,'Policy Assignments'!$B$5:$B$868,F$4,'Policy Assignments'!$E$5:$E$868,"Hold")&gt;0,"H",IF(COUNTIFS('Policy Assignments'!$C$5:$C$868,$A140,'Policy Assignments'!$B$5:$B$868,F$4,'Policy Assignments'!$E$5:$E$868,"Core")&gt;0,"R",IF(COUNTIFS('Policy Assignments'!$C$5:$C$868,$A140,'Policy Assignments'!$B$5:$B$868,F$4,'Policy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G140" s="94" t="str">
        <x:f>IF(COUNTIFS('Policy Assignments'!$C$5:$C$868,$A140,'Policy Assignments'!$B$5:$B$868,G$4,'Policy Assignments'!$E$5:$E$868,"Hold")&gt;0,"H",IF(COUNTIFS('Policy Assignments'!$C$5:$C$868,$A140,'Policy Assignments'!$B$5:$B$868,G$4,'Policy Assignments'!$E$5:$E$868,"Core")&gt;0,"R",IF(COUNTIFS('Policy Assignments'!$C$5:$C$868,$A140,'Policy Assignments'!$B$5:$B$868,G$4,'Policy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H140" s="94" t="str">
        <x:f>IF(COUNTIFS('Policy Assignments'!$C$5:$C$868,$A140,'Policy Assignments'!$B$5:$B$868,H$4,'Policy Assignments'!$E$5:$E$868,"Hold")&gt;0,"H",IF(COUNTIFS('Policy Assignments'!$C$5:$C$868,$A140,'Policy Assignments'!$B$5:$B$868,H$4,'Policy Assignments'!$E$5:$E$868,"Core")&gt;0,"R",IF(COUNTIFS('Policy Assignments'!$C$5:$C$868,$A140,'Policy Assignments'!$B$5:$B$868,H$4,'Policy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I140" s="94" t="str">
        <x:f>IF(COUNTIFS('Policy Assignments'!$C$5:$C$868,$A140,'Policy Assignments'!$B$5:$B$868,I$4,'Policy Assignments'!$E$5:$E$868,"Hold")&gt;0,"H",IF(COUNTIFS('Policy Assignments'!$C$5:$C$868,$A140,'Policy Assignments'!$B$5:$B$868,I$4,'Policy Assignments'!$E$5:$E$868,"Core")&gt;0,"R",IF(COUNTIFS('Policy Assignments'!$C$5:$C$868,$A140,'Policy Assignments'!$B$5:$B$868,I$4,'Policy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J140" s="94" t="str">
        <x:f>IF(COUNTIFS('Policy Assignments'!$C$5:$C$868,$A140,'Policy Assignments'!$B$5:$B$868,J$4,'Policy Assignments'!$E$5:$E$868,"Hold")&gt;0,"H",IF(COUNTIFS('Policy Assignments'!$C$5:$C$868,$A140,'Policy Assignments'!$B$5:$B$868,J$4,'Policy Assignments'!$E$5:$E$868,"Core")&gt;0,"R",IF(COUNTIFS('Policy Assignments'!$C$5:$C$868,$A140,'Policy Assignments'!$B$5:$B$868,J$4,'Policy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K140" s="94" t="str">
        <x:f>IF(COUNTIFS('Policy Assignments'!$C$5:$C$868,$A140,'Policy Assignments'!$B$5:$B$868,K$4,'Policy Assignments'!$E$5:$E$868,"Hold")&gt;0,"H",IF(COUNTIFS('Policy Assignments'!$C$5:$C$868,$A140,'Policy Assignments'!$B$5:$B$868,K$4,'Policy Assignments'!$E$5:$E$868,"Core")&gt;0,"R",IF(COUNTIFS('Policy Assignments'!$C$5:$C$868,$A140,'Policy Assignments'!$B$5:$B$868,K$4,'Policy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L140" s="94" t="str">
        <x:f>IF(COUNTIFS('Policy Assignments'!$C$5:$C$868,$A140,'Policy Assignments'!$B$5:$B$868,L$4,'Policy Assignments'!$E$5:$E$868,"Hold")&gt;0,"H",IF(COUNTIFS('Policy Assignments'!$C$5:$C$868,$A140,'Policy Assignments'!$B$5:$B$868,L$4,'Policy Assignments'!$E$5:$E$868,"Core")&gt;0,"R",IF(COUNTIFS('Policy Assignments'!$C$5:$C$868,$A140,'Policy Assignments'!$B$5:$B$868,L$4,'Policy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M140" s="94" t="str">
        <x:f>IF(COUNTIFS('Policy Assignments'!$C$5:$C$868,$A140,'Policy Assignments'!$B$5:$B$868,M$4,'Policy Assignments'!$E$5:$E$868,"Hold")&gt;0,"H",IF(COUNTIFS('Policy Assignments'!$C$5:$C$868,$A140,'Policy Assignments'!$B$5:$B$868,M$4,'Policy Assignments'!$E$5:$E$868,"Core")&gt;0,"R",IF(COUNTIFS('Policy Assignments'!$C$5:$C$868,$A140,'Policy Assignments'!$B$5:$B$868,M$4,'Policy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N140" s="94" t="str">
        <x:f>IF(COUNTIFS('Policy Assignments'!$C$5:$C$868,$A140,'Policy Assignments'!$B$5:$B$868,N$4,'Policy Assignments'!$E$5:$E$868,"Hold")&gt;0,"H",IF(COUNTIFS('Policy Assignments'!$C$5:$C$868,$A140,'Policy Assignments'!$B$5:$B$868,N$4,'Policy Assignments'!$E$5:$E$868,"Core")&gt;0,"R",IF(COUNTIFS('Policy Assignments'!$C$5:$C$868,$A140,'Policy Assignments'!$B$5:$B$868,N$4,'Policy Assignments'!$E$5:$E$868,"Conditional")&gt;0,"C",IF(COUNTIFS('Policy Assignments'!$C$5:$C$868,$A140,'Policy Assignments'!$B$5:$B$868,"General",'Policy Assignments'!$E$5:$E$868,"Hold")&gt;0,"H",IF(COUNTIFS('Policy Assignments'!$C$5:$C$868,$A140,'Policy Assignments'!$B$5:$B$868,"General",'Policy Assignments'!$E$5:$E$868,"Conditional")&gt;0,"C",IF(COUNTIFS('Policy Assignments'!$C$5:$C$868,$A140,'Policy Assignments'!$B$5:$B$868,"General")&gt;0,"G",""))))))</x:f>
        <x:v>G</x:v>
      </x:c>
      <x:c r="O140" s="94" t="str">
        <x:f>IF(COUNTIFS('Policy Assignments'!$C$5:$C$868,$A140,'Policy Assignments'!$B$5:$B$868,O$4,'Policy Assignments'!$E$5:$E$868,"Hold")&gt;0,"H",IF(COUNTIFS('Policy Assignments'!$C$5:$C$868,$A140,'Policy Assignments'!$B$5:$B$868,O$4,'Policy Assignments'!$E$5:$E$868,"Core")&gt;0,"R",IF(COUNTIFS('Policy Assignments'!$C$5:$C$868,$A140,'Policy Assignments'!$B$5:$B$868,O$4,'Policy Assignments'!$E$5:$E$868,"Conditional")&gt;0,"C","")))</x:f>
      </x:c>
      <x:c r="P140" s="90" t="str">
        <x:v>Mapped</x:v>
      </x:c>
    </x:row>
    <x:row r="141" ht="22" customHeight="1">
      <x:c r="A141" s="90" t="str">
        <x:v>HR-JD-000</x:v>
      </x:c>
      <x:c r="B141" s="90" t="str">
        <x:v>Job Description Framework &amp; Organizational Chart</x:v>
      </x:c>
      <x:c r="C141" s="94" t="str">
        <x:f>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c>
      <x:c r="D141" s="94" t="str">
        <x:f>IF(COUNTIFS('Policy Assignments'!$C$5:$C$868,$A141,'Policy Assignments'!$B$5:$B$868,D$4,'Policy Assignments'!$E$5:$E$868,"Hold")&gt;0,"H",IF(COUNTIFS('Policy Assignments'!$C$5:$C$868,$A141,'Policy Assignments'!$B$5:$B$868,D$4,'Policy Assignments'!$E$5:$E$868,"Core")&gt;0,"R",IF(COUNTIFS('Policy Assignments'!$C$5:$C$868,$A141,'Policy Assignments'!$B$5:$B$868,D$4,'Policy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E141" s="94" t="str">
        <x:f>IF(COUNTIFS('Policy Assignments'!$C$5:$C$868,$A141,'Policy Assignments'!$B$5:$B$868,E$4,'Policy Assignments'!$E$5:$E$868,"Hold")&gt;0,"H",IF(COUNTIFS('Policy Assignments'!$C$5:$C$868,$A141,'Policy Assignments'!$B$5:$B$868,E$4,'Policy Assignments'!$E$5:$E$868,"Core")&gt;0,"R",IF(COUNTIFS('Policy Assignments'!$C$5:$C$868,$A141,'Policy Assignments'!$B$5:$B$868,E$4,'Policy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F141" s="94" t="str">
        <x:f>IF(COUNTIFS('Policy Assignments'!$C$5:$C$868,$A141,'Policy Assignments'!$B$5:$B$868,F$4,'Policy Assignments'!$E$5:$E$868,"Hold")&gt;0,"H",IF(COUNTIFS('Policy Assignments'!$C$5:$C$868,$A141,'Policy Assignments'!$B$5:$B$868,F$4,'Policy Assignments'!$E$5:$E$868,"Core")&gt;0,"R",IF(COUNTIFS('Policy Assignments'!$C$5:$C$868,$A141,'Policy Assignments'!$B$5:$B$868,F$4,'Policy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G141" s="94" t="str">
        <x:f>IF(COUNTIFS('Policy Assignments'!$C$5:$C$868,$A141,'Policy Assignments'!$B$5:$B$868,G$4,'Policy Assignments'!$E$5:$E$868,"Hold")&gt;0,"H",IF(COUNTIFS('Policy Assignments'!$C$5:$C$868,$A141,'Policy Assignments'!$B$5:$B$868,G$4,'Policy Assignments'!$E$5:$E$868,"Core")&gt;0,"R",IF(COUNTIFS('Policy Assignments'!$C$5:$C$868,$A141,'Policy Assignments'!$B$5:$B$868,G$4,'Policy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H141" s="94" t="str">
        <x:f>IF(COUNTIFS('Policy Assignments'!$C$5:$C$868,$A141,'Policy Assignments'!$B$5:$B$868,H$4,'Policy Assignments'!$E$5:$E$868,"Hold")&gt;0,"H",IF(COUNTIFS('Policy Assignments'!$C$5:$C$868,$A141,'Policy Assignments'!$B$5:$B$868,H$4,'Policy Assignments'!$E$5:$E$868,"Core")&gt;0,"R",IF(COUNTIFS('Policy Assignments'!$C$5:$C$868,$A141,'Policy Assignments'!$B$5:$B$868,H$4,'Policy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I141" s="94" t="str">
        <x:f>IF(COUNTIFS('Policy Assignments'!$C$5:$C$868,$A141,'Policy Assignments'!$B$5:$B$868,I$4,'Policy Assignments'!$E$5:$E$868,"Hold")&gt;0,"H",IF(COUNTIFS('Policy Assignments'!$C$5:$C$868,$A141,'Policy Assignments'!$B$5:$B$868,I$4,'Policy Assignments'!$E$5:$E$868,"Core")&gt;0,"R",IF(COUNTIFS('Policy Assignments'!$C$5:$C$868,$A141,'Policy Assignments'!$B$5:$B$868,I$4,'Policy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J141" s="94" t="str">
        <x:f>IF(COUNTIFS('Policy Assignments'!$C$5:$C$868,$A141,'Policy Assignments'!$B$5:$B$868,J$4,'Policy Assignments'!$E$5:$E$868,"Hold")&gt;0,"H",IF(COUNTIFS('Policy Assignments'!$C$5:$C$868,$A141,'Policy Assignments'!$B$5:$B$868,J$4,'Policy Assignments'!$E$5:$E$868,"Core")&gt;0,"R",IF(COUNTIFS('Policy Assignments'!$C$5:$C$868,$A141,'Policy Assignments'!$B$5:$B$868,J$4,'Policy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K141" s="94" t="str">
        <x:f>IF(COUNTIFS('Policy Assignments'!$C$5:$C$868,$A141,'Policy Assignments'!$B$5:$B$868,K$4,'Policy Assignments'!$E$5:$E$868,"Hold")&gt;0,"H",IF(COUNTIFS('Policy Assignments'!$C$5:$C$868,$A141,'Policy Assignments'!$B$5:$B$868,K$4,'Policy Assignments'!$E$5:$E$868,"Core")&gt;0,"R",IF(COUNTIFS('Policy Assignments'!$C$5:$C$868,$A141,'Policy Assignments'!$B$5:$B$868,K$4,'Policy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L141" s="94" t="str">
        <x:f>IF(COUNTIFS('Policy Assignments'!$C$5:$C$868,$A141,'Policy Assignments'!$B$5:$B$868,L$4,'Policy Assignments'!$E$5:$E$868,"Hold")&gt;0,"H",IF(COUNTIFS('Policy Assignments'!$C$5:$C$868,$A141,'Policy Assignments'!$B$5:$B$868,L$4,'Policy Assignments'!$E$5:$E$868,"Core")&gt;0,"R",IF(COUNTIFS('Policy Assignments'!$C$5:$C$868,$A141,'Policy Assignments'!$B$5:$B$868,L$4,'Policy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M141" s="94" t="str">
        <x:f>IF(COUNTIFS('Policy Assignments'!$C$5:$C$868,$A141,'Policy Assignments'!$B$5:$B$868,M$4,'Policy Assignments'!$E$5:$E$868,"Hold")&gt;0,"H",IF(COUNTIFS('Policy Assignments'!$C$5:$C$868,$A141,'Policy Assignments'!$B$5:$B$868,M$4,'Policy Assignments'!$E$5:$E$868,"Core")&gt;0,"R",IF(COUNTIFS('Policy Assignments'!$C$5:$C$868,$A141,'Policy Assignments'!$B$5:$B$868,M$4,'Policy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N141" s="94" t="str">
        <x:f>IF(COUNTIFS('Policy Assignments'!$C$5:$C$868,$A141,'Policy Assignments'!$B$5:$B$868,N$4,'Policy Assignments'!$E$5:$E$868,"Hold")&gt;0,"H",IF(COUNTIFS('Policy Assignments'!$C$5:$C$868,$A141,'Policy Assignments'!$B$5:$B$868,N$4,'Policy Assignments'!$E$5:$E$868,"Core")&gt;0,"R",IF(COUNTIFS('Policy Assignments'!$C$5:$C$868,$A141,'Policy Assignments'!$B$5:$B$868,N$4,'Policy Assignments'!$E$5:$E$868,"Conditional")&gt;0,"C",IF(COUNTIFS('Policy Assignments'!$C$5:$C$868,$A141,'Policy Assignments'!$B$5:$B$868,"General",'Policy Assignments'!$E$5:$E$868,"Hold")&gt;0,"H",IF(COUNTIFS('Policy Assignments'!$C$5:$C$868,$A141,'Policy Assignments'!$B$5:$B$868,"General",'Policy Assignments'!$E$5:$E$868,"Conditional")&gt;0,"C",IF(COUNTIFS('Policy Assignments'!$C$5:$C$868,$A141,'Policy Assignments'!$B$5:$B$868,"General")&gt;0,"G",""))))))</x:f>
        <x:v>R</x:v>
      </x:c>
      <x:c r="O141" s="94" t="str">
        <x:f>IF(COUNTIFS('Policy Assignments'!$C$5:$C$868,$A141,'Policy Assignments'!$B$5:$B$868,O$4,'Policy Assignments'!$E$5:$E$868,"Hold")&gt;0,"H",IF(COUNTIFS('Policy Assignments'!$C$5:$C$868,$A141,'Policy Assignments'!$B$5:$B$868,O$4,'Policy Assignments'!$E$5:$E$868,"Core")&gt;0,"R",IF(COUNTIFS('Policy Assignments'!$C$5:$C$868,$A141,'Policy Assignments'!$B$5:$B$868,O$4,'Policy Assignments'!$E$5:$E$868,"Conditional")&gt;0,"C","")))</x:f>
      </x:c>
      <x:c r="P141" s="90" t="str">
        <x:v>Mapped</x:v>
      </x:c>
    </x:row>
    <x:row r="142" ht="22" customHeight="1">
      <x:c r="A142" s="90" t="str">
        <x:v>HR-JD-001</x:v>
      </x:c>
      <x:c r="B142" s="90" t="str">
        <x:v>Administrator — Job Description</x:v>
      </x:c>
      <x:c r="C142" s="94" t="str">
        <x:f>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D142" s="94" t="str">
        <x:f>IF(COUNTIFS('Policy Assignments'!$C$5:$C$868,$A142,'Policy Assignments'!$B$5:$B$868,D$4,'Policy Assignments'!$E$5:$E$868,"Hold")&gt;0,"H",IF(COUNTIFS('Policy Assignments'!$C$5:$C$868,$A142,'Policy Assignments'!$B$5:$B$868,D$4,'Policy Assignments'!$E$5:$E$868,"Core")&gt;0,"R",IF(COUNTIFS('Policy Assignments'!$C$5:$C$868,$A142,'Policy Assignments'!$B$5:$B$868,D$4,'Policy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E142" s="94" t="str">
        <x:f>IF(COUNTIFS('Policy Assignments'!$C$5:$C$868,$A142,'Policy Assignments'!$B$5:$B$868,E$4,'Policy Assignments'!$E$5:$E$868,"Hold")&gt;0,"H",IF(COUNTIFS('Policy Assignments'!$C$5:$C$868,$A142,'Policy Assignments'!$B$5:$B$868,E$4,'Policy Assignments'!$E$5:$E$868,"Core")&gt;0,"R",IF(COUNTIFS('Policy Assignments'!$C$5:$C$868,$A142,'Policy Assignments'!$B$5:$B$868,E$4,'Policy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F142" s="94" t="str">
        <x:f>IF(COUNTIFS('Policy Assignments'!$C$5:$C$868,$A142,'Policy Assignments'!$B$5:$B$868,F$4,'Policy Assignments'!$E$5:$E$868,"Hold")&gt;0,"H",IF(COUNTIFS('Policy Assignments'!$C$5:$C$868,$A142,'Policy Assignments'!$B$5:$B$868,F$4,'Policy Assignments'!$E$5:$E$868,"Core")&gt;0,"R",IF(COUNTIFS('Policy Assignments'!$C$5:$C$868,$A142,'Policy Assignments'!$B$5:$B$868,F$4,'Policy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G142" s="94" t="str">
        <x:f>IF(COUNTIFS('Policy Assignments'!$C$5:$C$868,$A142,'Policy Assignments'!$B$5:$B$868,G$4,'Policy Assignments'!$E$5:$E$868,"Hold")&gt;0,"H",IF(COUNTIFS('Policy Assignments'!$C$5:$C$868,$A142,'Policy Assignments'!$B$5:$B$868,G$4,'Policy Assignments'!$E$5:$E$868,"Core")&gt;0,"R",IF(COUNTIFS('Policy Assignments'!$C$5:$C$868,$A142,'Policy Assignments'!$B$5:$B$868,G$4,'Policy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H142" s="94" t="str">
        <x:f>IF(COUNTIFS('Policy Assignments'!$C$5:$C$868,$A142,'Policy Assignments'!$B$5:$B$868,H$4,'Policy Assignments'!$E$5:$E$868,"Hold")&gt;0,"H",IF(COUNTIFS('Policy Assignments'!$C$5:$C$868,$A142,'Policy Assignments'!$B$5:$B$868,H$4,'Policy Assignments'!$E$5:$E$868,"Core")&gt;0,"R",IF(COUNTIFS('Policy Assignments'!$C$5:$C$868,$A142,'Policy Assignments'!$B$5:$B$868,H$4,'Policy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I142" s="94" t="str">
        <x:f>IF(COUNTIFS('Policy Assignments'!$C$5:$C$868,$A142,'Policy Assignments'!$B$5:$B$868,I$4,'Policy Assignments'!$E$5:$E$868,"Hold")&gt;0,"H",IF(COUNTIFS('Policy Assignments'!$C$5:$C$868,$A142,'Policy Assignments'!$B$5:$B$868,I$4,'Policy Assignments'!$E$5:$E$868,"Core")&gt;0,"R",IF(COUNTIFS('Policy Assignments'!$C$5:$C$868,$A142,'Policy Assignments'!$B$5:$B$868,I$4,'Policy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J142" s="94" t="str">
        <x:f>IF(COUNTIFS('Policy Assignments'!$C$5:$C$868,$A142,'Policy Assignments'!$B$5:$B$868,J$4,'Policy Assignments'!$E$5:$E$868,"Hold")&gt;0,"H",IF(COUNTIFS('Policy Assignments'!$C$5:$C$868,$A142,'Policy Assignments'!$B$5:$B$868,J$4,'Policy Assignments'!$E$5:$E$868,"Core")&gt;0,"R",IF(COUNTIFS('Policy Assignments'!$C$5:$C$868,$A142,'Policy Assignments'!$B$5:$B$868,J$4,'Policy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K142" s="94" t="str">
        <x:f>IF(COUNTIFS('Policy Assignments'!$C$5:$C$868,$A142,'Policy Assignments'!$B$5:$B$868,K$4,'Policy Assignments'!$E$5:$E$868,"Hold")&gt;0,"H",IF(COUNTIFS('Policy Assignments'!$C$5:$C$868,$A142,'Policy Assignments'!$B$5:$B$868,K$4,'Policy Assignments'!$E$5:$E$868,"Core")&gt;0,"R",IF(COUNTIFS('Policy Assignments'!$C$5:$C$868,$A142,'Policy Assignments'!$B$5:$B$868,K$4,'Policy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L142" s="94" t="str">
        <x:f>IF(COUNTIFS('Policy Assignments'!$C$5:$C$868,$A142,'Policy Assignments'!$B$5:$B$868,L$4,'Policy Assignments'!$E$5:$E$868,"Hold")&gt;0,"H",IF(COUNTIFS('Policy Assignments'!$C$5:$C$868,$A142,'Policy Assignments'!$B$5:$B$868,L$4,'Policy Assignments'!$E$5:$E$868,"Core")&gt;0,"R",IF(COUNTIFS('Policy Assignments'!$C$5:$C$868,$A142,'Policy Assignments'!$B$5:$B$868,L$4,'Policy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M142" s="94" t="str">
        <x:f>IF(COUNTIFS('Policy Assignments'!$C$5:$C$868,$A142,'Policy Assignments'!$B$5:$B$868,M$4,'Policy Assignments'!$E$5:$E$868,"Hold")&gt;0,"H",IF(COUNTIFS('Policy Assignments'!$C$5:$C$868,$A142,'Policy Assignments'!$B$5:$B$868,M$4,'Policy Assignments'!$E$5:$E$868,"Core")&gt;0,"R",IF(COUNTIFS('Policy Assignments'!$C$5:$C$868,$A142,'Policy Assignments'!$B$5:$B$868,M$4,'Policy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v>R</x:v>
      </x:c>
      <x:c r="N142" s="94" t="str">
        <x:f>IF(COUNTIFS('Policy Assignments'!$C$5:$C$868,$A142,'Policy Assignments'!$B$5:$B$868,N$4,'Policy Assignments'!$E$5:$E$868,"Hold")&gt;0,"H",IF(COUNTIFS('Policy Assignments'!$C$5:$C$868,$A142,'Policy Assignments'!$B$5:$B$868,N$4,'Policy Assignments'!$E$5:$E$868,"Core")&gt;0,"R",IF(COUNTIFS('Policy Assignments'!$C$5:$C$868,$A142,'Policy Assignments'!$B$5:$B$868,N$4,'Policy Assignments'!$E$5:$E$868,"Conditional")&gt;0,"C",IF(COUNTIFS('Policy Assignments'!$C$5:$C$868,$A142,'Policy Assignments'!$B$5:$B$868,"General",'Policy Assignments'!$E$5:$E$868,"Hold")&gt;0,"H",IF(COUNTIFS('Policy Assignments'!$C$5:$C$868,$A142,'Policy Assignments'!$B$5:$B$868,"General",'Policy Assignments'!$E$5:$E$868,"Conditional")&gt;0,"C",IF(COUNTIFS('Policy Assignments'!$C$5:$C$868,$A142,'Policy Assignments'!$B$5:$B$868,"General")&gt;0,"G",""))))))</x:f>
      </x:c>
      <x:c r="O142" s="94" t="str">
        <x:f>IF(COUNTIFS('Policy Assignments'!$C$5:$C$868,$A142,'Policy Assignments'!$B$5:$B$868,O$4,'Policy Assignments'!$E$5:$E$868,"Hold")&gt;0,"H",IF(COUNTIFS('Policy Assignments'!$C$5:$C$868,$A142,'Policy Assignments'!$B$5:$B$868,O$4,'Policy Assignments'!$E$5:$E$868,"Core")&gt;0,"R",IF(COUNTIFS('Policy Assignments'!$C$5:$C$868,$A142,'Policy Assignments'!$B$5:$B$868,O$4,'Policy Assignments'!$E$5:$E$868,"Conditional")&gt;0,"C","")))</x:f>
        <x:v>R</x:v>
      </x:c>
      <x:c r="P142" s="90" t="str">
        <x:v>Mapped</x:v>
      </x:c>
    </x:row>
    <x:row r="143" ht="22" customHeight="1">
      <x:c r="A143" s="90" t="str">
        <x:v>HR-JD-003</x:v>
      </x:c>
      <x:c r="B143" s="90" t="str">
        <x:v>Director of Nursing / Clinical Manager — Job Description</x:v>
      </x:c>
      <x:c r="C143" s="94" t="str">
        <x:f>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D143" s="94" t="str">
        <x:f>IF(COUNTIFS('Policy Assignments'!$C$5:$C$868,$A143,'Policy Assignments'!$B$5:$B$868,D$4,'Policy Assignments'!$E$5:$E$868,"Hold")&gt;0,"H",IF(COUNTIFS('Policy Assignments'!$C$5:$C$868,$A143,'Policy Assignments'!$B$5:$B$868,D$4,'Policy Assignments'!$E$5:$E$868,"Core")&gt;0,"R",IF(COUNTIFS('Policy Assignments'!$C$5:$C$868,$A143,'Policy Assignments'!$B$5:$B$868,D$4,'Policy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E143" s="94" t="str">
        <x:f>IF(COUNTIFS('Policy Assignments'!$C$5:$C$868,$A143,'Policy Assignments'!$B$5:$B$868,E$4,'Policy Assignments'!$E$5:$E$868,"Hold")&gt;0,"H",IF(COUNTIFS('Policy Assignments'!$C$5:$C$868,$A143,'Policy Assignments'!$B$5:$B$868,E$4,'Policy Assignments'!$E$5:$E$868,"Core")&gt;0,"R",IF(COUNTIFS('Policy Assignments'!$C$5:$C$868,$A143,'Policy Assignments'!$B$5:$B$868,E$4,'Policy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F143" s="94" t="str">
        <x:f>IF(COUNTIFS('Policy Assignments'!$C$5:$C$868,$A143,'Policy Assignments'!$B$5:$B$868,F$4,'Policy Assignments'!$E$5:$E$868,"Hold")&gt;0,"H",IF(COUNTIFS('Policy Assignments'!$C$5:$C$868,$A143,'Policy Assignments'!$B$5:$B$868,F$4,'Policy Assignments'!$E$5:$E$868,"Core")&gt;0,"R",IF(COUNTIFS('Policy Assignments'!$C$5:$C$868,$A143,'Policy Assignments'!$B$5:$B$868,F$4,'Policy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G143" s="94" t="str">
        <x:f>IF(COUNTIFS('Policy Assignments'!$C$5:$C$868,$A143,'Policy Assignments'!$B$5:$B$868,G$4,'Policy Assignments'!$E$5:$E$868,"Hold")&gt;0,"H",IF(COUNTIFS('Policy Assignments'!$C$5:$C$868,$A143,'Policy Assignments'!$B$5:$B$868,G$4,'Policy Assignments'!$E$5:$E$868,"Core")&gt;0,"R",IF(COUNTIFS('Policy Assignments'!$C$5:$C$868,$A143,'Policy Assignments'!$B$5:$B$868,G$4,'Policy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H143" s="94" t="str">
        <x:f>IF(COUNTIFS('Policy Assignments'!$C$5:$C$868,$A143,'Policy Assignments'!$B$5:$B$868,H$4,'Policy Assignments'!$E$5:$E$868,"Hold")&gt;0,"H",IF(COUNTIFS('Policy Assignments'!$C$5:$C$868,$A143,'Policy Assignments'!$B$5:$B$868,H$4,'Policy Assignments'!$E$5:$E$868,"Core")&gt;0,"R",IF(COUNTIFS('Policy Assignments'!$C$5:$C$868,$A143,'Policy Assignments'!$B$5:$B$868,H$4,'Policy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I143" s="94" t="str">
        <x:f>IF(COUNTIFS('Policy Assignments'!$C$5:$C$868,$A143,'Policy Assignments'!$B$5:$B$868,I$4,'Policy Assignments'!$E$5:$E$868,"Hold")&gt;0,"H",IF(COUNTIFS('Policy Assignments'!$C$5:$C$868,$A143,'Policy Assignments'!$B$5:$B$868,I$4,'Policy Assignments'!$E$5:$E$868,"Core")&gt;0,"R",IF(COUNTIFS('Policy Assignments'!$C$5:$C$868,$A143,'Policy Assignments'!$B$5:$B$868,I$4,'Policy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J143" s="94" t="str">
        <x:f>IF(COUNTIFS('Policy Assignments'!$C$5:$C$868,$A143,'Policy Assignments'!$B$5:$B$868,J$4,'Policy Assignments'!$E$5:$E$868,"Hold")&gt;0,"H",IF(COUNTIFS('Policy Assignments'!$C$5:$C$868,$A143,'Policy Assignments'!$B$5:$B$868,J$4,'Policy Assignments'!$E$5:$E$868,"Core")&gt;0,"R",IF(COUNTIFS('Policy Assignments'!$C$5:$C$868,$A143,'Policy Assignments'!$B$5:$B$868,J$4,'Policy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K143" s="94" t="str">
        <x:f>IF(COUNTIFS('Policy Assignments'!$C$5:$C$868,$A143,'Policy Assignments'!$B$5:$B$868,K$4,'Policy Assignments'!$E$5:$E$868,"Hold")&gt;0,"H",IF(COUNTIFS('Policy Assignments'!$C$5:$C$868,$A143,'Policy Assignments'!$B$5:$B$868,K$4,'Policy Assignments'!$E$5:$E$868,"Core")&gt;0,"R",IF(COUNTIFS('Policy Assignments'!$C$5:$C$868,$A143,'Policy Assignments'!$B$5:$B$868,K$4,'Policy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L143" s="94" t="str">
        <x:f>IF(COUNTIFS('Policy Assignments'!$C$5:$C$868,$A143,'Policy Assignments'!$B$5:$B$868,L$4,'Policy Assignments'!$E$5:$E$868,"Hold")&gt;0,"H",IF(COUNTIFS('Policy Assignments'!$C$5:$C$868,$A143,'Policy Assignments'!$B$5:$B$868,L$4,'Policy Assignments'!$E$5:$E$868,"Core")&gt;0,"R",IF(COUNTIFS('Policy Assignments'!$C$5:$C$868,$A143,'Policy Assignments'!$B$5:$B$868,L$4,'Policy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M143" s="94" t="str">
        <x:f>IF(COUNTIFS('Policy Assignments'!$C$5:$C$868,$A143,'Policy Assignments'!$B$5:$B$868,M$4,'Policy Assignments'!$E$5:$E$868,"Hold")&gt;0,"H",IF(COUNTIFS('Policy Assignments'!$C$5:$C$868,$A143,'Policy Assignments'!$B$5:$B$868,M$4,'Policy Assignments'!$E$5:$E$868,"Core")&gt;0,"R",IF(COUNTIFS('Policy Assignments'!$C$5:$C$868,$A143,'Policy Assignments'!$B$5:$B$868,M$4,'Policy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c>
      <x:c r="N143" s="94" t="str">
        <x:f>IF(COUNTIFS('Policy Assignments'!$C$5:$C$868,$A143,'Policy Assignments'!$B$5:$B$868,N$4,'Policy Assignments'!$E$5:$E$868,"Hold")&gt;0,"H",IF(COUNTIFS('Policy Assignments'!$C$5:$C$868,$A143,'Policy Assignments'!$B$5:$B$868,N$4,'Policy Assignments'!$E$5:$E$868,"Core")&gt;0,"R",IF(COUNTIFS('Policy Assignments'!$C$5:$C$868,$A143,'Policy Assignments'!$B$5:$B$868,N$4,'Policy Assignments'!$E$5:$E$868,"Conditional")&gt;0,"C",IF(COUNTIFS('Policy Assignments'!$C$5:$C$868,$A143,'Policy Assignments'!$B$5:$B$868,"General",'Policy Assignments'!$E$5:$E$868,"Hold")&gt;0,"H",IF(COUNTIFS('Policy Assignments'!$C$5:$C$868,$A143,'Policy Assignments'!$B$5:$B$868,"General",'Policy Assignments'!$E$5:$E$868,"Conditional")&gt;0,"C",IF(COUNTIFS('Policy Assignments'!$C$5:$C$868,$A143,'Policy Assignments'!$B$5:$B$868,"General")&gt;0,"G",""))))))</x:f>
        <x:v>R</x:v>
      </x:c>
      <x:c r="O143" s="94" t="str">
        <x:f>IF(COUNTIFS('Policy Assignments'!$C$5:$C$868,$A143,'Policy Assignments'!$B$5:$B$868,O$4,'Policy Assignments'!$E$5:$E$868,"Hold")&gt;0,"H",IF(COUNTIFS('Policy Assignments'!$C$5:$C$868,$A143,'Policy Assignments'!$B$5:$B$868,O$4,'Policy Assignments'!$E$5:$E$868,"Core")&gt;0,"R",IF(COUNTIFS('Policy Assignments'!$C$5:$C$868,$A143,'Policy Assignments'!$B$5:$B$868,O$4,'Policy Assignments'!$E$5:$E$868,"Conditional")&gt;0,"C","")))</x:f>
      </x:c>
      <x:c r="P143" s="90" t="str">
        <x:v>Mapped</x:v>
      </x:c>
    </x:row>
    <x:row r="144" ht="22" customHeight="1">
      <x:c r="A144" s="90" t="str">
        <x:v>HR-JD-004</x:v>
      </x:c>
      <x:c r="B144" s="90" t="str">
        <x:v>Clinical Designee — Job Description</x:v>
      </x:c>
      <x:c r="C144" s="94" t="str">
        <x:f>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D144" s="94" t="str">
        <x:f>IF(COUNTIFS('Policy Assignments'!$C$5:$C$868,$A144,'Policy Assignments'!$B$5:$B$868,D$4,'Policy Assignments'!$E$5:$E$868,"Hold")&gt;0,"H",IF(COUNTIFS('Policy Assignments'!$C$5:$C$868,$A144,'Policy Assignments'!$B$5:$B$868,D$4,'Policy Assignments'!$E$5:$E$868,"Core")&gt;0,"R",IF(COUNTIFS('Policy Assignments'!$C$5:$C$868,$A144,'Policy Assignments'!$B$5:$B$868,D$4,'Policy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E144" s="94" t="str">
        <x:f>IF(COUNTIFS('Policy Assignments'!$C$5:$C$868,$A144,'Policy Assignments'!$B$5:$B$868,E$4,'Policy Assignments'!$E$5:$E$868,"Hold")&gt;0,"H",IF(COUNTIFS('Policy Assignments'!$C$5:$C$868,$A144,'Policy Assignments'!$B$5:$B$868,E$4,'Policy Assignments'!$E$5:$E$868,"Core")&gt;0,"R",IF(COUNTIFS('Policy Assignments'!$C$5:$C$868,$A144,'Policy Assignments'!$B$5:$B$868,E$4,'Policy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F144" s="94" t="str">
        <x:f>IF(COUNTIFS('Policy Assignments'!$C$5:$C$868,$A144,'Policy Assignments'!$B$5:$B$868,F$4,'Policy Assignments'!$E$5:$E$868,"Hold")&gt;0,"H",IF(COUNTIFS('Policy Assignments'!$C$5:$C$868,$A144,'Policy Assignments'!$B$5:$B$868,F$4,'Policy Assignments'!$E$5:$E$868,"Core")&gt;0,"R",IF(COUNTIFS('Policy Assignments'!$C$5:$C$868,$A144,'Policy Assignments'!$B$5:$B$868,F$4,'Policy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G144" s="94" t="str">
        <x:f>IF(COUNTIFS('Policy Assignments'!$C$5:$C$868,$A144,'Policy Assignments'!$B$5:$B$868,G$4,'Policy Assignments'!$E$5:$E$868,"Hold")&gt;0,"H",IF(COUNTIFS('Policy Assignments'!$C$5:$C$868,$A144,'Policy Assignments'!$B$5:$B$868,G$4,'Policy Assignments'!$E$5:$E$868,"Core")&gt;0,"R",IF(COUNTIFS('Policy Assignments'!$C$5:$C$868,$A144,'Policy Assignments'!$B$5:$B$868,G$4,'Policy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H144" s="94" t="str">
        <x:f>IF(COUNTIFS('Policy Assignments'!$C$5:$C$868,$A144,'Policy Assignments'!$B$5:$B$868,H$4,'Policy Assignments'!$E$5:$E$868,"Hold")&gt;0,"H",IF(COUNTIFS('Policy Assignments'!$C$5:$C$868,$A144,'Policy Assignments'!$B$5:$B$868,H$4,'Policy Assignments'!$E$5:$E$868,"Core")&gt;0,"R",IF(COUNTIFS('Policy Assignments'!$C$5:$C$868,$A144,'Policy Assignments'!$B$5:$B$868,H$4,'Policy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I144" s="94" t="str">
        <x:f>IF(COUNTIFS('Policy Assignments'!$C$5:$C$868,$A144,'Policy Assignments'!$B$5:$B$868,I$4,'Policy Assignments'!$E$5:$E$868,"Hold")&gt;0,"H",IF(COUNTIFS('Policy Assignments'!$C$5:$C$868,$A144,'Policy Assignments'!$B$5:$B$868,I$4,'Policy Assignments'!$E$5:$E$868,"Core")&gt;0,"R",IF(COUNTIFS('Policy Assignments'!$C$5:$C$868,$A144,'Policy Assignments'!$B$5:$B$868,I$4,'Policy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J144" s="94" t="str">
        <x:f>IF(COUNTIFS('Policy Assignments'!$C$5:$C$868,$A144,'Policy Assignments'!$B$5:$B$868,J$4,'Policy Assignments'!$E$5:$E$868,"Hold")&gt;0,"H",IF(COUNTIFS('Policy Assignments'!$C$5:$C$868,$A144,'Policy Assignments'!$B$5:$B$868,J$4,'Policy Assignments'!$E$5:$E$868,"Core")&gt;0,"R",IF(COUNTIFS('Policy Assignments'!$C$5:$C$868,$A144,'Policy Assignments'!$B$5:$B$868,J$4,'Policy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K144" s="94" t="str">
        <x:f>IF(COUNTIFS('Policy Assignments'!$C$5:$C$868,$A144,'Policy Assignments'!$B$5:$B$868,K$4,'Policy Assignments'!$E$5:$E$868,"Hold")&gt;0,"H",IF(COUNTIFS('Policy Assignments'!$C$5:$C$868,$A144,'Policy Assignments'!$B$5:$B$868,K$4,'Policy Assignments'!$E$5:$E$868,"Core")&gt;0,"R",IF(COUNTIFS('Policy Assignments'!$C$5:$C$868,$A144,'Policy Assignments'!$B$5:$B$868,K$4,'Policy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L144" s="94" t="str">
        <x:f>IF(COUNTIFS('Policy Assignments'!$C$5:$C$868,$A144,'Policy Assignments'!$B$5:$B$868,L$4,'Policy Assignments'!$E$5:$E$868,"Hold")&gt;0,"H",IF(COUNTIFS('Policy Assignments'!$C$5:$C$868,$A144,'Policy Assignments'!$B$5:$B$868,L$4,'Policy Assignments'!$E$5:$E$868,"Core")&gt;0,"R",IF(COUNTIFS('Policy Assignments'!$C$5:$C$868,$A144,'Policy Assignments'!$B$5:$B$868,L$4,'Policy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M144" s="94" t="str">
        <x:f>IF(COUNTIFS('Policy Assignments'!$C$5:$C$868,$A144,'Policy Assignments'!$B$5:$B$868,M$4,'Policy Assignments'!$E$5:$E$868,"Hold")&gt;0,"H",IF(COUNTIFS('Policy Assignments'!$C$5:$C$868,$A144,'Policy Assignments'!$B$5:$B$868,M$4,'Policy Assignments'!$E$5:$E$868,"Core")&gt;0,"R",IF(COUNTIFS('Policy Assignments'!$C$5:$C$868,$A144,'Policy Assignments'!$B$5:$B$868,M$4,'Policy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c>
      <x:c r="N144" s="94" t="str">
        <x:f>IF(COUNTIFS('Policy Assignments'!$C$5:$C$868,$A144,'Policy Assignments'!$B$5:$B$868,N$4,'Policy Assignments'!$E$5:$E$868,"Hold")&gt;0,"H",IF(COUNTIFS('Policy Assignments'!$C$5:$C$868,$A144,'Policy Assignments'!$B$5:$B$868,N$4,'Policy Assignments'!$E$5:$E$868,"Core")&gt;0,"R",IF(COUNTIFS('Policy Assignments'!$C$5:$C$868,$A144,'Policy Assignments'!$B$5:$B$868,N$4,'Policy Assignments'!$E$5:$E$868,"Conditional")&gt;0,"C",IF(COUNTIFS('Policy Assignments'!$C$5:$C$868,$A144,'Policy Assignments'!$B$5:$B$868,"General",'Policy Assignments'!$E$5:$E$868,"Hold")&gt;0,"H",IF(COUNTIFS('Policy Assignments'!$C$5:$C$868,$A144,'Policy Assignments'!$B$5:$B$868,"General",'Policy Assignments'!$E$5:$E$868,"Conditional")&gt;0,"C",IF(COUNTIFS('Policy Assignments'!$C$5:$C$868,$A144,'Policy Assignments'!$B$5:$B$868,"General")&gt;0,"G",""))))))</x:f>
        <x:v>R</x:v>
      </x:c>
      <x:c r="O144" s="94" t="str">
        <x:f>IF(COUNTIFS('Policy Assignments'!$C$5:$C$868,$A144,'Policy Assignments'!$B$5:$B$868,O$4,'Policy Assignments'!$E$5:$E$868,"Hold")&gt;0,"H",IF(COUNTIFS('Policy Assignments'!$C$5:$C$868,$A144,'Policy Assignments'!$B$5:$B$868,O$4,'Policy Assignments'!$E$5:$E$868,"Core")&gt;0,"R",IF(COUNTIFS('Policy Assignments'!$C$5:$C$868,$A144,'Policy Assignments'!$B$5:$B$868,O$4,'Policy Assignments'!$E$5:$E$868,"Conditional")&gt;0,"C","")))</x:f>
      </x:c>
      <x:c r="P144" s="90" t="str">
        <x:v>Mapped</x:v>
      </x:c>
    </x:row>
    <x:row r="145" ht="22" customHeight="1">
      <x:c r="A145" s="90" t="str">
        <x:v>HR-JD-005</x:v>
      </x:c>
      <x:c r="B145" s="90" t="str">
        <x:v>Registered Nurse — Job Description (full policy body missing)</x:v>
      </x:c>
      <x:c r="C145" s="94" t="str">
        <x:f>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D145" s="94" t="str">
        <x:f>IF(COUNTIFS('Policy Assignments'!$C$5:$C$868,$A145,'Policy Assignments'!$B$5:$B$868,D$4,'Policy Assignments'!$E$5:$E$868,"Hold")&gt;0,"H",IF(COUNTIFS('Policy Assignments'!$C$5:$C$868,$A145,'Policy Assignments'!$B$5:$B$868,D$4,'Policy Assignments'!$E$5:$E$868,"Core")&gt;0,"R",IF(COUNTIFS('Policy Assignments'!$C$5:$C$868,$A145,'Policy Assignments'!$B$5:$B$868,D$4,'Policy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E145" s="94" t="str">
        <x:f>IF(COUNTIFS('Policy Assignments'!$C$5:$C$868,$A145,'Policy Assignments'!$B$5:$B$868,E$4,'Policy Assignments'!$E$5:$E$868,"Hold")&gt;0,"H",IF(COUNTIFS('Policy Assignments'!$C$5:$C$868,$A145,'Policy Assignments'!$B$5:$B$868,E$4,'Policy Assignments'!$E$5:$E$868,"Core")&gt;0,"R",IF(COUNTIFS('Policy Assignments'!$C$5:$C$868,$A145,'Policy Assignments'!$B$5:$B$868,E$4,'Policy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v>H</x:v>
      </x:c>
      <x:c r="F145" s="94" t="str">
        <x:f>IF(COUNTIFS('Policy Assignments'!$C$5:$C$868,$A145,'Policy Assignments'!$B$5:$B$868,F$4,'Policy Assignments'!$E$5:$E$868,"Hold")&gt;0,"H",IF(COUNTIFS('Policy Assignments'!$C$5:$C$868,$A145,'Policy Assignments'!$B$5:$B$868,F$4,'Policy Assignments'!$E$5:$E$868,"Core")&gt;0,"R",IF(COUNTIFS('Policy Assignments'!$C$5:$C$868,$A145,'Policy Assignments'!$B$5:$B$868,F$4,'Policy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G145" s="94" t="str">
        <x:f>IF(COUNTIFS('Policy Assignments'!$C$5:$C$868,$A145,'Policy Assignments'!$B$5:$B$868,G$4,'Policy Assignments'!$E$5:$E$868,"Hold")&gt;0,"H",IF(COUNTIFS('Policy Assignments'!$C$5:$C$868,$A145,'Policy Assignments'!$B$5:$B$868,G$4,'Policy Assignments'!$E$5:$E$868,"Core")&gt;0,"R",IF(COUNTIFS('Policy Assignments'!$C$5:$C$868,$A145,'Policy Assignments'!$B$5:$B$868,G$4,'Policy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H145" s="94" t="str">
        <x:f>IF(COUNTIFS('Policy Assignments'!$C$5:$C$868,$A145,'Policy Assignments'!$B$5:$B$868,H$4,'Policy Assignments'!$E$5:$E$868,"Hold")&gt;0,"H",IF(COUNTIFS('Policy Assignments'!$C$5:$C$868,$A145,'Policy Assignments'!$B$5:$B$868,H$4,'Policy Assignments'!$E$5:$E$868,"Core")&gt;0,"R",IF(COUNTIFS('Policy Assignments'!$C$5:$C$868,$A145,'Policy Assignments'!$B$5:$B$868,H$4,'Policy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I145" s="94" t="str">
        <x:f>IF(COUNTIFS('Policy Assignments'!$C$5:$C$868,$A145,'Policy Assignments'!$B$5:$B$868,I$4,'Policy Assignments'!$E$5:$E$868,"Hold")&gt;0,"H",IF(COUNTIFS('Policy Assignments'!$C$5:$C$868,$A145,'Policy Assignments'!$B$5:$B$868,I$4,'Policy Assignments'!$E$5:$E$868,"Core")&gt;0,"R",IF(COUNTIFS('Policy Assignments'!$C$5:$C$868,$A145,'Policy Assignments'!$B$5:$B$868,I$4,'Policy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J145" s="94" t="str">
        <x:f>IF(COUNTIFS('Policy Assignments'!$C$5:$C$868,$A145,'Policy Assignments'!$B$5:$B$868,J$4,'Policy Assignments'!$E$5:$E$868,"Hold")&gt;0,"H",IF(COUNTIFS('Policy Assignments'!$C$5:$C$868,$A145,'Policy Assignments'!$B$5:$B$868,J$4,'Policy Assignments'!$E$5:$E$868,"Core")&gt;0,"R",IF(COUNTIFS('Policy Assignments'!$C$5:$C$868,$A145,'Policy Assignments'!$B$5:$B$868,J$4,'Policy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K145" s="94" t="str">
        <x:f>IF(COUNTIFS('Policy Assignments'!$C$5:$C$868,$A145,'Policy Assignments'!$B$5:$B$868,K$4,'Policy Assignments'!$E$5:$E$868,"Hold")&gt;0,"H",IF(COUNTIFS('Policy Assignments'!$C$5:$C$868,$A145,'Policy Assignments'!$B$5:$B$868,K$4,'Policy Assignments'!$E$5:$E$868,"Core")&gt;0,"R",IF(COUNTIFS('Policy Assignments'!$C$5:$C$868,$A145,'Policy Assignments'!$B$5:$B$868,K$4,'Policy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L145" s="94" t="str">
        <x:f>IF(COUNTIFS('Policy Assignments'!$C$5:$C$868,$A145,'Policy Assignments'!$B$5:$B$868,L$4,'Policy Assignments'!$E$5:$E$868,"Hold")&gt;0,"H",IF(COUNTIFS('Policy Assignments'!$C$5:$C$868,$A145,'Policy Assignments'!$B$5:$B$868,L$4,'Policy Assignments'!$E$5:$E$868,"Core")&gt;0,"R",IF(COUNTIFS('Policy Assignments'!$C$5:$C$868,$A145,'Policy Assignments'!$B$5:$B$868,L$4,'Policy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M145" s="94" t="str">
        <x:f>IF(COUNTIFS('Policy Assignments'!$C$5:$C$868,$A145,'Policy Assignments'!$B$5:$B$868,M$4,'Policy Assignments'!$E$5:$E$868,"Hold")&gt;0,"H",IF(COUNTIFS('Policy Assignments'!$C$5:$C$868,$A145,'Policy Assignments'!$B$5:$B$868,M$4,'Policy Assignments'!$E$5:$E$868,"Core")&gt;0,"R",IF(COUNTIFS('Policy Assignments'!$C$5:$C$868,$A145,'Policy Assignments'!$B$5:$B$868,M$4,'Policy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N145" s="94" t="str">
        <x:f>IF(COUNTIFS('Policy Assignments'!$C$5:$C$868,$A145,'Policy Assignments'!$B$5:$B$868,N$4,'Policy Assignments'!$E$5:$E$868,"Hold")&gt;0,"H",IF(COUNTIFS('Policy Assignments'!$C$5:$C$868,$A145,'Policy Assignments'!$B$5:$B$868,N$4,'Policy Assignments'!$E$5:$E$868,"Core")&gt;0,"R",IF(COUNTIFS('Policy Assignments'!$C$5:$C$868,$A145,'Policy Assignments'!$B$5:$B$868,N$4,'Policy Assignments'!$E$5:$E$868,"Conditional")&gt;0,"C",IF(COUNTIFS('Policy Assignments'!$C$5:$C$868,$A145,'Policy Assignments'!$B$5:$B$868,"General",'Policy Assignments'!$E$5:$E$868,"Hold")&gt;0,"H",IF(COUNTIFS('Policy Assignments'!$C$5:$C$868,$A145,'Policy Assignments'!$B$5:$B$868,"General",'Policy Assignments'!$E$5:$E$868,"Conditional")&gt;0,"C",IF(COUNTIFS('Policy Assignments'!$C$5:$C$868,$A145,'Policy Assignments'!$B$5:$B$868,"General")&gt;0,"G",""))))))</x:f>
      </x:c>
      <x:c r="O145" s="94" t="str">
        <x:f>IF(COUNTIFS('Policy Assignments'!$C$5:$C$868,$A145,'Policy Assignments'!$B$5:$B$868,O$4,'Policy Assignments'!$E$5:$E$868,"Hold")&gt;0,"H",IF(COUNTIFS('Policy Assignments'!$C$5:$C$868,$A145,'Policy Assignments'!$B$5:$B$868,O$4,'Policy Assignments'!$E$5:$E$868,"Core")&gt;0,"R",IF(COUNTIFS('Policy Assignments'!$C$5:$C$868,$A145,'Policy Assignments'!$B$5:$B$868,O$4,'Policy Assignments'!$E$5:$E$868,"Conditional")&gt;0,"C","")))</x:f>
      </x:c>
      <x:c r="P145" s="90" t="str">
        <x:v>Hold/correction required</x:v>
      </x:c>
    </x:row>
    <x:row r="146" ht="22" customHeight="1">
      <x:c r="A146" s="90" t="str">
        <x:v>HR-JD-006</x:v>
      </x:c>
      <x:c r="B146" s="90" t="str">
        <x:v>Licensed Vocational Nurse — Job Description (full policy body missing)</x:v>
      </x:c>
      <x:c r="C146" s="94" t="str">
        <x:f>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D146" s="94" t="str">
        <x:f>IF(COUNTIFS('Policy Assignments'!$C$5:$C$868,$A146,'Policy Assignments'!$B$5:$B$868,D$4,'Policy Assignments'!$E$5:$E$868,"Hold")&gt;0,"H",IF(COUNTIFS('Policy Assignments'!$C$5:$C$868,$A146,'Policy Assignments'!$B$5:$B$868,D$4,'Policy Assignments'!$E$5:$E$868,"Core")&gt;0,"R",IF(COUNTIFS('Policy Assignments'!$C$5:$C$868,$A146,'Policy Assignments'!$B$5:$B$868,D$4,'Policy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v>H</x:v>
      </x:c>
      <x:c r="E146" s="94" t="str">
        <x:f>IF(COUNTIFS('Policy Assignments'!$C$5:$C$868,$A146,'Policy Assignments'!$B$5:$B$868,E$4,'Policy Assignments'!$E$5:$E$868,"Hold")&gt;0,"H",IF(COUNTIFS('Policy Assignments'!$C$5:$C$868,$A146,'Policy Assignments'!$B$5:$B$868,E$4,'Policy Assignments'!$E$5:$E$868,"Core")&gt;0,"R",IF(COUNTIFS('Policy Assignments'!$C$5:$C$868,$A146,'Policy Assignments'!$B$5:$B$868,E$4,'Policy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F146" s="94" t="str">
        <x:f>IF(COUNTIFS('Policy Assignments'!$C$5:$C$868,$A146,'Policy Assignments'!$B$5:$B$868,F$4,'Policy Assignments'!$E$5:$E$868,"Hold")&gt;0,"H",IF(COUNTIFS('Policy Assignments'!$C$5:$C$868,$A146,'Policy Assignments'!$B$5:$B$868,F$4,'Policy Assignments'!$E$5:$E$868,"Core")&gt;0,"R",IF(COUNTIFS('Policy Assignments'!$C$5:$C$868,$A146,'Policy Assignments'!$B$5:$B$868,F$4,'Policy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G146" s="94" t="str">
        <x:f>IF(COUNTIFS('Policy Assignments'!$C$5:$C$868,$A146,'Policy Assignments'!$B$5:$B$868,G$4,'Policy Assignments'!$E$5:$E$868,"Hold")&gt;0,"H",IF(COUNTIFS('Policy Assignments'!$C$5:$C$868,$A146,'Policy Assignments'!$B$5:$B$868,G$4,'Policy Assignments'!$E$5:$E$868,"Core")&gt;0,"R",IF(COUNTIFS('Policy Assignments'!$C$5:$C$868,$A146,'Policy Assignments'!$B$5:$B$868,G$4,'Policy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H146" s="94" t="str">
        <x:f>IF(COUNTIFS('Policy Assignments'!$C$5:$C$868,$A146,'Policy Assignments'!$B$5:$B$868,H$4,'Policy Assignments'!$E$5:$E$868,"Hold")&gt;0,"H",IF(COUNTIFS('Policy Assignments'!$C$5:$C$868,$A146,'Policy Assignments'!$B$5:$B$868,H$4,'Policy Assignments'!$E$5:$E$868,"Core")&gt;0,"R",IF(COUNTIFS('Policy Assignments'!$C$5:$C$868,$A146,'Policy Assignments'!$B$5:$B$868,H$4,'Policy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I146" s="94" t="str">
        <x:f>IF(COUNTIFS('Policy Assignments'!$C$5:$C$868,$A146,'Policy Assignments'!$B$5:$B$868,I$4,'Policy Assignments'!$E$5:$E$868,"Hold")&gt;0,"H",IF(COUNTIFS('Policy Assignments'!$C$5:$C$868,$A146,'Policy Assignments'!$B$5:$B$868,I$4,'Policy Assignments'!$E$5:$E$868,"Core")&gt;0,"R",IF(COUNTIFS('Policy Assignments'!$C$5:$C$868,$A146,'Policy Assignments'!$B$5:$B$868,I$4,'Policy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J146" s="94" t="str">
        <x:f>IF(COUNTIFS('Policy Assignments'!$C$5:$C$868,$A146,'Policy Assignments'!$B$5:$B$868,J$4,'Policy Assignments'!$E$5:$E$868,"Hold")&gt;0,"H",IF(COUNTIFS('Policy Assignments'!$C$5:$C$868,$A146,'Policy Assignments'!$B$5:$B$868,J$4,'Policy Assignments'!$E$5:$E$868,"Core")&gt;0,"R",IF(COUNTIFS('Policy Assignments'!$C$5:$C$868,$A146,'Policy Assignments'!$B$5:$B$868,J$4,'Policy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K146" s="94" t="str">
        <x:f>IF(COUNTIFS('Policy Assignments'!$C$5:$C$868,$A146,'Policy Assignments'!$B$5:$B$868,K$4,'Policy Assignments'!$E$5:$E$868,"Hold")&gt;0,"H",IF(COUNTIFS('Policy Assignments'!$C$5:$C$868,$A146,'Policy Assignments'!$B$5:$B$868,K$4,'Policy Assignments'!$E$5:$E$868,"Core")&gt;0,"R",IF(COUNTIFS('Policy Assignments'!$C$5:$C$868,$A146,'Policy Assignments'!$B$5:$B$868,K$4,'Policy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L146" s="94" t="str">
        <x:f>IF(COUNTIFS('Policy Assignments'!$C$5:$C$868,$A146,'Policy Assignments'!$B$5:$B$868,L$4,'Policy Assignments'!$E$5:$E$868,"Hold")&gt;0,"H",IF(COUNTIFS('Policy Assignments'!$C$5:$C$868,$A146,'Policy Assignments'!$B$5:$B$868,L$4,'Policy Assignments'!$E$5:$E$868,"Core")&gt;0,"R",IF(COUNTIFS('Policy Assignments'!$C$5:$C$868,$A146,'Policy Assignments'!$B$5:$B$868,L$4,'Policy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M146" s="94" t="str">
        <x:f>IF(COUNTIFS('Policy Assignments'!$C$5:$C$868,$A146,'Policy Assignments'!$B$5:$B$868,M$4,'Policy Assignments'!$E$5:$E$868,"Hold")&gt;0,"H",IF(COUNTIFS('Policy Assignments'!$C$5:$C$868,$A146,'Policy Assignments'!$B$5:$B$868,M$4,'Policy Assignments'!$E$5:$E$868,"Core")&gt;0,"R",IF(COUNTIFS('Policy Assignments'!$C$5:$C$868,$A146,'Policy Assignments'!$B$5:$B$868,M$4,'Policy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N146" s="94" t="str">
        <x:f>IF(COUNTIFS('Policy Assignments'!$C$5:$C$868,$A146,'Policy Assignments'!$B$5:$B$868,N$4,'Policy Assignments'!$E$5:$E$868,"Hold")&gt;0,"H",IF(COUNTIFS('Policy Assignments'!$C$5:$C$868,$A146,'Policy Assignments'!$B$5:$B$868,N$4,'Policy Assignments'!$E$5:$E$868,"Core")&gt;0,"R",IF(COUNTIFS('Policy Assignments'!$C$5:$C$868,$A146,'Policy Assignments'!$B$5:$B$868,N$4,'Policy Assignments'!$E$5:$E$868,"Conditional")&gt;0,"C",IF(COUNTIFS('Policy Assignments'!$C$5:$C$868,$A146,'Policy Assignments'!$B$5:$B$868,"General",'Policy Assignments'!$E$5:$E$868,"Hold")&gt;0,"H",IF(COUNTIFS('Policy Assignments'!$C$5:$C$868,$A146,'Policy Assignments'!$B$5:$B$868,"General",'Policy Assignments'!$E$5:$E$868,"Conditional")&gt;0,"C",IF(COUNTIFS('Policy Assignments'!$C$5:$C$868,$A146,'Policy Assignments'!$B$5:$B$868,"General")&gt;0,"G",""))))))</x:f>
      </x:c>
      <x:c r="O146" s="94" t="str">
        <x:f>IF(COUNTIFS('Policy Assignments'!$C$5:$C$868,$A146,'Policy Assignments'!$B$5:$B$868,O$4,'Policy Assignments'!$E$5:$E$868,"Hold")&gt;0,"H",IF(COUNTIFS('Policy Assignments'!$C$5:$C$868,$A146,'Policy Assignments'!$B$5:$B$868,O$4,'Policy Assignments'!$E$5:$E$868,"Core")&gt;0,"R",IF(COUNTIFS('Policy Assignments'!$C$5:$C$868,$A146,'Policy Assignments'!$B$5:$B$868,O$4,'Policy Assignments'!$E$5:$E$868,"Conditional")&gt;0,"C","")))</x:f>
      </x:c>
      <x:c r="P146" s="90" t="str">
        <x:v>Hold/correction required</x:v>
      </x:c>
    </x:row>
    <x:row r="147" ht="22" customHeight="1">
      <x:c r="A147" s="90" t="str">
        <x:v>HR-JD-007</x:v>
      </x:c>
      <x:c r="B147" s="90" t="str">
        <x:v>Home Health Aide — Job Description</x:v>
      </x:c>
      <x:c r="C147" s="94" t="str">
        <x:f>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D147" s="94" t="str">
        <x:f>IF(COUNTIFS('Policy Assignments'!$C$5:$C$868,$A147,'Policy Assignments'!$B$5:$B$868,D$4,'Policy Assignments'!$E$5:$E$868,"Hold")&gt;0,"H",IF(COUNTIFS('Policy Assignments'!$C$5:$C$868,$A147,'Policy Assignments'!$B$5:$B$868,D$4,'Policy Assignments'!$E$5:$E$868,"Core")&gt;0,"R",IF(COUNTIFS('Policy Assignments'!$C$5:$C$868,$A147,'Policy Assignments'!$B$5:$B$868,D$4,'Policy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E147" s="94" t="str">
        <x:f>IF(COUNTIFS('Policy Assignments'!$C$5:$C$868,$A147,'Policy Assignments'!$B$5:$B$868,E$4,'Policy Assignments'!$E$5:$E$868,"Hold")&gt;0,"H",IF(COUNTIFS('Policy Assignments'!$C$5:$C$868,$A147,'Policy Assignments'!$B$5:$B$868,E$4,'Policy Assignments'!$E$5:$E$868,"Core")&gt;0,"R",IF(COUNTIFS('Policy Assignments'!$C$5:$C$868,$A147,'Policy Assignments'!$B$5:$B$868,E$4,'Policy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F147" s="94" t="str">
        <x:f>IF(COUNTIFS('Policy Assignments'!$C$5:$C$868,$A147,'Policy Assignments'!$B$5:$B$868,F$4,'Policy Assignments'!$E$5:$E$868,"Hold")&gt;0,"H",IF(COUNTIFS('Policy Assignments'!$C$5:$C$868,$A147,'Policy Assignments'!$B$5:$B$868,F$4,'Policy Assignments'!$E$5:$E$868,"Core")&gt;0,"R",IF(COUNTIFS('Policy Assignments'!$C$5:$C$868,$A147,'Policy Assignments'!$B$5:$B$868,F$4,'Policy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v>R</x:v>
      </x:c>
      <x:c r="G147" s="94" t="str">
        <x:f>IF(COUNTIFS('Policy Assignments'!$C$5:$C$868,$A147,'Policy Assignments'!$B$5:$B$868,G$4,'Policy Assignments'!$E$5:$E$868,"Hold")&gt;0,"H",IF(COUNTIFS('Policy Assignments'!$C$5:$C$868,$A147,'Policy Assignments'!$B$5:$B$868,G$4,'Policy Assignments'!$E$5:$E$868,"Core")&gt;0,"R",IF(COUNTIFS('Policy Assignments'!$C$5:$C$868,$A147,'Policy Assignments'!$B$5:$B$868,G$4,'Policy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H147" s="94" t="str">
        <x:f>IF(COUNTIFS('Policy Assignments'!$C$5:$C$868,$A147,'Policy Assignments'!$B$5:$B$868,H$4,'Policy Assignments'!$E$5:$E$868,"Hold")&gt;0,"H",IF(COUNTIFS('Policy Assignments'!$C$5:$C$868,$A147,'Policy Assignments'!$B$5:$B$868,H$4,'Policy Assignments'!$E$5:$E$868,"Core")&gt;0,"R",IF(COUNTIFS('Policy Assignments'!$C$5:$C$868,$A147,'Policy Assignments'!$B$5:$B$868,H$4,'Policy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I147" s="94" t="str">
        <x:f>IF(COUNTIFS('Policy Assignments'!$C$5:$C$868,$A147,'Policy Assignments'!$B$5:$B$868,I$4,'Policy Assignments'!$E$5:$E$868,"Hold")&gt;0,"H",IF(COUNTIFS('Policy Assignments'!$C$5:$C$868,$A147,'Policy Assignments'!$B$5:$B$868,I$4,'Policy Assignments'!$E$5:$E$868,"Core")&gt;0,"R",IF(COUNTIFS('Policy Assignments'!$C$5:$C$868,$A147,'Policy Assignments'!$B$5:$B$868,I$4,'Policy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J147" s="94" t="str">
        <x:f>IF(COUNTIFS('Policy Assignments'!$C$5:$C$868,$A147,'Policy Assignments'!$B$5:$B$868,J$4,'Policy Assignments'!$E$5:$E$868,"Hold")&gt;0,"H",IF(COUNTIFS('Policy Assignments'!$C$5:$C$868,$A147,'Policy Assignments'!$B$5:$B$868,J$4,'Policy Assignments'!$E$5:$E$868,"Core")&gt;0,"R",IF(COUNTIFS('Policy Assignments'!$C$5:$C$868,$A147,'Policy Assignments'!$B$5:$B$868,J$4,'Policy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K147" s="94" t="str">
        <x:f>IF(COUNTIFS('Policy Assignments'!$C$5:$C$868,$A147,'Policy Assignments'!$B$5:$B$868,K$4,'Policy Assignments'!$E$5:$E$868,"Hold")&gt;0,"H",IF(COUNTIFS('Policy Assignments'!$C$5:$C$868,$A147,'Policy Assignments'!$B$5:$B$868,K$4,'Policy Assignments'!$E$5:$E$868,"Core")&gt;0,"R",IF(COUNTIFS('Policy Assignments'!$C$5:$C$868,$A147,'Policy Assignments'!$B$5:$B$868,K$4,'Policy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L147" s="94" t="str">
        <x:f>IF(COUNTIFS('Policy Assignments'!$C$5:$C$868,$A147,'Policy Assignments'!$B$5:$B$868,L$4,'Policy Assignments'!$E$5:$E$868,"Hold")&gt;0,"H",IF(COUNTIFS('Policy Assignments'!$C$5:$C$868,$A147,'Policy Assignments'!$B$5:$B$868,L$4,'Policy Assignments'!$E$5:$E$868,"Core")&gt;0,"R",IF(COUNTIFS('Policy Assignments'!$C$5:$C$868,$A147,'Policy Assignments'!$B$5:$B$868,L$4,'Policy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M147" s="94" t="str">
        <x:f>IF(COUNTIFS('Policy Assignments'!$C$5:$C$868,$A147,'Policy Assignments'!$B$5:$B$868,M$4,'Policy Assignments'!$E$5:$E$868,"Hold")&gt;0,"H",IF(COUNTIFS('Policy Assignments'!$C$5:$C$868,$A147,'Policy Assignments'!$B$5:$B$868,M$4,'Policy Assignments'!$E$5:$E$868,"Core")&gt;0,"R",IF(COUNTIFS('Policy Assignments'!$C$5:$C$868,$A147,'Policy Assignments'!$B$5:$B$868,M$4,'Policy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N147" s="94" t="str">
        <x:f>IF(COUNTIFS('Policy Assignments'!$C$5:$C$868,$A147,'Policy Assignments'!$B$5:$B$868,N$4,'Policy Assignments'!$E$5:$E$868,"Hold")&gt;0,"H",IF(COUNTIFS('Policy Assignments'!$C$5:$C$868,$A147,'Policy Assignments'!$B$5:$B$868,N$4,'Policy Assignments'!$E$5:$E$868,"Core")&gt;0,"R",IF(COUNTIFS('Policy Assignments'!$C$5:$C$868,$A147,'Policy Assignments'!$B$5:$B$868,N$4,'Policy Assignments'!$E$5:$E$868,"Conditional")&gt;0,"C",IF(COUNTIFS('Policy Assignments'!$C$5:$C$868,$A147,'Policy Assignments'!$B$5:$B$868,"General",'Policy Assignments'!$E$5:$E$868,"Hold")&gt;0,"H",IF(COUNTIFS('Policy Assignments'!$C$5:$C$868,$A147,'Policy Assignments'!$B$5:$B$868,"General",'Policy Assignments'!$E$5:$E$868,"Conditional")&gt;0,"C",IF(COUNTIFS('Policy Assignments'!$C$5:$C$868,$A147,'Policy Assignments'!$B$5:$B$868,"General")&gt;0,"G",""))))))</x:f>
      </x:c>
      <x:c r="O147" s="94" t="str">
        <x:f>IF(COUNTIFS('Policy Assignments'!$C$5:$C$868,$A147,'Policy Assignments'!$B$5:$B$868,O$4,'Policy Assignments'!$E$5:$E$868,"Hold")&gt;0,"H",IF(COUNTIFS('Policy Assignments'!$C$5:$C$868,$A147,'Policy Assignments'!$B$5:$B$868,O$4,'Policy Assignments'!$E$5:$E$868,"Core")&gt;0,"R",IF(COUNTIFS('Policy Assignments'!$C$5:$C$868,$A147,'Policy Assignments'!$B$5:$B$868,O$4,'Policy Assignments'!$E$5:$E$868,"Conditional")&gt;0,"C","")))</x:f>
      </x:c>
      <x:c r="P147" s="90" t="str">
        <x:v>Mapped</x:v>
      </x:c>
    </x:row>
    <x:row r="148" ht="22" customHeight="1">
      <x:c r="A148" s="90" t="str">
        <x:v>HR-JD-008</x:v>
      </x:c>
      <x:c r="B148" s="90" t="str">
        <x:v>Physical Therapist — Job Description (full policy body missing)</x:v>
      </x:c>
      <x:c r="C148" s="94" t="str">
        <x:f>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D148" s="94" t="str">
        <x:f>IF(COUNTIFS('Policy Assignments'!$C$5:$C$868,$A148,'Policy Assignments'!$B$5:$B$868,D$4,'Policy Assignments'!$E$5:$E$868,"Hold")&gt;0,"H",IF(COUNTIFS('Policy Assignments'!$C$5:$C$868,$A148,'Policy Assignments'!$B$5:$B$868,D$4,'Policy Assignments'!$E$5:$E$868,"Core")&gt;0,"R",IF(COUNTIFS('Policy Assignments'!$C$5:$C$868,$A148,'Policy Assignments'!$B$5:$B$868,D$4,'Policy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E148" s="94" t="str">
        <x:f>IF(COUNTIFS('Policy Assignments'!$C$5:$C$868,$A148,'Policy Assignments'!$B$5:$B$868,E$4,'Policy Assignments'!$E$5:$E$868,"Hold")&gt;0,"H",IF(COUNTIFS('Policy Assignments'!$C$5:$C$868,$A148,'Policy Assignments'!$B$5:$B$868,E$4,'Policy Assignments'!$E$5:$E$868,"Core")&gt;0,"R",IF(COUNTIFS('Policy Assignments'!$C$5:$C$868,$A148,'Policy Assignments'!$B$5:$B$868,E$4,'Policy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F148" s="94" t="str">
        <x:f>IF(COUNTIFS('Policy Assignments'!$C$5:$C$868,$A148,'Policy Assignments'!$B$5:$B$868,F$4,'Policy Assignments'!$E$5:$E$868,"Hold")&gt;0,"H",IF(COUNTIFS('Policy Assignments'!$C$5:$C$868,$A148,'Policy Assignments'!$B$5:$B$868,F$4,'Policy Assignments'!$E$5:$E$868,"Core")&gt;0,"R",IF(COUNTIFS('Policy Assignments'!$C$5:$C$868,$A148,'Policy Assignments'!$B$5:$B$868,F$4,'Policy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G148" s="94" t="str">
        <x:f>IF(COUNTIFS('Policy Assignments'!$C$5:$C$868,$A148,'Policy Assignments'!$B$5:$B$868,G$4,'Policy Assignments'!$E$5:$E$868,"Hold")&gt;0,"H",IF(COUNTIFS('Policy Assignments'!$C$5:$C$868,$A148,'Policy Assignments'!$B$5:$B$868,G$4,'Policy Assignments'!$E$5:$E$868,"Core")&gt;0,"R",IF(COUNTIFS('Policy Assignments'!$C$5:$C$868,$A148,'Policy Assignments'!$B$5:$B$868,G$4,'Policy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v>H</x:v>
      </x:c>
      <x:c r="H148" s="94" t="str">
        <x:f>IF(COUNTIFS('Policy Assignments'!$C$5:$C$868,$A148,'Policy Assignments'!$B$5:$B$868,H$4,'Policy Assignments'!$E$5:$E$868,"Hold")&gt;0,"H",IF(COUNTIFS('Policy Assignments'!$C$5:$C$868,$A148,'Policy Assignments'!$B$5:$B$868,H$4,'Policy Assignments'!$E$5:$E$868,"Core")&gt;0,"R",IF(COUNTIFS('Policy Assignments'!$C$5:$C$868,$A148,'Policy Assignments'!$B$5:$B$868,H$4,'Policy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I148" s="94" t="str">
        <x:f>IF(COUNTIFS('Policy Assignments'!$C$5:$C$868,$A148,'Policy Assignments'!$B$5:$B$868,I$4,'Policy Assignments'!$E$5:$E$868,"Hold")&gt;0,"H",IF(COUNTIFS('Policy Assignments'!$C$5:$C$868,$A148,'Policy Assignments'!$B$5:$B$868,I$4,'Policy Assignments'!$E$5:$E$868,"Core")&gt;0,"R",IF(COUNTIFS('Policy Assignments'!$C$5:$C$868,$A148,'Policy Assignments'!$B$5:$B$868,I$4,'Policy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J148" s="94" t="str">
        <x:f>IF(COUNTIFS('Policy Assignments'!$C$5:$C$868,$A148,'Policy Assignments'!$B$5:$B$868,J$4,'Policy Assignments'!$E$5:$E$868,"Hold")&gt;0,"H",IF(COUNTIFS('Policy Assignments'!$C$5:$C$868,$A148,'Policy Assignments'!$B$5:$B$868,J$4,'Policy Assignments'!$E$5:$E$868,"Core")&gt;0,"R",IF(COUNTIFS('Policy Assignments'!$C$5:$C$868,$A148,'Policy Assignments'!$B$5:$B$868,J$4,'Policy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K148" s="94" t="str">
        <x:f>IF(COUNTIFS('Policy Assignments'!$C$5:$C$868,$A148,'Policy Assignments'!$B$5:$B$868,K$4,'Policy Assignments'!$E$5:$E$868,"Hold")&gt;0,"H",IF(COUNTIFS('Policy Assignments'!$C$5:$C$868,$A148,'Policy Assignments'!$B$5:$B$868,K$4,'Policy Assignments'!$E$5:$E$868,"Core")&gt;0,"R",IF(COUNTIFS('Policy Assignments'!$C$5:$C$868,$A148,'Policy Assignments'!$B$5:$B$868,K$4,'Policy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L148" s="94" t="str">
        <x:f>IF(COUNTIFS('Policy Assignments'!$C$5:$C$868,$A148,'Policy Assignments'!$B$5:$B$868,L$4,'Policy Assignments'!$E$5:$E$868,"Hold")&gt;0,"H",IF(COUNTIFS('Policy Assignments'!$C$5:$C$868,$A148,'Policy Assignments'!$B$5:$B$868,L$4,'Policy Assignments'!$E$5:$E$868,"Core")&gt;0,"R",IF(COUNTIFS('Policy Assignments'!$C$5:$C$868,$A148,'Policy Assignments'!$B$5:$B$868,L$4,'Policy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M148" s="94" t="str">
        <x:f>IF(COUNTIFS('Policy Assignments'!$C$5:$C$868,$A148,'Policy Assignments'!$B$5:$B$868,M$4,'Policy Assignments'!$E$5:$E$868,"Hold")&gt;0,"H",IF(COUNTIFS('Policy Assignments'!$C$5:$C$868,$A148,'Policy Assignments'!$B$5:$B$868,M$4,'Policy Assignments'!$E$5:$E$868,"Core")&gt;0,"R",IF(COUNTIFS('Policy Assignments'!$C$5:$C$868,$A148,'Policy Assignments'!$B$5:$B$868,M$4,'Policy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N148" s="94" t="str">
        <x:f>IF(COUNTIFS('Policy Assignments'!$C$5:$C$868,$A148,'Policy Assignments'!$B$5:$B$868,N$4,'Policy Assignments'!$E$5:$E$868,"Hold")&gt;0,"H",IF(COUNTIFS('Policy Assignments'!$C$5:$C$868,$A148,'Policy Assignments'!$B$5:$B$868,N$4,'Policy Assignments'!$E$5:$E$868,"Core")&gt;0,"R",IF(COUNTIFS('Policy Assignments'!$C$5:$C$868,$A148,'Policy Assignments'!$B$5:$B$868,N$4,'Policy Assignments'!$E$5:$E$868,"Conditional")&gt;0,"C",IF(COUNTIFS('Policy Assignments'!$C$5:$C$868,$A148,'Policy Assignments'!$B$5:$B$868,"General",'Policy Assignments'!$E$5:$E$868,"Hold")&gt;0,"H",IF(COUNTIFS('Policy Assignments'!$C$5:$C$868,$A148,'Policy Assignments'!$B$5:$B$868,"General",'Policy Assignments'!$E$5:$E$868,"Conditional")&gt;0,"C",IF(COUNTIFS('Policy Assignments'!$C$5:$C$868,$A148,'Policy Assignments'!$B$5:$B$868,"General")&gt;0,"G",""))))))</x:f>
      </x:c>
      <x:c r="O148" s="94" t="str">
        <x:f>IF(COUNTIFS('Policy Assignments'!$C$5:$C$868,$A148,'Policy Assignments'!$B$5:$B$868,O$4,'Policy Assignments'!$E$5:$E$868,"Hold")&gt;0,"H",IF(COUNTIFS('Policy Assignments'!$C$5:$C$868,$A148,'Policy Assignments'!$B$5:$B$868,O$4,'Policy Assignments'!$E$5:$E$868,"Core")&gt;0,"R",IF(COUNTIFS('Policy Assignments'!$C$5:$C$868,$A148,'Policy Assignments'!$B$5:$B$868,O$4,'Policy Assignments'!$E$5:$E$868,"Conditional")&gt;0,"C","")))</x:f>
      </x:c>
      <x:c r="P148" s="90" t="str">
        <x:v>Hold/correction required</x:v>
      </x:c>
    </x:row>
    <x:row r="149" ht="22" customHeight="1">
      <x:c r="A149" s="90" t="str">
        <x:v>HR-JD-009</x:v>
      </x:c>
      <x:c r="B149" s="90" t="str">
        <x:v>Occupational Therapist — Job Description (full policy body missing)</x:v>
      </x:c>
      <x:c r="C149" s="94" t="str">
        <x:f>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D149" s="94" t="str">
        <x:f>IF(COUNTIFS('Policy Assignments'!$C$5:$C$868,$A149,'Policy Assignments'!$B$5:$B$868,D$4,'Policy Assignments'!$E$5:$E$868,"Hold")&gt;0,"H",IF(COUNTIFS('Policy Assignments'!$C$5:$C$868,$A149,'Policy Assignments'!$B$5:$B$868,D$4,'Policy Assignments'!$E$5:$E$868,"Core")&gt;0,"R",IF(COUNTIFS('Policy Assignments'!$C$5:$C$868,$A149,'Policy Assignments'!$B$5:$B$868,D$4,'Policy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E149" s="94" t="str">
        <x:f>IF(COUNTIFS('Policy Assignments'!$C$5:$C$868,$A149,'Policy Assignments'!$B$5:$B$868,E$4,'Policy Assignments'!$E$5:$E$868,"Hold")&gt;0,"H",IF(COUNTIFS('Policy Assignments'!$C$5:$C$868,$A149,'Policy Assignments'!$B$5:$B$868,E$4,'Policy Assignments'!$E$5:$E$868,"Core")&gt;0,"R",IF(COUNTIFS('Policy Assignments'!$C$5:$C$868,$A149,'Policy Assignments'!$B$5:$B$868,E$4,'Policy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F149" s="94" t="str">
        <x:f>IF(COUNTIFS('Policy Assignments'!$C$5:$C$868,$A149,'Policy Assignments'!$B$5:$B$868,F$4,'Policy Assignments'!$E$5:$E$868,"Hold")&gt;0,"H",IF(COUNTIFS('Policy Assignments'!$C$5:$C$868,$A149,'Policy Assignments'!$B$5:$B$868,F$4,'Policy Assignments'!$E$5:$E$868,"Core")&gt;0,"R",IF(COUNTIFS('Policy Assignments'!$C$5:$C$868,$A149,'Policy Assignments'!$B$5:$B$868,F$4,'Policy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G149" s="94" t="str">
        <x:f>IF(COUNTIFS('Policy Assignments'!$C$5:$C$868,$A149,'Policy Assignments'!$B$5:$B$868,G$4,'Policy Assignments'!$E$5:$E$868,"Hold")&gt;0,"H",IF(COUNTIFS('Policy Assignments'!$C$5:$C$868,$A149,'Policy Assignments'!$B$5:$B$868,G$4,'Policy Assignments'!$E$5:$E$868,"Core")&gt;0,"R",IF(COUNTIFS('Policy Assignments'!$C$5:$C$868,$A149,'Policy Assignments'!$B$5:$B$868,G$4,'Policy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H149" s="94" t="str">
        <x:f>IF(COUNTIFS('Policy Assignments'!$C$5:$C$868,$A149,'Policy Assignments'!$B$5:$B$868,H$4,'Policy Assignments'!$E$5:$E$868,"Hold")&gt;0,"H",IF(COUNTIFS('Policy Assignments'!$C$5:$C$868,$A149,'Policy Assignments'!$B$5:$B$868,H$4,'Policy Assignments'!$E$5:$E$868,"Core")&gt;0,"R",IF(COUNTIFS('Policy Assignments'!$C$5:$C$868,$A149,'Policy Assignments'!$B$5:$B$868,H$4,'Policy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I149" s="94" t="str">
        <x:f>IF(COUNTIFS('Policy Assignments'!$C$5:$C$868,$A149,'Policy Assignments'!$B$5:$B$868,I$4,'Policy Assignments'!$E$5:$E$868,"Hold")&gt;0,"H",IF(COUNTIFS('Policy Assignments'!$C$5:$C$868,$A149,'Policy Assignments'!$B$5:$B$868,I$4,'Policy Assignments'!$E$5:$E$868,"Core")&gt;0,"R",IF(COUNTIFS('Policy Assignments'!$C$5:$C$868,$A149,'Policy Assignments'!$B$5:$B$868,I$4,'Policy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v>H</x:v>
      </x:c>
      <x:c r="J149" s="94" t="str">
        <x:f>IF(COUNTIFS('Policy Assignments'!$C$5:$C$868,$A149,'Policy Assignments'!$B$5:$B$868,J$4,'Policy Assignments'!$E$5:$E$868,"Hold")&gt;0,"H",IF(COUNTIFS('Policy Assignments'!$C$5:$C$868,$A149,'Policy Assignments'!$B$5:$B$868,J$4,'Policy Assignments'!$E$5:$E$868,"Core")&gt;0,"R",IF(COUNTIFS('Policy Assignments'!$C$5:$C$868,$A149,'Policy Assignments'!$B$5:$B$868,J$4,'Policy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K149" s="94" t="str">
        <x:f>IF(COUNTIFS('Policy Assignments'!$C$5:$C$868,$A149,'Policy Assignments'!$B$5:$B$868,K$4,'Policy Assignments'!$E$5:$E$868,"Hold")&gt;0,"H",IF(COUNTIFS('Policy Assignments'!$C$5:$C$868,$A149,'Policy Assignments'!$B$5:$B$868,K$4,'Policy Assignments'!$E$5:$E$868,"Core")&gt;0,"R",IF(COUNTIFS('Policy Assignments'!$C$5:$C$868,$A149,'Policy Assignments'!$B$5:$B$868,K$4,'Policy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L149" s="94" t="str">
        <x:f>IF(COUNTIFS('Policy Assignments'!$C$5:$C$868,$A149,'Policy Assignments'!$B$5:$B$868,L$4,'Policy Assignments'!$E$5:$E$868,"Hold")&gt;0,"H",IF(COUNTIFS('Policy Assignments'!$C$5:$C$868,$A149,'Policy Assignments'!$B$5:$B$868,L$4,'Policy Assignments'!$E$5:$E$868,"Core")&gt;0,"R",IF(COUNTIFS('Policy Assignments'!$C$5:$C$868,$A149,'Policy Assignments'!$B$5:$B$868,L$4,'Policy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M149" s="94" t="str">
        <x:f>IF(COUNTIFS('Policy Assignments'!$C$5:$C$868,$A149,'Policy Assignments'!$B$5:$B$868,M$4,'Policy Assignments'!$E$5:$E$868,"Hold")&gt;0,"H",IF(COUNTIFS('Policy Assignments'!$C$5:$C$868,$A149,'Policy Assignments'!$B$5:$B$868,M$4,'Policy Assignments'!$E$5:$E$868,"Core")&gt;0,"R",IF(COUNTIFS('Policy Assignments'!$C$5:$C$868,$A149,'Policy Assignments'!$B$5:$B$868,M$4,'Policy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N149" s="94" t="str">
        <x:f>IF(COUNTIFS('Policy Assignments'!$C$5:$C$868,$A149,'Policy Assignments'!$B$5:$B$868,N$4,'Policy Assignments'!$E$5:$E$868,"Hold")&gt;0,"H",IF(COUNTIFS('Policy Assignments'!$C$5:$C$868,$A149,'Policy Assignments'!$B$5:$B$868,N$4,'Policy Assignments'!$E$5:$E$868,"Core")&gt;0,"R",IF(COUNTIFS('Policy Assignments'!$C$5:$C$868,$A149,'Policy Assignments'!$B$5:$B$868,N$4,'Policy Assignments'!$E$5:$E$868,"Conditional")&gt;0,"C",IF(COUNTIFS('Policy Assignments'!$C$5:$C$868,$A149,'Policy Assignments'!$B$5:$B$868,"General",'Policy Assignments'!$E$5:$E$868,"Hold")&gt;0,"H",IF(COUNTIFS('Policy Assignments'!$C$5:$C$868,$A149,'Policy Assignments'!$B$5:$B$868,"General",'Policy Assignments'!$E$5:$E$868,"Conditional")&gt;0,"C",IF(COUNTIFS('Policy Assignments'!$C$5:$C$868,$A149,'Policy Assignments'!$B$5:$B$868,"General")&gt;0,"G",""))))))</x:f>
      </x:c>
      <x:c r="O149" s="94" t="str">
        <x:f>IF(COUNTIFS('Policy Assignments'!$C$5:$C$868,$A149,'Policy Assignments'!$B$5:$B$868,O$4,'Policy Assignments'!$E$5:$E$868,"Hold")&gt;0,"H",IF(COUNTIFS('Policy Assignments'!$C$5:$C$868,$A149,'Policy Assignments'!$B$5:$B$868,O$4,'Policy Assignments'!$E$5:$E$868,"Core")&gt;0,"R",IF(COUNTIFS('Policy Assignments'!$C$5:$C$868,$A149,'Policy Assignments'!$B$5:$B$868,O$4,'Policy Assignments'!$E$5:$E$868,"Conditional")&gt;0,"C","")))</x:f>
      </x:c>
      <x:c r="P149" s="90" t="str">
        <x:v>Hold/correction required</x:v>
      </x:c>
    </x:row>
    <x:row r="150" ht="22" customHeight="1">
      <x:c r="A150" s="90" t="str">
        <x:v>HR-JD-010</x:v>
      </x:c>
      <x:c r="B150" s="90" t="str">
        <x:v>Speech-Language Pathologist — Job Description (full policy body missing)</x:v>
      </x:c>
      <x:c r="C150" s="94" t="str">
        <x:f>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D150" s="94" t="str">
        <x:f>IF(COUNTIFS('Policy Assignments'!$C$5:$C$868,$A150,'Policy Assignments'!$B$5:$B$868,D$4,'Policy Assignments'!$E$5:$E$868,"Hold")&gt;0,"H",IF(COUNTIFS('Policy Assignments'!$C$5:$C$868,$A150,'Policy Assignments'!$B$5:$B$868,D$4,'Policy Assignments'!$E$5:$E$868,"Core")&gt;0,"R",IF(COUNTIFS('Policy Assignments'!$C$5:$C$868,$A150,'Policy Assignments'!$B$5:$B$868,D$4,'Policy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E150" s="94" t="str">
        <x:f>IF(COUNTIFS('Policy Assignments'!$C$5:$C$868,$A150,'Policy Assignments'!$B$5:$B$868,E$4,'Policy Assignments'!$E$5:$E$868,"Hold")&gt;0,"H",IF(COUNTIFS('Policy Assignments'!$C$5:$C$868,$A150,'Policy Assignments'!$B$5:$B$868,E$4,'Policy Assignments'!$E$5:$E$868,"Core")&gt;0,"R",IF(COUNTIFS('Policy Assignments'!$C$5:$C$868,$A150,'Policy Assignments'!$B$5:$B$868,E$4,'Policy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F150" s="94" t="str">
        <x:f>IF(COUNTIFS('Policy Assignments'!$C$5:$C$868,$A150,'Policy Assignments'!$B$5:$B$868,F$4,'Policy Assignments'!$E$5:$E$868,"Hold")&gt;0,"H",IF(COUNTIFS('Policy Assignments'!$C$5:$C$868,$A150,'Policy Assignments'!$B$5:$B$868,F$4,'Policy Assignments'!$E$5:$E$868,"Core")&gt;0,"R",IF(COUNTIFS('Policy Assignments'!$C$5:$C$868,$A150,'Policy Assignments'!$B$5:$B$868,F$4,'Policy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G150" s="94" t="str">
        <x:f>IF(COUNTIFS('Policy Assignments'!$C$5:$C$868,$A150,'Policy Assignments'!$B$5:$B$868,G$4,'Policy Assignments'!$E$5:$E$868,"Hold")&gt;0,"H",IF(COUNTIFS('Policy Assignments'!$C$5:$C$868,$A150,'Policy Assignments'!$B$5:$B$868,G$4,'Policy Assignments'!$E$5:$E$868,"Core")&gt;0,"R",IF(COUNTIFS('Policy Assignments'!$C$5:$C$868,$A150,'Policy Assignments'!$B$5:$B$868,G$4,'Policy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H150" s="94" t="str">
        <x:f>IF(COUNTIFS('Policy Assignments'!$C$5:$C$868,$A150,'Policy Assignments'!$B$5:$B$868,H$4,'Policy Assignments'!$E$5:$E$868,"Hold")&gt;0,"H",IF(COUNTIFS('Policy Assignments'!$C$5:$C$868,$A150,'Policy Assignments'!$B$5:$B$868,H$4,'Policy Assignments'!$E$5:$E$868,"Core")&gt;0,"R",IF(COUNTIFS('Policy Assignments'!$C$5:$C$868,$A150,'Policy Assignments'!$B$5:$B$868,H$4,'Policy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I150" s="94" t="str">
        <x:f>IF(COUNTIFS('Policy Assignments'!$C$5:$C$868,$A150,'Policy Assignments'!$B$5:$B$868,I$4,'Policy Assignments'!$E$5:$E$868,"Hold")&gt;0,"H",IF(COUNTIFS('Policy Assignments'!$C$5:$C$868,$A150,'Policy Assignments'!$B$5:$B$868,I$4,'Policy Assignments'!$E$5:$E$868,"Core")&gt;0,"R",IF(COUNTIFS('Policy Assignments'!$C$5:$C$868,$A150,'Policy Assignments'!$B$5:$B$868,I$4,'Policy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J150" s="94" t="str">
        <x:f>IF(COUNTIFS('Policy Assignments'!$C$5:$C$868,$A150,'Policy Assignments'!$B$5:$B$868,J$4,'Policy Assignments'!$E$5:$E$868,"Hold")&gt;0,"H",IF(COUNTIFS('Policy Assignments'!$C$5:$C$868,$A150,'Policy Assignments'!$B$5:$B$868,J$4,'Policy Assignments'!$E$5:$E$868,"Core")&gt;0,"R",IF(COUNTIFS('Policy Assignments'!$C$5:$C$868,$A150,'Policy Assignments'!$B$5:$B$868,J$4,'Policy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K150" s="94" t="str">
        <x:f>IF(COUNTIFS('Policy Assignments'!$C$5:$C$868,$A150,'Policy Assignments'!$B$5:$B$868,K$4,'Policy Assignments'!$E$5:$E$868,"Hold")&gt;0,"H",IF(COUNTIFS('Policy Assignments'!$C$5:$C$868,$A150,'Policy Assignments'!$B$5:$B$868,K$4,'Policy Assignments'!$E$5:$E$868,"Core")&gt;0,"R",IF(COUNTIFS('Policy Assignments'!$C$5:$C$868,$A150,'Policy Assignments'!$B$5:$B$868,K$4,'Policy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v>H</x:v>
      </x:c>
      <x:c r="L150" s="94" t="str">
        <x:f>IF(COUNTIFS('Policy Assignments'!$C$5:$C$868,$A150,'Policy Assignments'!$B$5:$B$868,L$4,'Policy Assignments'!$E$5:$E$868,"Hold")&gt;0,"H",IF(COUNTIFS('Policy Assignments'!$C$5:$C$868,$A150,'Policy Assignments'!$B$5:$B$868,L$4,'Policy Assignments'!$E$5:$E$868,"Core")&gt;0,"R",IF(COUNTIFS('Policy Assignments'!$C$5:$C$868,$A150,'Policy Assignments'!$B$5:$B$868,L$4,'Policy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M150" s="94" t="str">
        <x:f>IF(COUNTIFS('Policy Assignments'!$C$5:$C$868,$A150,'Policy Assignments'!$B$5:$B$868,M$4,'Policy Assignments'!$E$5:$E$868,"Hold")&gt;0,"H",IF(COUNTIFS('Policy Assignments'!$C$5:$C$868,$A150,'Policy Assignments'!$B$5:$B$868,M$4,'Policy Assignments'!$E$5:$E$868,"Core")&gt;0,"R",IF(COUNTIFS('Policy Assignments'!$C$5:$C$868,$A150,'Policy Assignments'!$B$5:$B$868,M$4,'Policy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N150" s="94" t="str">
        <x:f>IF(COUNTIFS('Policy Assignments'!$C$5:$C$868,$A150,'Policy Assignments'!$B$5:$B$868,N$4,'Policy Assignments'!$E$5:$E$868,"Hold")&gt;0,"H",IF(COUNTIFS('Policy Assignments'!$C$5:$C$868,$A150,'Policy Assignments'!$B$5:$B$868,N$4,'Policy Assignments'!$E$5:$E$868,"Core")&gt;0,"R",IF(COUNTIFS('Policy Assignments'!$C$5:$C$868,$A150,'Policy Assignments'!$B$5:$B$868,N$4,'Policy Assignments'!$E$5:$E$868,"Conditional")&gt;0,"C",IF(COUNTIFS('Policy Assignments'!$C$5:$C$868,$A150,'Policy Assignments'!$B$5:$B$868,"General",'Policy Assignments'!$E$5:$E$868,"Hold")&gt;0,"H",IF(COUNTIFS('Policy Assignments'!$C$5:$C$868,$A150,'Policy Assignments'!$B$5:$B$868,"General",'Policy Assignments'!$E$5:$E$868,"Conditional")&gt;0,"C",IF(COUNTIFS('Policy Assignments'!$C$5:$C$868,$A150,'Policy Assignments'!$B$5:$B$868,"General")&gt;0,"G",""))))))</x:f>
      </x:c>
      <x:c r="O150" s="94" t="str">
        <x:f>IF(COUNTIFS('Policy Assignments'!$C$5:$C$868,$A150,'Policy Assignments'!$B$5:$B$868,O$4,'Policy Assignments'!$E$5:$E$868,"Hold")&gt;0,"H",IF(COUNTIFS('Policy Assignments'!$C$5:$C$868,$A150,'Policy Assignments'!$B$5:$B$868,O$4,'Policy Assignments'!$E$5:$E$868,"Core")&gt;0,"R",IF(COUNTIFS('Policy Assignments'!$C$5:$C$868,$A150,'Policy Assignments'!$B$5:$B$868,O$4,'Policy Assignments'!$E$5:$E$868,"Conditional")&gt;0,"C","")))</x:f>
      </x:c>
      <x:c r="P150" s="90" t="str">
        <x:v>Hold/correction required</x:v>
      </x:c>
    </x:row>
    <x:row r="151" ht="22" customHeight="1">
      <x:c r="A151" s="90" t="str">
        <x:v>HR-JD-011</x:v>
      </x:c>
      <x:c r="B151" s="90" t="str">
        <x:v>Medical Social Worker — Job Description</x:v>
      </x:c>
      <x:c r="C151" s="94" t="str">
        <x:f>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D151" s="94" t="str">
        <x:f>IF(COUNTIFS('Policy Assignments'!$C$5:$C$868,$A151,'Policy Assignments'!$B$5:$B$868,D$4,'Policy Assignments'!$E$5:$E$868,"Hold")&gt;0,"H",IF(COUNTIFS('Policy Assignments'!$C$5:$C$868,$A151,'Policy Assignments'!$B$5:$B$868,D$4,'Policy Assignments'!$E$5:$E$868,"Core")&gt;0,"R",IF(COUNTIFS('Policy Assignments'!$C$5:$C$868,$A151,'Policy Assignments'!$B$5:$B$868,D$4,'Policy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E151" s="94" t="str">
        <x:f>IF(COUNTIFS('Policy Assignments'!$C$5:$C$868,$A151,'Policy Assignments'!$B$5:$B$868,E$4,'Policy Assignments'!$E$5:$E$868,"Hold")&gt;0,"H",IF(COUNTIFS('Policy Assignments'!$C$5:$C$868,$A151,'Policy Assignments'!$B$5:$B$868,E$4,'Policy Assignments'!$E$5:$E$868,"Core")&gt;0,"R",IF(COUNTIFS('Policy Assignments'!$C$5:$C$868,$A151,'Policy Assignments'!$B$5:$B$868,E$4,'Policy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F151" s="94" t="str">
        <x:f>IF(COUNTIFS('Policy Assignments'!$C$5:$C$868,$A151,'Policy Assignments'!$B$5:$B$868,F$4,'Policy Assignments'!$E$5:$E$868,"Hold")&gt;0,"H",IF(COUNTIFS('Policy Assignments'!$C$5:$C$868,$A151,'Policy Assignments'!$B$5:$B$868,F$4,'Policy Assignments'!$E$5:$E$868,"Core")&gt;0,"R",IF(COUNTIFS('Policy Assignments'!$C$5:$C$868,$A151,'Policy Assignments'!$B$5:$B$868,F$4,'Policy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G151" s="94" t="str">
        <x:f>IF(COUNTIFS('Policy Assignments'!$C$5:$C$868,$A151,'Policy Assignments'!$B$5:$B$868,G$4,'Policy Assignments'!$E$5:$E$868,"Hold")&gt;0,"H",IF(COUNTIFS('Policy Assignments'!$C$5:$C$868,$A151,'Policy Assignments'!$B$5:$B$868,G$4,'Policy Assignments'!$E$5:$E$868,"Core")&gt;0,"R",IF(COUNTIFS('Policy Assignments'!$C$5:$C$868,$A151,'Policy Assignments'!$B$5:$B$868,G$4,'Policy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H151" s="94" t="str">
        <x:f>IF(COUNTIFS('Policy Assignments'!$C$5:$C$868,$A151,'Policy Assignments'!$B$5:$B$868,H$4,'Policy Assignments'!$E$5:$E$868,"Hold")&gt;0,"H",IF(COUNTIFS('Policy Assignments'!$C$5:$C$868,$A151,'Policy Assignments'!$B$5:$B$868,H$4,'Policy Assignments'!$E$5:$E$868,"Core")&gt;0,"R",IF(COUNTIFS('Policy Assignments'!$C$5:$C$868,$A151,'Policy Assignments'!$B$5:$B$868,H$4,'Policy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I151" s="94" t="str">
        <x:f>IF(COUNTIFS('Policy Assignments'!$C$5:$C$868,$A151,'Policy Assignments'!$B$5:$B$868,I$4,'Policy Assignments'!$E$5:$E$868,"Hold")&gt;0,"H",IF(COUNTIFS('Policy Assignments'!$C$5:$C$868,$A151,'Policy Assignments'!$B$5:$B$868,I$4,'Policy Assignments'!$E$5:$E$868,"Core")&gt;0,"R",IF(COUNTIFS('Policy Assignments'!$C$5:$C$868,$A151,'Policy Assignments'!$B$5:$B$868,I$4,'Policy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J151" s="94" t="str">
        <x:f>IF(COUNTIFS('Policy Assignments'!$C$5:$C$868,$A151,'Policy Assignments'!$B$5:$B$868,J$4,'Policy Assignments'!$E$5:$E$868,"Hold")&gt;0,"H",IF(COUNTIFS('Policy Assignments'!$C$5:$C$868,$A151,'Policy Assignments'!$B$5:$B$868,J$4,'Policy Assignments'!$E$5:$E$868,"Core")&gt;0,"R",IF(COUNTIFS('Policy Assignments'!$C$5:$C$868,$A151,'Policy Assignments'!$B$5:$B$868,J$4,'Policy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K151" s="94" t="str">
        <x:f>IF(COUNTIFS('Policy Assignments'!$C$5:$C$868,$A151,'Policy Assignments'!$B$5:$B$868,K$4,'Policy Assignments'!$E$5:$E$868,"Hold")&gt;0,"H",IF(COUNTIFS('Policy Assignments'!$C$5:$C$868,$A151,'Policy Assignments'!$B$5:$B$868,K$4,'Policy Assignments'!$E$5:$E$868,"Core")&gt;0,"R",IF(COUNTIFS('Policy Assignments'!$C$5:$C$868,$A151,'Policy Assignments'!$B$5:$B$868,K$4,'Policy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L151" s="94" t="str">
        <x:f>IF(COUNTIFS('Policy Assignments'!$C$5:$C$868,$A151,'Policy Assignments'!$B$5:$B$868,L$4,'Policy Assignments'!$E$5:$E$868,"Hold")&gt;0,"H",IF(COUNTIFS('Policy Assignments'!$C$5:$C$868,$A151,'Policy Assignments'!$B$5:$B$868,L$4,'Policy Assignments'!$E$5:$E$868,"Core")&gt;0,"R",IF(COUNTIFS('Policy Assignments'!$C$5:$C$868,$A151,'Policy Assignments'!$B$5:$B$868,L$4,'Policy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v>R</x:v>
      </x:c>
      <x:c r="M151" s="94" t="str">
        <x:f>IF(COUNTIFS('Policy Assignments'!$C$5:$C$868,$A151,'Policy Assignments'!$B$5:$B$868,M$4,'Policy Assignments'!$E$5:$E$868,"Hold")&gt;0,"H",IF(COUNTIFS('Policy Assignments'!$C$5:$C$868,$A151,'Policy Assignments'!$B$5:$B$868,M$4,'Policy Assignments'!$E$5:$E$868,"Core")&gt;0,"R",IF(COUNTIFS('Policy Assignments'!$C$5:$C$868,$A151,'Policy Assignments'!$B$5:$B$868,M$4,'Policy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N151" s="94" t="str">
        <x:f>IF(COUNTIFS('Policy Assignments'!$C$5:$C$868,$A151,'Policy Assignments'!$B$5:$B$868,N$4,'Policy Assignments'!$E$5:$E$868,"Hold")&gt;0,"H",IF(COUNTIFS('Policy Assignments'!$C$5:$C$868,$A151,'Policy Assignments'!$B$5:$B$868,N$4,'Policy Assignments'!$E$5:$E$868,"Core")&gt;0,"R",IF(COUNTIFS('Policy Assignments'!$C$5:$C$868,$A151,'Policy Assignments'!$B$5:$B$868,N$4,'Policy Assignments'!$E$5:$E$868,"Conditional")&gt;0,"C",IF(COUNTIFS('Policy Assignments'!$C$5:$C$868,$A151,'Policy Assignments'!$B$5:$B$868,"General",'Policy Assignments'!$E$5:$E$868,"Hold")&gt;0,"H",IF(COUNTIFS('Policy Assignments'!$C$5:$C$868,$A151,'Policy Assignments'!$B$5:$B$868,"General",'Policy Assignments'!$E$5:$E$868,"Conditional")&gt;0,"C",IF(COUNTIFS('Policy Assignments'!$C$5:$C$868,$A151,'Policy Assignments'!$B$5:$B$868,"General")&gt;0,"G",""))))))</x:f>
      </x:c>
      <x:c r="O151" s="94" t="str">
        <x:f>IF(COUNTIFS('Policy Assignments'!$C$5:$C$868,$A151,'Policy Assignments'!$B$5:$B$868,O$4,'Policy Assignments'!$E$5:$E$868,"Hold")&gt;0,"H",IF(COUNTIFS('Policy Assignments'!$C$5:$C$868,$A151,'Policy Assignments'!$B$5:$B$868,O$4,'Policy Assignments'!$E$5:$E$868,"Core")&gt;0,"R",IF(COUNTIFS('Policy Assignments'!$C$5:$C$868,$A151,'Policy Assignments'!$B$5:$B$868,O$4,'Policy Assignments'!$E$5:$E$868,"Conditional")&gt;0,"C","")))</x:f>
      </x:c>
      <x:c r="P151" s="90" t="str">
        <x:v>Mapped</x:v>
      </x:c>
    </x:row>
    <x:row r="152" ht="22" customHeight="1">
      <x:c r="A152" s="90" t="str">
        <x:v>HR-TA-005</x:v>
      </x:c>
      <x:c r="B152" s="90" t="str">
        <x:v>Employee Orientation &amp; Onboarding</x:v>
      </x:c>
      <x:c r="C152" s="94" t="str">
        <x:f>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D152" s="94" t="str">
        <x:f>IF(COUNTIFS('Policy Assignments'!$C$5:$C$868,$A152,'Policy Assignments'!$B$5:$B$868,D$4,'Policy Assignments'!$E$5:$E$868,"Hold")&gt;0,"H",IF(COUNTIFS('Policy Assignments'!$C$5:$C$868,$A152,'Policy Assignments'!$B$5:$B$868,D$4,'Policy Assignments'!$E$5:$E$868,"Core")&gt;0,"R",IF(COUNTIFS('Policy Assignments'!$C$5:$C$868,$A152,'Policy Assignments'!$B$5:$B$868,D$4,'Policy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E152" s="94" t="str">
        <x:f>IF(COUNTIFS('Policy Assignments'!$C$5:$C$868,$A152,'Policy Assignments'!$B$5:$B$868,E$4,'Policy Assignments'!$E$5:$E$868,"Hold")&gt;0,"H",IF(COUNTIFS('Policy Assignments'!$C$5:$C$868,$A152,'Policy Assignments'!$B$5:$B$868,E$4,'Policy Assignments'!$E$5:$E$868,"Core")&gt;0,"R",IF(COUNTIFS('Policy Assignments'!$C$5:$C$868,$A152,'Policy Assignments'!$B$5:$B$868,E$4,'Policy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F152" s="94" t="str">
        <x:f>IF(COUNTIFS('Policy Assignments'!$C$5:$C$868,$A152,'Policy Assignments'!$B$5:$B$868,F$4,'Policy Assignments'!$E$5:$E$868,"Hold")&gt;0,"H",IF(COUNTIFS('Policy Assignments'!$C$5:$C$868,$A152,'Policy Assignments'!$B$5:$B$868,F$4,'Policy Assignments'!$E$5:$E$868,"Core")&gt;0,"R",IF(COUNTIFS('Policy Assignments'!$C$5:$C$868,$A152,'Policy Assignments'!$B$5:$B$868,F$4,'Policy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G152" s="94" t="str">
        <x:f>IF(COUNTIFS('Policy Assignments'!$C$5:$C$868,$A152,'Policy Assignments'!$B$5:$B$868,G$4,'Policy Assignments'!$E$5:$E$868,"Hold")&gt;0,"H",IF(COUNTIFS('Policy Assignments'!$C$5:$C$868,$A152,'Policy Assignments'!$B$5:$B$868,G$4,'Policy Assignments'!$E$5:$E$868,"Core")&gt;0,"R",IF(COUNTIFS('Policy Assignments'!$C$5:$C$868,$A152,'Policy Assignments'!$B$5:$B$868,G$4,'Policy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H152" s="94" t="str">
        <x:f>IF(COUNTIFS('Policy Assignments'!$C$5:$C$868,$A152,'Policy Assignments'!$B$5:$B$868,H$4,'Policy Assignments'!$E$5:$E$868,"Hold")&gt;0,"H",IF(COUNTIFS('Policy Assignments'!$C$5:$C$868,$A152,'Policy Assignments'!$B$5:$B$868,H$4,'Policy Assignments'!$E$5:$E$868,"Core")&gt;0,"R",IF(COUNTIFS('Policy Assignments'!$C$5:$C$868,$A152,'Policy Assignments'!$B$5:$B$868,H$4,'Policy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I152" s="94" t="str">
        <x:f>IF(COUNTIFS('Policy Assignments'!$C$5:$C$868,$A152,'Policy Assignments'!$B$5:$B$868,I$4,'Policy Assignments'!$E$5:$E$868,"Hold")&gt;0,"H",IF(COUNTIFS('Policy Assignments'!$C$5:$C$868,$A152,'Policy Assignments'!$B$5:$B$868,I$4,'Policy Assignments'!$E$5:$E$868,"Core")&gt;0,"R",IF(COUNTIFS('Policy Assignments'!$C$5:$C$868,$A152,'Policy Assignments'!$B$5:$B$868,I$4,'Policy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J152" s="94" t="str">
        <x:f>IF(COUNTIFS('Policy Assignments'!$C$5:$C$868,$A152,'Policy Assignments'!$B$5:$B$868,J$4,'Policy Assignments'!$E$5:$E$868,"Hold")&gt;0,"H",IF(COUNTIFS('Policy Assignments'!$C$5:$C$868,$A152,'Policy Assignments'!$B$5:$B$868,J$4,'Policy Assignments'!$E$5:$E$868,"Core")&gt;0,"R",IF(COUNTIFS('Policy Assignments'!$C$5:$C$868,$A152,'Policy Assignments'!$B$5:$B$868,J$4,'Policy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K152" s="94" t="str">
        <x:f>IF(COUNTIFS('Policy Assignments'!$C$5:$C$868,$A152,'Policy Assignments'!$B$5:$B$868,K$4,'Policy Assignments'!$E$5:$E$868,"Hold")&gt;0,"H",IF(COUNTIFS('Policy Assignments'!$C$5:$C$868,$A152,'Policy Assignments'!$B$5:$B$868,K$4,'Policy Assignments'!$E$5:$E$868,"Core")&gt;0,"R",IF(COUNTIFS('Policy Assignments'!$C$5:$C$868,$A152,'Policy Assignments'!$B$5:$B$868,K$4,'Policy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L152" s="94" t="str">
        <x:f>IF(COUNTIFS('Policy Assignments'!$C$5:$C$868,$A152,'Policy Assignments'!$B$5:$B$868,L$4,'Policy Assignments'!$E$5:$E$868,"Hold")&gt;0,"H",IF(COUNTIFS('Policy Assignments'!$C$5:$C$868,$A152,'Policy Assignments'!$B$5:$B$868,L$4,'Policy Assignments'!$E$5:$E$868,"Core")&gt;0,"R",IF(COUNTIFS('Policy Assignments'!$C$5:$C$868,$A152,'Policy Assignments'!$B$5:$B$868,L$4,'Policy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G</x:v>
      </x:c>
      <x:c r="M152" s="94" t="str">
        <x:f>IF(COUNTIFS('Policy Assignments'!$C$5:$C$868,$A152,'Policy Assignments'!$B$5:$B$868,M$4,'Policy Assignments'!$E$5:$E$868,"Hold")&gt;0,"H",IF(COUNTIFS('Policy Assignments'!$C$5:$C$868,$A152,'Policy Assignments'!$B$5:$B$868,M$4,'Policy Assignments'!$E$5:$E$868,"Core")&gt;0,"R",IF(COUNTIFS('Policy Assignments'!$C$5:$C$868,$A152,'Policy Assignments'!$B$5:$B$868,M$4,'Policy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R</x:v>
      </x:c>
      <x:c r="N152" s="94" t="str">
        <x:f>IF(COUNTIFS('Policy Assignments'!$C$5:$C$868,$A152,'Policy Assignments'!$B$5:$B$868,N$4,'Policy Assignments'!$E$5:$E$868,"Hold")&gt;0,"H",IF(COUNTIFS('Policy Assignments'!$C$5:$C$868,$A152,'Policy Assignments'!$B$5:$B$868,N$4,'Policy Assignments'!$E$5:$E$868,"Core")&gt;0,"R",IF(COUNTIFS('Policy Assignments'!$C$5:$C$868,$A152,'Policy Assignments'!$B$5:$B$868,N$4,'Policy Assignments'!$E$5:$E$868,"Conditional")&gt;0,"C",IF(COUNTIFS('Policy Assignments'!$C$5:$C$868,$A152,'Policy Assignments'!$B$5:$B$868,"General",'Policy Assignments'!$E$5:$E$868,"Hold")&gt;0,"H",IF(COUNTIFS('Policy Assignments'!$C$5:$C$868,$A152,'Policy Assignments'!$B$5:$B$868,"General",'Policy Assignments'!$E$5:$E$868,"Conditional")&gt;0,"C",IF(COUNTIFS('Policy Assignments'!$C$5:$C$868,$A152,'Policy Assignments'!$B$5:$B$868,"General")&gt;0,"G",""))))))</x:f>
        <x:v>R</x:v>
      </x:c>
      <x:c r="O152" s="94" t="str">
        <x:f>IF(COUNTIFS('Policy Assignments'!$C$5:$C$868,$A152,'Policy Assignments'!$B$5:$B$868,O$4,'Policy Assignments'!$E$5:$E$868,"Hold")&gt;0,"H",IF(COUNTIFS('Policy Assignments'!$C$5:$C$868,$A152,'Policy Assignments'!$B$5:$B$868,O$4,'Policy Assignments'!$E$5:$E$868,"Core")&gt;0,"R",IF(COUNTIFS('Policy Assignments'!$C$5:$C$868,$A152,'Policy Assignments'!$B$5:$B$868,O$4,'Policy Assignments'!$E$5:$E$868,"Conditional")&gt;0,"C","")))</x:f>
      </x:c>
      <x:c r="P152" s="90" t="str">
        <x:v>Mapped</x:v>
      </x:c>
    </x:row>
    <x:row r="153" ht="22" customHeight="1">
      <x:c r="A153" s="90" t="str">
        <x:v>HR-TA-006</x:v>
      </x:c>
      <x:c r="B153" s="90" t="str">
        <x:v>Job Description &amp; Role Definition</x:v>
      </x:c>
      <x:c r="C153" s="94" t="str">
        <x:f>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c>
      <x:c r="D153" s="94" t="str">
        <x:f>IF(COUNTIFS('Policy Assignments'!$C$5:$C$868,$A153,'Policy Assignments'!$B$5:$B$868,D$4,'Policy Assignments'!$E$5:$E$868,"Hold")&gt;0,"H",IF(COUNTIFS('Policy Assignments'!$C$5:$C$868,$A153,'Policy Assignments'!$B$5:$B$868,D$4,'Policy Assignments'!$E$5:$E$868,"Core")&gt;0,"R",IF(COUNTIFS('Policy Assignments'!$C$5:$C$868,$A153,'Policy Assignments'!$B$5:$B$868,D$4,'Policy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E153" s="94" t="str">
        <x:f>IF(COUNTIFS('Policy Assignments'!$C$5:$C$868,$A153,'Policy Assignments'!$B$5:$B$868,E$4,'Policy Assignments'!$E$5:$E$868,"Hold")&gt;0,"H",IF(COUNTIFS('Policy Assignments'!$C$5:$C$868,$A153,'Policy Assignments'!$B$5:$B$868,E$4,'Policy Assignments'!$E$5:$E$868,"Core")&gt;0,"R",IF(COUNTIFS('Policy Assignments'!$C$5:$C$868,$A153,'Policy Assignments'!$B$5:$B$868,E$4,'Policy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F153" s="94" t="str">
        <x:f>IF(COUNTIFS('Policy Assignments'!$C$5:$C$868,$A153,'Policy Assignments'!$B$5:$B$868,F$4,'Policy Assignments'!$E$5:$E$868,"Hold")&gt;0,"H",IF(COUNTIFS('Policy Assignments'!$C$5:$C$868,$A153,'Policy Assignments'!$B$5:$B$868,F$4,'Policy Assignments'!$E$5:$E$868,"Core")&gt;0,"R",IF(COUNTIFS('Policy Assignments'!$C$5:$C$868,$A153,'Policy Assignments'!$B$5:$B$868,F$4,'Policy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G153" s="94" t="str">
        <x:f>IF(COUNTIFS('Policy Assignments'!$C$5:$C$868,$A153,'Policy Assignments'!$B$5:$B$868,G$4,'Policy Assignments'!$E$5:$E$868,"Hold")&gt;0,"H",IF(COUNTIFS('Policy Assignments'!$C$5:$C$868,$A153,'Policy Assignments'!$B$5:$B$868,G$4,'Policy Assignments'!$E$5:$E$868,"Core")&gt;0,"R",IF(COUNTIFS('Policy Assignments'!$C$5:$C$868,$A153,'Policy Assignments'!$B$5:$B$868,G$4,'Policy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H153" s="94" t="str">
        <x:f>IF(COUNTIFS('Policy Assignments'!$C$5:$C$868,$A153,'Policy Assignments'!$B$5:$B$868,H$4,'Policy Assignments'!$E$5:$E$868,"Hold")&gt;0,"H",IF(COUNTIFS('Policy Assignments'!$C$5:$C$868,$A153,'Policy Assignments'!$B$5:$B$868,H$4,'Policy Assignments'!$E$5:$E$868,"Core")&gt;0,"R",IF(COUNTIFS('Policy Assignments'!$C$5:$C$868,$A153,'Policy Assignments'!$B$5:$B$868,H$4,'Policy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I153" s="94" t="str">
        <x:f>IF(COUNTIFS('Policy Assignments'!$C$5:$C$868,$A153,'Policy Assignments'!$B$5:$B$868,I$4,'Policy Assignments'!$E$5:$E$868,"Hold")&gt;0,"H",IF(COUNTIFS('Policy Assignments'!$C$5:$C$868,$A153,'Policy Assignments'!$B$5:$B$868,I$4,'Policy Assignments'!$E$5:$E$868,"Core")&gt;0,"R",IF(COUNTIFS('Policy Assignments'!$C$5:$C$868,$A153,'Policy Assignments'!$B$5:$B$868,I$4,'Policy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J153" s="94" t="str">
        <x:f>IF(COUNTIFS('Policy Assignments'!$C$5:$C$868,$A153,'Policy Assignments'!$B$5:$B$868,J$4,'Policy Assignments'!$E$5:$E$868,"Hold")&gt;0,"H",IF(COUNTIFS('Policy Assignments'!$C$5:$C$868,$A153,'Policy Assignments'!$B$5:$B$868,J$4,'Policy Assignments'!$E$5:$E$868,"Core")&gt;0,"R",IF(COUNTIFS('Policy Assignments'!$C$5:$C$868,$A153,'Policy Assignments'!$B$5:$B$868,J$4,'Policy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K153" s="94" t="str">
        <x:f>IF(COUNTIFS('Policy Assignments'!$C$5:$C$868,$A153,'Policy Assignments'!$B$5:$B$868,K$4,'Policy Assignments'!$E$5:$E$868,"Hold")&gt;0,"H",IF(COUNTIFS('Policy Assignments'!$C$5:$C$868,$A153,'Policy Assignments'!$B$5:$B$868,K$4,'Policy Assignments'!$E$5:$E$868,"Core")&gt;0,"R",IF(COUNTIFS('Policy Assignments'!$C$5:$C$868,$A153,'Policy Assignments'!$B$5:$B$868,K$4,'Policy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L153" s="94" t="str">
        <x:f>IF(COUNTIFS('Policy Assignments'!$C$5:$C$868,$A153,'Policy Assignments'!$B$5:$B$868,L$4,'Policy Assignments'!$E$5:$E$868,"Hold")&gt;0,"H",IF(COUNTIFS('Policy Assignments'!$C$5:$C$868,$A153,'Policy Assignments'!$B$5:$B$868,L$4,'Policy Assignments'!$E$5:$E$868,"Core")&gt;0,"R",IF(COUNTIFS('Policy Assignments'!$C$5:$C$868,$A153,'Policy Assignments'!$B$5:$B$868,L$4,'Policy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M153" s="94" t="str">
        <x:f>IF(COUNTIFS('Policy Assignments'!$C$5:$C$868,$A153,'Policy Assignments'!$B$5:$B$868,M$4,'Policy Assignments'!$E$5:$E$868,"Hold")&gt;0,"H",IF(COUNTIFS('Policy Assignments'!$C$5:$C$868,$A153,'Policy Assignments'!$B$5:$B$868,M$4,'Policy Assignments'!$E$5:$E$868,"Core")&gt;0,"R",IF(COUNTIFS('Policy Assignments'!$C$5:$C$868,$A153,'Policy Assignments'!$B$5:$B$868,M$4,'Policy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N153" s="94" t="str">
        <x:f>IF(COUNTIFS('Policy Assignments'!$C$5:$C$868,$A153,'Policy Assignments'!$B$5:$B$868,N$4,'Policy Assignments'!$E$5:$E$868,"Hold")&gt;0,"H",IF(COUNTIFS('Policy Assignments'!$C$5:$C$868,$A153,'Policy Assignments'!$B$5:$B$868,N$4,'Policy Assignments'!$E$5:$E$868,"Core")&gt;0,"R",IF(COUNTIFS('Policy Assignments'!$C$5:$C$868,$A153,'Policy Assignments'!$B$5:$B$868,N$4,'Policy Assignments'!$E$5:$E$868,"Conditional")&gt;0,"C",IF(COUNTIFS('Policy Assignments'!$C$5:$C$868,$A153,'Policy Assignments'!$B$5:$B$868,"General",'Policy Assignments'!$E$5:$E$868,"Hold")&gt;0,"H",IF(COUNTIFS('Policy Assignments'!$C$5:$C$868,$A153,'Policy Assignments'!$B$5:$B$868,"General",'Policy Assignments'!$E$5:$E$868,"Conditional")&gt;0,"C",IF(COUNTIFS('Policy Assignments'!$C$5:$C$868,$A153,'Policy Assignments'!$B$5:$B$868,"General")&gt;0,"G",""))))))</x:f>
        <x:v>R</x:v>
      </x:c>
      <x:c r="O153" s="94" t="str">
        <x:f>IF(COUNTIFS('Policy Assignments'!$C$5:$C$868,$A153,'Policy Assignments'!$B$5:$B$868,O$4,'Policy Assignments'!$E$5:$E$868,"Hold")&gt;0,"H",IF(COUNTIFS('Policy Assignments'!$C$5:$C$868,$A153,'Policy Assignments'!$B$5:$B$868,O$4,'Policy Assignments'!$E$5:$E$868,"Core")&gt;0,"R",IF(COUNTIFS('Policy Assignments'!$C$5:$C$868,$A153,'Policy Assignments'!$B$5:$B$868,O$4,'Policy Assignments'!$E$5:$E$868,"Conditional")&gt;0,"C","")))</x:f>
      </x:c>
      <x:c r="P153" s="90" t="str">
        <x:v>Mapped</x:v>
      </x:c>
    </x:row>
    <x:row r="154" ht="22" customHeight="1">
      <x:c r="A154" s="90" t="str">
        <x:v>HR-TD-001</x:v>
      </x:c>
      <x:c r="B154" s="90" t="str">
        <x:v>Annual Mandatory Training Requirements</x:v>
      </x:c>
      <x:c r="C154" s="94" t="str">
        <x:f>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D154" s="94" t="str">
        <x:f>IF(COUNTIFS('Policy Assignments'!$C$5:$C$868,$A154,'Policy Assignments'!$B$5:$B$868,D$4,'Policy Assignments'!$E$5:$E$868,"Hold")&gt;0,"H",IF(COUNTIFS('Policy Assignments'!$C$5:$C$868,$A154,'Policy Assignments'!$B$5:$B$868,D$4,'Policy Assignments'!$E$5:$E$868,"Core")&gt;0,"R",IF(COUNTIFS('Policy Assignments'!$C$5:$C$868,$A154,'Policy Assignments'!$B$5:$B$868,D$4,'Policy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E154" s="94" t="str">
        <x:f>IF(COUNTIFS('Policy Assignments'!$C$5:$C$868,$A154,'Policy Assignments'!$B$5:$B$868,E$4,'Policy Assignments'!$E$5:$E$868,"Hold")&gt;0,"H",IF(COUNTIFS('Policy Assignments'!$C$5:$C$868,$A154,'Policy Assignments'!$B$5:$B$868,E$4,'Policy Assignments'!$E$5:$E$868,"Core")&gt;0,"R",IF(COUNTIFS('Policy Assignments'!$C$5:$C$868,$A154,'Policy Assignments'!$B$5:$B$868,E$4,'Policy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F154" s="94" t="str">
        <x:f>IF(COUNTIFS('Policy Assignments'!$C$5:$C$868,$A154,'Policy Assignments'!$B$5:$B$868,F$4,'Policy Assignments'!$E$5:$E$868,"Hold")&gt;0,"H",IF(COUNTIFS('Policy Assignments'!$C$5:$C$868,$A154,'Policy Assignments'!$B$5:$B$868,F$4,'Policy Assignments'!$E$5:$E$868,"Core")&gt;0,"R",IF(COUNTIFS('Policy Assignments'!$C$5:$C$868,$A154,'Policy Assignments'!$B$5:$B$868,F$4,'Policy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G154" s="94" t="str">
        <x:f>IF(COUNTIFS('Policy Assignments'!$C$5:$C$868,$A154,'Policy Assignments'!$B$5:$B$868,G$4,'Policy Assignments'!$E$5:$E$868,"Hold")&gt;0,"H",IF(COUNTIFS('Policy Assignments'!$C$5:$C$868,$A154,'Policy Assignments'!$B$5:$B$868,G$4,'Policy Assignments'!$E$5:$E$868,"Core")&gt;0,"R",IF(COUNTIFS('Policy Assignments'!$C$5:$C$868,$A154,'Policy Assignments'!$B$5:$B$868,G$4,'Policy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H154" s="94" t="str">
        <x:f>IF(COUNTIFS('Policy Assignments'!$C$5:$C$868,$A154,'Policy Assignments'!$B$5:$B$868,H$4,'Policy Assignments'!$E$5:$E$868,"Hold")&gt;0,"H",IF(COUNTIFS('Policy Assignments'!$C$5:$C$868,$A154,'Policy Assignments'!$B$5:$B$868,H$4,'Policy Assignments'!$E$5:$E$868,"Core")&gt;0,"R",IF(COUNTIFS('Policy Assignments'!$C$5:$C$868,$A154,'Policy Assignments'!$B$5:$B$868,H$4,'Policy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I154" s="94" t="str">
        <x:f>IF(COUNTIFS('Policy Assignments'!$C$5:$C$868,$A154,'Policy Assignments'!$B$5:$B$868,I$4,'Policy Assignments'!$E$5:$E$868,"Hold")&gt;0,"H",IF(COUNTIFS('Policy Assignments'!$C$5:$C$868,$A154,'Policy Assignments'!$B$5:$B$868,I$4,'Policy Assignments'!$E$5:$E$868,"Core")&gt;0,"R",IF(COUNTIFS('Policy Assignments'!$C$5:$C$868,$A154,'Policy Assignments'!$B$5:$B$868,I$4,'Policy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J154" s="94" t="str">
        <x:f>IF(COUNTIFS('Policy Assignments'!$C$5:$C$868,$A154,'Policy Assignments'!$B$5:$B$868,J$4,'Policy Assignments'!$E$5:$E$868,"Hold")&gt;0,"H",IF(COUNTIFS('Policy Assignments'!$C$5:$C$868,$A154,'Policy Assignments'!$B$5:$B$868,J$4,'Policy Assignments'!$E$5:$E$868,"Core")&gt;0,"R",IF(COUNTIFS('Policy Assignments'!$C$5:$C$868,$A154,'Policy Assignments'!$B$5:$B$868,J$4,'Policy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K154" s="94" t="str">
        <x:f>IF(COUNTIFS('Policy Assignments'!$C$5:$C$868,$A154,'Policy Assignments'!$B$5:$B$868,K$4,'Policy Assignments'!$E$5:$E$868,"Hold")&gt;0,"H",IF(COUNTIFS('Policy Assignments'!$C$5:$C$868,$A154,'Policy Assignments'!$B$5:$B$868,K$4,'Policy Assignments'!$E$5:$E$868,"Core")&gt;0,"R",IF(COUNTIFS('Policy Assignments'!$C$5:$C$868,$A154,'Policy Assignments'!$B$5:$B$868,K$4,'Policy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L154" s="94" t="str">
        <x:f>IF(COUNTIFS('Policy Assignments'!$C$5:$C$868,$A154,'Policy Assignments'!$B$5:$B$868,L$4,'Policy Assignments'!$E$5:$E$868,"Hold")&gt;0,"H",IF(COUNTIFS('Policy Assignments'!$C$5:$C$868,$A154,'Policy Assignments'!$B$5:$B$868,L$4,'Policy Assignments'!$E$5:$E$868,"Core")&gt;0,"R",IF(COUNTIFS('Policy Assignments'!$C$5:$C$868,$A154,'Policy Assignments'!$B$5:$B$868,L$4,'Policy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c>
      <x:c r="M154" s="94" t="str">
        <x:f>IF(COUNTIFS('Policy Assignments'!$C$5:$C$868,$A154,'Policy Assignments'!$B$5:$B$868,M$4,'Policy Assignments'!$E$5:$E$868,"Hold")&gt;0,"H",IF(COUNTIFS('Policy Assignments'!$C$5:$C$868,$A154,'Policy Assignments'!$B$5:$B$868,M$4,'Policy Assignments'!$E$5:$E$868,"Core")&gt;0,"R",IF(COUNTIFS('Policy Assignments'!$C$5:$C$868,$A154,'Policy Assignments'!$B$5:$B$868,M$4,'Policy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v>R</x:v>
      </x:c>
      <x:c r="N154" s="94" t="str">
        <x:f>IF(COUNTIFS('Policy Assignments'!$C$5:$C$868,$A154,'Policy Assignments'!$B$5:$B$868,N$4,'Policy Assignments'!$E$5:$E$868,"Hold")&gt;0,"H",IF(COUNTIFS('Policy Assignments'!$C$5:$C$868,$A154,'Policy Assignments'!$B$5:$B$868,N$4,'Policy Assignments'!$E$5:$E$868,"Core")&gt;0,"R",IF(COUNTIFS('Policy Assignments'!$C$5:$C$868,$A154,'Policy Assignments'!$B$5:$B$868,N$4,'Policy Assignments'!$E$5:$E$868,"Conditional")&gt;0,"C",IF(COUNTIFS('Policy Assignments'!$C$5:$C$868,$A154,'Policy Assignments'!$B$5:$B$868,"General",'Policy Assignments'!$E$5:$E$868,"Hold")&gt;0,"H",IF(COUNTIFS('Policy Assignments'!$C$5:$C$868,$A154,'Policy Assignments'!$B$5:$B$868,"General",'Policy Assignments'!$E$5:$E$868,"Conditional")&gt;0,"C",IF(COUNTIFS('Policy Assignments'!$C$5:$C$868,$A154,'Policy Assignments'!$B$5:$B$868,"General")&gt;0,"G",""))))))</x:f>
        <x:v>R</x:v>
      </x:c>
      <x:c r="O154" s="94" t="str">
        <x:f>IF(COUNTIFS('Policy Assignments'!$C$5:$C$868,$A154,'Policy Assignments'!$B$5:$B$868,O$4,'Policy Assignments'!$E$5:$E$868,"Hold")&gt;0,"H",IF(COUNTIFS('Policy Assignments'!$C$5:$C$868,$A154,'Policy Assignments'!$B$5:$B$868,O$4,'Policy Assignments'!$E$5:$E$868,"Core")&gt;0,"R",IF(COUNTIFS('Policy Assignments'!$C$5:$C$868,$A154,'Policy Assignments'!$B$5:$B$868,O$4,'Policy Assignments'!$E$5:$E$868,"Conditional")&gt;0,"C","")))</x:f>
      </x:c>
      <x:c r="P154" s="90" t="str">
        <x:v>Mapped</x:v>
      </x:c>
    </x:row>
    <x:row r="155" ht="22" customHeight="1">
      <x:c r="A155" s="90" t="str">
        <x:v>HR-TD-003</x:v>
      </x:c>
      <x:c r="B155" s="90" t="str">
        <x:v>Clinical Staff Competency Evaluation</x:v>
      </x:c>
      <x:c r="C155" s="94" t="str">
        <x:f>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c>
      <x:c r="D155" s="94" t="str">
        <x:f>IF(COUNTIFS('Policy Assignments'!$C$5:$C$868,$A155,'Policy Assignments'!$B$5:$B$868,D$4,'Policy Assignments'!$E$5:$E$868,"Hold")&gt;0,"H",IF(COUNTIFS('Policy Assignments'!$C$5:$C$868,$A155,'Policy Assignments'!$B$5:$B$868,D$4,'Policy Assignments'!$E$5:$E$868,"Core")&gt;0,"R",IF(COUNTIFS('Policy Assignments'!$C$5:$C$868,$A155,'Policy Assignments'!$B$5:$B$868,D$4,'Policy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E155" s="94" t="str">
        <x:f>IF(COUNTIFS('Policy Assignments'!$C$5:$C$868,$A155,'Policy Assignments'!$B$5:$B$868,E$4,'Policy Assignments'!$E$5:$E$868,"Hold")&gt;0,"H",IF(COUNTIFS('Policy Assignments'!$C$5:$C$868,$A155,'Policy Assignments'!$B$5:$B$868,E$4,'Policy Assignments'!$E$5:$E$868,"Core")&gt;0,"R",IF(COUNTIFS('Policy Assignments'!$C$5:$C$868,$A155,'Policy Assignments'!$B$5:$B$868,E$4,'Policy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F155" s="94" t="str">
        <x:f>IF(COUNTIFS('Policy Assignments'!$C$5:$C$868,$A155,'Policy Assignments'!$B$5:$B$868,F$4,'Policy Assignments'!$E$5:$E$868,"Hold")&gt;0,"H",IF(COUNTIFS('Policy Assignments'!$C$5:$C$868,$A155,'Policy Assignments'!$B$5:$B$868,F$4,'Policy Assignments'!$E$5:$E$868,"Core")&gt;0,"R",IF(COUNTIFS('Policy Assignments'!$C$5:$C$868,$A155,'Policy Assignments'!$B$5:$B$868,F$4,'Policy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G155" s="94" t="str">
        <x:f>IF(COUNTIFS('Policy Assignments'!$C$5:$C$868,$A155,'Policy Assignments'!$B$5:$B$868,G$4,'Policy Assignments'!$E$5:$E$868,"Hold")&gt;0,"H",IF(COUNTIFS('Policy Assignments'!$C$5:$C$868,$A155,'Policy Assignments'!$B$5:$B$868,G$4,'Policy Assignments'!$E$5:$E$868,"Core")&gt;0,"R",IF(COUNTIFS('Policy Assignments'!$C$5:$C$868,$A155,'Policy Assignments'!$B$5:$B$868,G$4,'Policy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H155" s="94" t="str">
        <x:f>IF(COUNTIFS('Policy Assignments'!$C$5:$C$868,$A155,'Policy Assignments'!$B$5:$B$868,H$4,'Policy Assignments'!$E$5:$E$868,"Hold")&gt;0,"H",IF(COUNTIFS('Policy Assignments'!$C$5:$C$868,$A155,'Policy Assignments'!$B$5:$B$868,H$4,'Policy Assignments'!$E$5:$E$868,"Core")&gt;0,"R",IF(COUNTIFS('Policy Assignments'!$C$5:$C$868,$A155,'Policy Assignments'!$B$5:$B$868,H$4,'Policy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I155" s="94" t="str">
        <x:f>IF(COUNTIFS('Policy Assignments'!$C$5:$C$868,$A155,'Policy Assignments'!$B$5:$B$868,I$4,'Policy Assignments'!$E$5:$E$868,"Hold")&gt;0,"H",IF(COUNTIFS('Policy Assignments'!$C$5:$C$868,$A155,'Policy Assignments'!$B$5:$B$868,I$4,'Policy Assignments'!$E$5:$E$868,"Core")&gt;0,"R",IF(COUNTIFS('Policy Assignments'!$C$5:$C$868,$A155,'Policy Assignments'!$B$5:$B$868,I$4,'Policy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J155" s="94" t="str">
        <x:f>IF(COUNTIFS('Policy Assignments'!$C$5:$C$868,$A155,'Policy Assignments'!$B$5:$B$868,J$4,'Policy Assignments'!$E$5:$E$868,"Hold")&gt;0,"H",IF(COUNTIFS('Policy Assignments'!$C$5:$C$868,$A155,'Policy Assignments'!$B$5:$B$868,J$4,'Policy Assignments'!$E$5:$E$868,"Core")&gt;0,"R",IF(COUNTIFS('Policy Assignments'!$C$5:$C$868,$A155,'Policy Assignments'!$B$5:$B$868,J$4,'Policy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K155" s="94" t="str">
        <x:f>IF(COUNTIFS('Policy Assignments'!$C$5:$C$868,$A155,'Policy Assignments'!$B$5:$B$868,K$4,'Policy Assignments'!$E$5:$E$868,"Hold")&gt;0,"H",IF(COUNTIFS('Policy Assignments'!$C$5:$C$868,$A155,'Policy Assignments'!$B$5:$B$868,K$4,'Policy Assignments'!$E$5:$E$868,"Core")&gt;0,"R",IF(COUNTIFS('Policy Assignments'!$C$5:$C$868,$A155,'Policy Assignments'!$B$5:$B$868,K$4,'Policy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L155" s="94" t="str">
        <x:f>IF(COUNTIFS('Policy Assignments'!$C$5:$C$868,$A155,'Policy Assignments'!$B$5:$B$868,L$4,'Policy Assignments'!$E$5:$E$868,"Hold")&gt;0,"H",IF(COUNTIFS('Policy Assignments'!$C$5:$C$868,$A155,'Policy Assignments'!$B$5:$B$868,L$4,'Policy Assignments'!$E$5:$E$868,"Core")&gt;0,"R",IF(COUNTIFS('Policy Assignments'!$C$5:$C$868,$A155,'Policy Assignments'!$B$5:$B$868,L$4,'Policy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M155" s="94" t="str">
        <x:f>IF(COUNTIFS('Policy Assignments'!$C$5:$C$868,$A155,'Policy Assignments'!$B$5:$B$868,M$4,'Policy Assignments'!$E$5:$E$868,"Hold")&gt;0,"H",IF(COUNTIFS('Policy Assignments'!$C$5:$C$868,$A155,'Policy Assignments'!$B$5:$B$868,M$4,'Policy Assignments'!$E$5:$E$868,"Core")&gt;0,"R",IF(COUNTIFS('Policy Assignments'!$C$5:$C$868,$A155,'Policy Assignments'!$B$5:$B$868,M$4,'Policy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N155" s="94" t="str">
        <x:f>IF(COUNTIFS('Policy Assignments'!$C$5:$C$868,$A155,'Policy Assignments'!$B$5:$B$868,N$4,'Policy Assignments'!$E$5:$E$868,"Hold")&gt;0,"H",IF(COUNTIFS('Policy Assignments'!$C$5:$C$868,$A155,'Policy Assignments'!$B$5:$B$868,N$4,'Policy Assignments'!$E$5:$E$868,"Core")&gt;0,"R",IF(COUNTIFS('Policy Assignments'!$C$5:$C$868,$A155,'Policy Assignments'!$B$5:$B$868,N$4,'Policy Assignments'!$E$5:$E$868,"Conditional")&gt;0,"C",IF(COUNTIFS('Policy Assignments'!$C$5:$C$868,$A155,'Policy Assignments'!$B$5:$B$868,"General",'Policy Assignments'!$E$5:$E$868,"Hold")&gt;0,"H",IF(COUNTIFS('Policy Assignments'!$C$5:$C$868,$A155,'Policy Assignments'!$B$5:$B$868,"General",'Policy Assignments'!$E$5:$E$868,"Conditional")&gt;0,"C",IF(COUNTIFS('Policy Assignments'!$C$5:$C$868,$A155,'Policy Assignments'!$B$5:$B$868,"General")&gt;0,"G",""))))))</x:f>
        <x:v>R</x:v>
      </x:c>
      <x:c r="O155" s="94" t="str">
        <x:f>IF(COUNTIFS('Policy Assignments'!$C$5:$C$868,$A155,'Policy Assignments'!$B$5:$B$868,O$4,'Policy Assignments'!$E$5:$E$868,"Hold")&gt;0,"H",IF(COUNTIFS('Policy Assignments'!$C$5:$C$868,$A155,'Policy Assignments'!$B$5:$B$868,O$4,'Policy Assignments'!$E$5:$E$868,"Core")&gt;0,"R",IF(COUNTIFS('Policy Assignments'!$C$5:$C$868,$A155,'Policy Assignments'!$B$5:$B$868,O$4,'Policy Assignments'!$E$5:$E$868,"Conditional")&gt;0,"C","")))</x:f>
      </x:c>
      <x:c r="P155" s="90" t="str">
        <x:v>Mapped</x:v>
      </x:c>
    </x:row>
    <x:row r="156" ht="22" customHeight="1">
      <x:c r="A156" s="90" t="str">
        <x:v>HR-TD-005</x:v>
      </x:c>
      <x:c r="B156" s="90" t="str">
        <x:v>Emergency Preparedness Training &amp; Drills</x:v>
      </x:c>
      <x:c r="C156" s="94" t="str">
        <x:f>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D156" s="94" t="str">
        <x:f>IF(COUNTIFS('Policy Assignments'!$C$5:$C$868,$A156,'Policy Assignments'!$B$5:$B$868,D$4,'Policy Assignments'!$E$5:$E$868,"Hold")&gt;0,"H",IF(COUNTIFS('Policy Assignments'!$C$5:$C$868,$A156,'Policy Assignments'!$B$5:$B$868,D$4,'Policy Assignments'!$E$5:$E$868,"Core")&gt;0,"R",IF(COUNTIFS('Policy Assignments'!$C$5:$C$868,$A156,'Policy Assignments'!$B$5:$B$868,D$4,'Policy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E156" s="94" t="str">
        <x:f>IF(COUNTIFS('Policy Assignments'!$C$5:$C$868,$A156,'Policy Assignments'!$B$5:$B$868,E$4,'Policy Assignments'!$E$5:$E$868,"Hold")&gt;0,"H",IF(COUNTIFS('Policy Assignments'!$C$5:$C$868,$A156,'Policy Assignments'!$B$5:$B$868,E$4,'Policy Assignments'!$E$5:$E$868,"Core")&gt;0,"R",IF(COUNTIFS('Policy Assignments'!$C$5:$C$868,$A156,'Policy Assignments'!$B$5:$B$868,E$4,'Policy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F156" s="94" t="str">
        <x:f>IF(COUNTIFS('Policy Assignments'!$C$5:$C$868,$A156,'Policy Assignments'!$B$5:$B$868,F$4,'Policy Assignments'!$E$5:$E$868,"Hold")&gt;0,"H",IF(COUNTIFS('Policy Assignments'!$C$5:$C$868,$A156,'Policy Assignments'!$B$5:$B$868,F$4,'Policy Assignments'!$E$5:$E$868,"Core")&gt;0,"R",IF(COUNTIFS('Policy Assignments'!$C$5:$C$868,$A156,'Policy Assignments'!$B$5:$B$868,F$4,'Policy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G156" s="94" t="str">
        <x:f>IF(COUNTIFS('Policy Assignments'!$C$5:$C$868,$A156,'Policy Assignments'!$B$5:$B$868,G$4,'Policy Assignments'!$E$5:$E$868,"Hold")&gt;0,"H",IF(COUNTIFS('Policy Assignments'!$C$5:$C$868,$A156,'Policy Assignments'!$B$5:$B$868,G$4,'Policy Assignments'!$E$5:$E$868,"Core")&gt;0,"R",IF(COUNTIFS('Policy Assignments'!$C$5:$C$868,$A156,'Policy Assignments'!$B$5:$B$868,G$4,'Policy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H156" s="94" t="str">
        <x:f>IF(COUNTIFS('Policy Assignments'!$C$5:$C$868,$A156,'Policy Assignments'!$B$5:$B$868,H$4,'Policy Assignments'!$E$5:$E$868,"Hold")&gt;0,"H",IF(COUNTIFS('Policy Assignments'!$C$5:$C$868,$A156,'Policy Assignments'!$B$5:$B$868,H$4,'Policy Assignments'!$E$5:$E$868,"Core")&gt;0,"R",IF(COUNTIFS('Policy Assignments'!$C$5:$C$868,$A156,'Policy Assignments'!$B$5:$B$868,H$4,'Policy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I156" s="94" t="str">
        <x:f>IF(COUNTIFS('Policy Assignments'!$C$5:$C$868,$A156,'Policy Assignments'!$B$5:$B$868,I$4,'Policy Assignments'!$E$5:$E$868,"Hold")&gt;0,"H",IF(COUNTIFS('Policy Assignments'!$C$5:$C$868,$A156,'Policy Assignments'!$B$5:$B$868,I$4,'Policy Assignments'!$E$5:$E$868,"Core")&gt;0,"R",IF(COUNTIFS('Policy Assignments'!$C$5:$C$868,$A156,'Policy Assignments'!$B$5:$B$868,I$4,'Policy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J156" s="94" t="str">
        <x:f>IF(COUNTIFS('Policy Assignments'!$C$5:$C$868,$A156,'Policy Assignments'!$B$5:$B$868,J$4,'Policy Assignments'!$E$5:$E$868,"Hold")&gt;0,"H",IF(COUNTIFS('Policy Assignments'!$C$5:$C$868,$A156,'Policy Assignments'!$B$5:$B$868,J$4,'Policy Assignments'!$E$5:$E$868,"Core")&gt;0,"R",IF(COUNTIFS('Policy Assignments'!$C$5:$C$868,$A156,'Policy Assignments'!$B$5:$B$868,J$4,'Policy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K156" s="94" t="str">
        <x:f>IF(COUNTIFS('Policy Assignments'!$C$5:$C$868,$A156,'Policy Assignments'!$B$5:$B$868,K$4,'Policy Assignments'!$E$5:$E$868,"Hold")&gt;0,"H",IF(COUNTIFS('Policy Assignments'!$C$5:$C$868,$A156,'Policy Assignments'!$B$5:$B$868,K$4,'Policy Assignments'!$E$5:$E$868,"Core")&gt;0,"R",IF(COUNTIFS('Policy Assignments'!$C$5:$C$868,$A156,'Policy Assignments'!$B$5:$B$868,K$4,'Policy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L156" s="94" t="str">
        <x:f>IF(COUNTIFS('Policy Assignments'!$C$5:$C$868,$A156,'Policy Assignments'!$B$5:$B$868,L$4,'Policy Assignments'!$E$5:$E$868,"Hold")&gt;0,"H",IF(COUNTIFS('Policy Assignments'!$C$5:$C$868,$A156,'Policy Assignments'!$B$5:$B$868,L$4,'Policy Assignments'!$E$5:$E$868,"Core")&gt;0,"R",IF(COUNTIFS('Policy Assignments'!$C$5:$C$868,$A156,'Policy Assignments'!$B$5:$B$868,L$4,'Policy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c>
      <x:c r="M156" s="94" t="str">
        <x:f>IF(COUNTIFS('Policy Assignments'!$C$5:$C$868,$A156,'Policy Assignments'!$B$5:$B$868,M$4,'Policy Assignments'!$E$5:$E$868,"Hold")&gt;0,"H",IF(COUNTIFS('Policy Assignments'!$C$5:$C$868,$A156,'Policy Assignments'!$B$5:$B$868,M$4,'Policy Assignments'!$E$5:$E$868,"Core")&gt;0,"R",IF(COUNTIFS('Policy Assignments'!$C$5:$C$868,$A156,'Policy Assignments'!$B$5:$B$868,M$4,'Policy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v>R</x:v>
      </x:c>
      <x:c r="N156" s="94" t="str">
        <x:f>IF(COUNTIFS('Policy Assignments'!$C$5:$C$868,$A156,'Policy Assignments'!$B$5:$B$868,N$4,'Policy Assignments'!$E$5:$E$868,"Hold")&gt;0,"H",IF(COUNTIFS('Policy Assignments'!$C$5:$C$868,$A156,'Policy Assignments'!$B$5:$B$868,N$4,'Policy Assignments'!$E$5:$E$868,"Core")&gt;0,"R",IF(COUNTIFS('Policy Assignments'!$C$5:$C$868,$A156,'Policy Assignments'!$B$5:$B$868,N$4,'Policy Assignments'!$E$5:$E$868,"Conditional")&gt;0,"C",IF(COUNTIFS('Policy Assignments'!$C$5:$C$868,$A156,'Policy Assignments'!$B$5:$B$868,"General",'Policy Assignments'!$E$5:$E$868,"Hold")&gt;0,"H",IF(COUNTIFS('Policy Assignments'!$C$5:$C$868,$A156,'Policy Assignments'!$B$5:$B$868,"General",'Policy Assignments'!$E$5:$E$868,"Conditional")&gt;0,"C",IF(COUNTIFS('Policy Assignments'!$C$5:$C$868,$A156,'Policy Assignments'!$B$5:$B$868,"General")&gt;0,"G",""))))))</x:f>
        <x:v>R</x:v>
      </x:c>
      <x:c r="O156" s="94" t="str">
        <x:f>IF(COUNTIFS('Policy Assignments'!$C$5:$C$868,$A156,'Policy Assignments'!$B$5:$B$868,O$4,'Policy Assignments'!$E$5:$E$868,"Hold")&gt;0,"H",IF(COUNTIFS('Policy Assignments'!$C$5:$C$868,$A156,'Policy Assignments'!$B$5:$B$868,O$4,'Policy Assignments'!$E$5:$E$868,"Core")&gt;0,"R",IF(COUNTIFS('Policy Assignments'!$C$5:$C$868,$A156,'Policy Assignments'!$B$5:$B$868,O$4,'Policy Assignments'!$E$5:$E$868,"Conditional")&gt;0,"C","")))</x:f>
      </x:c>
      <x:c r="P156" s="90" t="str">
        <x:v>Mapped</x:v>
      </x:c>
    </x:row>
    <x:row r="157" ht="22" customHeight="1">
      <x:c r="A157" s="90" t="str">
        <x:v>HR-TR-101</x:v>
      </x:c>
      <x:c r="B157" s="90" t="str">
        <x:v>Workforce Training, Competency &amp; Policy Acknowledgment</x:v>
      </x:c>
      <x:c r="C157" s="94" t="str">
        <x:f>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D157" s="94" t="str">
        <x:f>IF(COUNTIFS('Policy Assignments'!$C$5:$C$868,$A157,'Policy Assignments'!$B$5:$B$868,D$4,'Policy Assignments'!$E$5:$E$868,"Hold")&gt;0,"H",IF(COUNTIFS('Policy Assignments'!$C$5:$C$868,$A157,'Policy Assignments'!$B$5:$B$868,D$4,'Policy Assignments'!$E$5:$E$868,"Core")&gt;0,"R",IF(COUNTIFS('Policy Assignments'!$C$5:$C$868,$A157,'Policy Assignments'!$B$5:$B$868,D$4,'Policy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E157" s="94" t="str">
        <x:f>IF(COUNTIFS('Policy Assignments'!$C$5:$C$868,$A157,'Policy Assignments'!$B$5:$B$868,E$4,'Policy Assignments'!$E$5:$E$868,"Hold")&gt;0,"H",IF(COUNTIFS('Policy Assignments'!$C$5:$C$868,$A157,'Policy Assignments'!$B$5:$B$868,E$4,'Policy Assignments'!$E$5:$E$868,"Core")&gt;0,"R",IF(COUNTIFS('Policy Assignments'!$C$5:$C$868,$A157,'Policy Assignments'!$B$5:$B$868,E$4,'Policy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F157" s="94" t="str">
        <x:f>IF(COUNTIFS('Policy Assignments'!$C$5:$C$868,$A157,'Policy Assignments'!$B$5:$B$868,F$4,'Policy Assignments'!$E$5:$E$868,"Hold")&gt;0,"H",IF(COUNTIFS('Policy Assignments'!$C$5:$C$868,$A157,'Policy Assignments'!$B$5:$B$868,F$4,'Policy Assignments'!$E$5:$E$868,"Core")&gt;0,"R",IF(COUNTIFS('Policy Assignments'!$C$5:$C$868,$A157,'Policy Assignments'!$B$5:$B$868,F$4,'Policy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G157" s="94" t="str">
        <x:f>IF(COUNTIFS('Policy Assignments'!$C$5:$C$868,$A157,'Policy Assignments'!$B$5:$B$868,G$4,'Policy Assignments'!$E$5:$E$868,"Hold")&gt;0,"H",IF(COUNTIFS('Policy Assignments'!$C$5:$C$868,$A157,'Policy Assignments'!$B$5:$B$868,G$4,'Policy Assignments'!$E$5:$E$868,"Core")&gt;0,"R",IF(COUNTIFS('Policy Assignments'!$C$5:$C$868,$A157,'Policy Assignments'!$B$5:$B$868,G$4,'Policy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H157" s="94" t="str">
        <x:f>IF(COUNTIFS('Policy Assignments'!$C$5:$C$868,$A157,'Policy Assignments'!$B$5:$B$868,H$4,'Policy Assignments'!$E$5:$E$868,"Hold")&gt;0,"H",IF(COUNTIFS('Policy Assignments'!$C$5:$C$868,$A157,'Policy Assignments'!$B$5:$B$868,H$4,'Policy Assignments'!$E$5:$E$868,"Core")&gt;0,"R",IF(COUNTIFS('Policy Assignments'!$C$5:$C$868,$A157,'Policy Assignments'!$B$5:$B$868,H$4,'Policy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I157" s="94" t="str">
        <x:f>IF(COUNTIFS('Policy Assignments'!$C$5:$C$868,$A157,'Policy Assignments'!$B$5:$B$868,I$4,'Policy Assignments'!$E$5:$E$868,"Hold")&gt;0,"H",IF(COUNTIFS('Policy Assignments'!$C$5:$C$868,$A157,'Policy Assignments'!$B$5:$B$868,I$4,'Policy Assignments'!$E$5:$E$868,"Core")&gt;0,"R",IF(COUNTIFS('Policy Assignments'!$C$5:$C$868,$A157,'Policy Assignments'!$B$5:$B$868,I$4,'Policy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J157" s="94" t="str">
        <x:f>IF(COUNTIFS('Policy Assignments'!$C$5:$C$868,$A157,'Policy Assignments'!$B$5:$B$868,J$4,'Policy Assignments'!$E$5:$E$868,"Hold")&gt;0,"H",IF(COUNTIFS('Policy Assignments'!$C$5:$C$868,$A157,'Policy Assignments'!$B$5:$B$868,J$4,'Policy Assignments'!$E$5:$E$868,"Core")&gt;0,"R",IF(COUNTIFS('Policy Assignments'!$C$5:$C$868,$A157,'Policy Assignments'!$B$5:$B$868,J$4,'Policy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K157" s="94" t="str">
        <x:f>IF(COUNTIFS('Policy Assignments'!$C$5:$C$868,$A157,'Policy Assignments'!$B$5:$B$868,K$4,'Policy Assignments'!$E$5:$E$868,"Hold")&gt;0,"H",IF(COUNTIFS('Policy Assignments'!$C$5:$C$868,$A157,'Policy Assignments'!$B$5:$B$868,K$4,'Policy Assignments'!$E$5:$E$868,"Core")&gt;0,"R",IF(COUNTIFS('Policy Assignments'!$C$5:$C$868,$A157,'Policy Assignments'!$B$5:$B$868,K$4,'Policy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L157" s="94" t="str">
        <x:f>IF(COUNTIFS('Policy Assignments'!$C$5:$C$868,$A157,'Policy Assignments'!$B$5:$B$868,L$4,'Policy Assignments'!$E$5:$E$868,"Hold")&gt;0,"H",IF(COUNTIFS('Policy Assignments'!$C$5:$C$868,$A157,'Policy Assignments'!$B$5:$B$868,L$4,'Policy Assignments'!$E$5:$E$868,"Core")&gt;0,"R",IF(COUNTIFS('Policy Assignments'!$C$5:$C$868,$A157,'Policy Assignments'!$B$5:$B$868,L$4,'Policy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G</x:v>
      </x:c>
      <x:c r="M157" s="94" t="str">
        <x:f>IF(COUNTIFS('Policy Assignments'!$C$5:$C$868,$A157,'Policy Assignments'!$B$5:$B$868,M$4,'Policy Assignments'!$E$5:$E$868,"Hold")&gt;0,"H",IF(COUNTIFS('Policy Assignments'!$C$5:$C$868,$A157,'Policy Assignments'!$B$5:$B$868,M$4,'Policy Assignments'!$E$5:$E$868,"Core")&gt;0,"R",IF(COUNTIFS('Policy Assignments'!$C$5:$C$868,$A157,'Policy Assignments'!$B$5:$B$868,M$4,'Policy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R</x:v>
      </x:c>
      <x:c r="N157" s="94" t="str">
        <x:f>IF(COUNTIFS('Policy Assignments'!$C$5:$C$868,$A157,'Policy Assignments'!$B$5:$B$868,N$4,'Policy Assignments'!$E$5:$E$868,"Hold")&gt;0,"H",IF(COUNTIFS('Policy Assignments'!$C$5:$C$868,$A157,'Policy Assignments'!$B$5:$B$868,N$4,'Policy Assignments'!$E$5:$E$868,"Core")&gt;0,"R",IF(COUNTIFS('Policy Assignments'!$C$5:$C$868,$A157,'Policy Assignments'!$B$5:$B$868,N$4,'Policy Assignments'!$E$5:$E$868,"Conditional")&gt;0,"C",IF(COUNTIFS('Policy Assignments'!$C$5:$C$868,$A157,'Policy Assignments'!$B$5:$B$868,"General",'Policy Assignments'!$E$5:$E$868,"Hold")&gt;0,"H",IF(COUNTIFS('Policy Assignments'!$C$5:$C$868,$A157,'Policy Assignments'!$B$5:$B$868,"General",'Policy Assignments'!$E$5:$E$868,"Conditional")&gt;0,"C",IF(COUNTIFS('Policy Assignments'!$C$5:$C$868,$A157,'Policy Assignments'!$B$5:$B$868,"General")&gt;0,"G",""))))))</x:f>
        <x:v>R</x:v>
      </x:c>
      <x:c r="O157" s="94" t="str">
        <x:f>IF(COUNTIFS('Policy Assignments'!$C$5:$C$868,$A157,'Policy Assignments'!$B$5:$B$868,O$4,'Policy Assignments'!$E$5:$E$868,"Hold")&gt;0,"H",IF(COUNTIFS('Policy Assignments'!$C$5:$C$868,$A157,'Policy Assignments'!$B$5:$B$868,O$4,'Policy Assignments'!$E$5:$E$868,"Core")&gt;0,"R",IF(COUNTIFS('Policy Assignments'!$C$5:$C$868,$A157,'Policy Assignments'!$B$5:$B$868,O$4,'Policy Assignments'!$E$5:$E$868,"Conditional")&gt;0,"C","")))</x:f>
      </x:c>
      <x:c r="P157" s="90" t="str">
        <x:v>Mapped</x:v>
      </x:c>
    </x:row>
    <x:row r="158" ht="22" customHeight="1">
      <x:c r="A158" s="90" t="str">
        <x:v>HR-WM-001</x:v>
      </x:c>
      <x:c r="B158" s="90" t="str">
        <x:v>Staffing Levels &amp; Workload Management</x:v>
      </x:c>
      <x:c r="C158" s="94" t="str">
        <x:f>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D158" s="94" t="str">
        <x:f>IF(COUNTIFS('Policy Assignments'!$C$5:$C$868,$A158,'Policy Assignments'!$B$5:$B$868,D$4,'Policy Assignments'!$E$5:$E$868,"Hold")&gt;0,"H",IF(COUNTIFS('Policy Assignments'!$C$5:$C$868,$A158,'Policy Assignments'!$B$5:$B$868,D$4,'Policy Assignments'!$E$5:$E$868,"Core")&gt;0,"R",IF(COUNTIFS('Policy Assignments'!$C$5:$C$868,$A158,'Policy Assignments'!$B$5:$B$868,D$4,'Policy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E158" s="94" t="str">
        <x:f>IF(COUNTIFS('Policy Assignments'!$C$5:$C$868,$A158,'Policy Assignments'!$B$5:$B$868,E$4,'Policy Assignments'!$E$5:$E$868,"Hold")&gt;0,"H",IF(COUNTIFS('Policy Assignments'!$C$5:$C$868,$A158,'Policy Assignments'!$B$5:$B$868,E$4,'Policy Assignments'!$E$5:$E$868,"Core")&gt;0,"R",IF(COUNTIFS('Policy Assignments'!$C$5:$C$868,$A158,'Policy Assignments'!$B$5:$B$868,E$4,'Policy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F158" s="94" t="str">
        <x:f>IF(COUNTIFS('Policy Assignments'!$C$5:$C$868,$A158,'Policy Assignments'!$B$5:$B$868,F$4,'Policy Assignments'!$E$5:$E$868,"Hold")&gt;0,"H",IF(COUNTIFS('Policy Assignments'!$C$5:$C$868,$A158,'Policy Assignments'!$B$5:$B$868,F$4,'Policy Assignments'!$E$5:$E$868,"Core")&gt;0,"R",IF(COUNTIFS('Policy Assignments'!$C$5:$C$868,$A158,'Policy Assignments'!$B$5:$B$868,F$4,'Policy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G158" s="94" t="str">
        <x:f>IF(COUNTIFS('Policy Assignments'!$C$5:$C$868,$A158,'Policy Assignments'!$B$5:$B$868,G$4,'Policy Assignments'!$E$5:$E$868,"Hold")&gt;0,"H",IF(COUNTIFS('Policy Assignments'!$C$5:$C$868,$A158,'Policy Assignments'!$B$5:$B$868,G$4,'Policy Assignments'!$E$5:$E$868,"Core")&gt;0,"R",IF(COUNTIFS('Policy Assignments'!$C$5:$C$868,$A158,'Policy Assignments'!$B$5:$B$868,G$4,'Policy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H158" s="94" t="str">
        <x:f>IF(COUNTIFS('Policy Assignments'!$C$5:$C$868,$A158,'Policy Assignments'!$B$5:$B$868,H$4,'Policy Assignments'!$E$5:$E$868,"Hold")&gt;0,"H",IF(COUNTIFS('Policy Assignments'!$C$5:$C$868,$A158,'Policy Assignments'!$B$5:$B$868,H$4,'Policy Assignments'!$E$5:$E$868,"Core")&gt;0,"R",IF(COUNTIFS('Policy Assignments'!$C$5:$C$868,$A158,'Policy Assignments'!$B$5:$B$868,H$4,'Policy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I158" s="94" t="str">
        <x:f>IF(COUNTIFS('Policy Assignments'!$C$5:$C$868,$A158,'Policy Assignments'!$B$5:$B$868,I$4,'Policy Assignments'!$E$5:$E$868,"Hold")&gt;0,"H",IF(COUNTIFS('Policy Assignments'!$C$5:$C$868,$A158,'Policy Assignments'!$B$5:$B$868,I$4,'Policy Assignments'!$E$5:$E$868,"Core")&gt;0,"R",IF(COUNTIFS('Policy Assignments'!$C$5:$C$868,$A158,'Policy Assignments'!$B$5:$B$868,I$4,'Policy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J158" s="94" t="str">
        <x:f>IF(COUNTIFS('Policy Assignments'!$C$5:$C$868,$A158,'Policy Assignments'!$B$5:$B$868,J$4,'Policy Assignments'!$E$5:$E$868,"Hold")&gt;0,"H",IF(COUNTIFS('Policy Assignments'!$C$5:$C$868,$A158,'Policy Assignments'!$B$5:$B$868,J$4,'Policy Assignments'!$E$5:$E$868,"Core")&gt;0,"R",IF(COUNTIFS('Policy Assignments'!$C$5:$C$868,$A158,'Policy Assignments'!$B$5:$B$868,J$4,'Policy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K158" s="94" t="str">
        <x:f>IF(COUNTIFS('Policy Assignments'!$C$5:$C$868,$A158,'Policy Assignments'!$B$5:$B$868,K$4,'Policy Assignments'!$E$5:$E$868,"Hold")&gt;0,"H",IF(COUNTIFS('Policy Assignments'!$C$5:$C$868,$A158,'Policy Assignments'!$B$5:$B$868,K$4,'Policy Assignments'!$E$5:$E$868,"Core")&gt;0,"R",IF(COUNTIFS('Policy Assignments'!$C$5:$C$868,$A158,'Policy Assignments'!$B$5:$B$868,K$4,'Policy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L158" s="94" t="str">
        <x:f>IF(COUNTIFS('Policy Assignments'!$C$5:$C$868,$A158,'Policy Assignments'!$B$5:$B$868,L$4,'Policy Assignments'!$E$5:$E$868,"Hold")&gt;0,"H",IF(COUNTIFS('Policy Assignments'!$C$5:$C$868,$A158,'Policy Assignments'!$B$5:$B$868,L$4,'Policy Assignments'!$E$5:$E$868,"Core")&gt;0,"R",IF(COUNTIFS('Policy Assignments'!$C$5:$C$868,$A158,'Policy Assignments'!$B$5:$B$868,L$4,'Policy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c>
      <x:c r="M158" s="94" t="str">
        <x:f>IF(COUNTIFS('Policy Assignments'!$C$5:$C$868,$A158,'Policy Assignments'!$B$5:$B$868,M$4,'Policy Assignments'!$E$5:$E$868,"Hold")&gt;0,"H",IF(COUNTIFS('Policy Assignments'!$C$5:$C$868,$A158,'Policy Assignments'!$B$5:$B$868,M$4,'Policy Assignments'!$E$5:$E$868,"Core")&gt;0,"R",IF(COUNTIFS('Policy Assignments'!$C$5:$C$868,$A158,'Policy Assignments'!$B$5:$B$868,M$4,'Policy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v>R</x:v>
      </x:c>
      <x:c r="N158" s="94" t="str">
        <x:f>IF(COUNTIFS('Policy Assignments'!$C$5:$C$868,$A158,'Policy Assignments'!$B$5:$B$868,N$4,'Policy Assignments'!$E$5:$E$868,"Hold")&gt;0,"H",IF(COUNTIFS('Policy Assignments'!$C$5:$C$868,$A158,'Policy Assignments'!$B$5:$B$868,N$4,'Policy Assignments'!$E$5:$E$868,"Core")&gt;0,"R",IF(COUNTIFS('Policy Assignments'!$C$5:$C$868,$A158,'Policy Assignments'!$B$5:$B$868,N$4,'Policy Assignments'!$E$5:$E$868,"Conditional")&gt;0,"C",IF(COUNTIFS('Policy Assignments'!$C$5:$C$868,$A158,'Policy Assignments'!$B$5:$B$868,"General",'Policy Assignments'!$E$5:$E$868,"Hold")&gt;0,"H",IF(COUNTIFS('Policy Assignments'!$C$5:$C$868,$A158,'Policy Assignments'!$B$5:$B$868,"General",'Policy Assignments'!$E$5:$E$868,"Conditional")&gt;0,"C",IF(COUNTIFS('Policy Assignments'!$C$5:$C$868,$A158,'Policy Assignments'!$B$5:$B$868,"General")&gt;0,"G",""))))))</x:f>
        <x:v>R</x:v>
      </x:c>
      <x:c r="O158" s="94" t="str">
        <x:f>IF(COUNTIFS('Policy Assignments'!$C$5:$C$868,$A158,'Policy Assignments'!$B$5:$B$868,O$4,'Policy Assignments'!$E$5:$E$868,"Hold")&gt;0,"H",IF(COUNTIFS('Policy Assignments'!$C$5:$C$868,$A158,'Policy Assignments'!$B$5:$B$868,O$4,'Policy Assignments'!$E$5:$E$868,"Core")&gt;0,"R",IF(COUNTIFS('Policy Assignments'!$C$5:$C$868,$A158,'Policy Assignments'!$B$5:$B$868,O$4,'Policy Assignments'!$E$5:$E$868,"Conditional")&gt;0,"C","")))</x:f>
      </x:c>
      <x:c r="P158" s="90" t="str">
        <x:v>Mapped</x:v>
      </x:c>
    </x:row>
    <x:row r="159" ht="22" customHeight="1">
      <x:c r="A159" s="90" t="str">
        <x:v>HR-WM-003</x:v>
      </x:c>
      <x:c r="B159" s="90" t="str">
        <x:v>Employee Health &amp; Immunization Requirements</x:v>
      </x:c>
      <x:c r="C159" s="94" t="str">
        <x:f>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D159" s="94" t="str">
        <x:f>IF(COUNTIFS('Policy Assignments'!$C$5:$C$868,$A159,'Policy Assignments'!$B$5:$B$868,D$4,'Policy Assignments'!$E$5:$E$868,"Hold")&gt;0,"H",IF(COUNTIFS('Policy Assignments'!$C$5:$C$868,$A159,'Policy Assignments'!$B$5:$B$868,D$4,'Policy Assignments'!$E$5:$E$868,"Core")&gt;0,"R",IF(COUNTIFS('Policy Assignments'!$C$5:$C$868,$A159,'Policy Assignments'!$B$5:$B$868,D$4,'Policy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E159" s="94" t="str">
        <x:f>IF(COUNTIFS('Policy Assignments'!$C$5:$C$868,$A159,'Policy Assignments'!$B$5:$B$868,E$4,'Policy Assignments'!$E$5:$E$868,"Hold")&gt;0,"H",IF(COUNTIFS('Policy Assignments'!$C$5:$C$868,$A159,'Policy Assignments'!$B$5:$B$868,E$4,'Policy Assignments'!$E$5:$E$868,"Core")&gt;0,"R",IF(COUNTIFS('Policy Assignments'!$C$5:$C$868,$A159,'Policy Assignments'!$B$5:$B$868,E$4,'Policy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F159" s="94" t="str">
        <x:f>IF(COUNTIFS('Policy Assignments'!$C$5:$C$868,$A159,'Policy Assignments'!$B$5:$B$868,F$4,'Policy Assignments'!$E$5:$E$868,"Hold")&gt;0,"H",IF(COUNTIFS('Policy Assignments'!$C$5:$C$868,$A159,'Policy Assignments'!$B$5:$B$868,F$4,'Policy Assignments'!$E$5:$E$868,"Core")&gt;0,"R",IF(COUNTIFS('Policy Assignments'!$C$5:$C$868,$A159,'Policy Assignments'!$B$5:$B$868,F$4,'Policy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G159" s="94" t="str">
        <x:f>IF(COUNTIFS('Policy Assignments'!$C$5:$C$868,$A159,'Policy Assignments'!$B$5:$B$868,G$4,'Policy Assignments'!$E$5:$E$868,"Hold")&gt;0,"H",IF(COUNTIFS('Policy Assignments'!$C$5:$C$868,$A159,'Policy Assignments'!$B$5:$B$868,G$4,'Policy Assignments'!$E$5:$E$868,"Core")&gt;0,"R",IF(COUNTIFS('Policy Assignments'!$C$5:$C$868,$A159,'Policy Assignments'!$B$5:$B$868,G$4,'Policy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H159" s="94" t="str">
        <x:f>IF(COUNTIFS('Policy Assignments'!$C$5:$C$868,$A159,'Policy Assignments'!$B$5:$B$868,H$4,'Policy Assignments'!$E$5:$E$868,"Hold")&gt;0,"H",IF(COUNTIFS('Policy Assignments'!$C$5:$C$868,$A159,'Policy Assignments'!$B$5:$B$868,H$4,'Policy Assignments'!$E$5:$E$868,"Core")&gt;0,"R",IF(COUNTIFS('Policy Assignments'!$C$5:$C$868,$A159,'Policy Assignments'!$B$5:$B$868,H$4,'Policy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I159" s="94" t="str">
        <x:f>IF(COUNTIFS('Policy Assignments'!$C$5:$C$868,$A159,'Policy Assignments'!$B$5:$B$868,I$4,'Policy Assignments'!$E$5:$E$868,"Hold")&gt;0,"H",IF(COUNTIFS('Policy Assignments'!$C$5:$C$868,$A159,'Policy Assignments'!$B$5:$B$868,I$4,'Policy Assignments'!$E$5:$E$868,"Core")&gt;0,"R",IF(COUNTIFS('Policy Assignments'!$C$5:$C$868,$A159,'Policy Assignments'!$B$5:$B$868,I$4,'Policy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J159" s="94" t="str">
        <x:f>IF(COUNTIFS('Policy Assignments'!$C$5:$C$868,$A159,'Policy Assignments'!$B$5:$B$868,J$4,'Policy Assignments'!$E$5:$E$868,"Hold")&gt;0,"H",IF(COUNTIFS('Policy Assignments'!$C$5:$C$868,$A159,'Policy Assignments'!$B$5:$B$868,J$4,'Policy Assignments'!$E$5:$E$868,"Core")&gt;0,"R",IF(COUNTIFS('Policy Assignments'!$C$5:$C$868,$A159,'Policy Assignments'!$B$5:$B$868,J$4,'Policy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K159" s="94" t="str">
        <x:f>IF(COUNTIFS('Policy Assignments'!$C$5:$C$868,$A159,'Policy Assignments'!$B$5:$B$868,K$4,'Policy Assignments'!$E$5:$E$868,"Hold")&gt;0,"H",IF(COUNTIFS('Policy Assignments'!$C$5:$C$868,$A159,'Policy Assignments'!$B$5:$B$868,K$4,'Policy Assignments'!$E$5:$E$868,"Core")&gt;0,"R",IF(COUNTIFS('Policy Assignments'!$C$5:$C$868,$A159,'Policy Assignments'!$B$5:$B$868,K$4,'Policy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L159" s="94" t="str">
        <x:f>IF(COUNTIFS('Policy Assignments'!$C$5:$C$868,$A159,'Policy Assignments'!$B$5:$B$868,L$4,'Policy Assignments'!$E$5:$E$868,"Hold")&gt;0,"H",IF(COUNTIFS('Policy Assignments'!$C$5:$C$868,$A159,'Policy Assignments'!$B$5:$B$868,L$4,'Policy Assignments'!$E$5:$E$868,"Core")&gt;0,"R",IF(COUNTIFS('Policy Assignments'!$C$5:$C$868,$A159,'Policy Assignments'!$B$5:$B$868,L$4,'Policy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c>
      <x:c r="M159" s="94" t="str">
        <x:f>IF(COUNTIFS('Policy Assignments'!$C$5:$C$868,$A159,'Policy Assignments'!$B$5:$B$868,M$4,'Policy Assignments'!$E$5:$E$868,"Hold")&gt;0,"H",IF(COUNTIFS('Policy Assignments'!$C$5:$C$868,$A159,'Policy Assignments'!$B$5:$B$868,M$4,'Policy Assignments'!$E$5:$E$868,"Core")&gt;0,"R",IF(COUNTIFS('Policy Assignments'!$C$5:$C$868,$A159,'Policy Assignments'!$B$5:$B$868,M$4,'Policy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v>R</x:v>
      </x:c>
      <x:c r="N159" s="94" t="str">
        <x:f>IF(COUNTIFS('Policy Assignments'!$C$5:$C$868,$A159,'Policy Assignments'!$B$5:$B$868,N$4,'Policy Assignments'!$E$5:$E$868,"Hold")&gt;0,"H",IF(COUNTIFS('Policy Assignments'!$C$5:$C$868,$A159,'Policy Assignments'!$B$5:$B$868,N$4,'Policy Assignments'!$E$5:$E$868,"Core")&gt;0,"R",IF(COUNTIFS('Policy Assignments'!$C$5:$C$868,$A159,'Policy Assignments'!$B$5:$B$868,N$4,'Policy Assignments'!$E$5:$E$868,"Conditional")&gt;0,"C",IF(COUNTIFS('Policy Assignments'!$C$5:$C$868,$A159,'Policy Assignments'!$B$5:$B$868,"General",'Policy Assignments'!$E$5:$E$868,"Hold")&gt;0,"H",IF(COUNTIFS('Policy Assignments'!$C$5:$C$868,$A159,'Policy Assignments'!$B$5:$B$868,"General",'Policy Assignments'!$E$5:$E$868,"Conditional")&gt;0,"C",IF(COUNTIFS('Policy Assignments'!$C$5:$C$868,$A159,'Policy Assignments'!$B$5:$B$868,"General")&gt;0,"G",""))))))</x:f>
        <x:v>R</x:v>
      </x:c>
      <x:c r="O159" s="94" t="str">
        <x:f>IF(COUNTIFS('Policy Assignments'!$C$5:$C$868,$A159,'Policy Assignments'!$B$5:$B$868,O$4,'Policy Assignments'!$E$5:$E$868,"Hold")&gt;0,"H",IF(COUNTIFS('Policy Assignments'!$C$5:$C$868,$A159,'Policy Assignments'!$B$5:$B$868,O$4,'Policy Assignments'!$E$5:$E$868,"Core")&gt;0,"R",IF(COUNTIFS('Policy Assignments'!$C$5:$C$868,$A159,'Policy Assignments'!$B$5:$B$868,O$4,'Policy Assignments'!$E$5:$E$868,"Conditional")&gt;0,"C","")))</x:f>
      </x:c>
      <x:c r="P159" s="90" t="str">
        <x:v>Mapped</x:v>
      </x:c>
    </x:row>
    <x:row r="160" ht="22" customHeight="1">
      <x:c r="A160" s="90" t="str">
        <x:v>HR-WM-004</x:v>
      </x:c>
      <x:c r="B160" s="90" t="str">
        <x:v>Workplace Safety &amp; Injury Prevention</x:v>
      </x:c>
      <x:c r="C160" s="94" t="str">
        <x:f>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D160" s="94" t="str">
        <x:f>IF(COUNTIFS('Policy Assignments'!$C$5:$C$868,$A160,'Policy Assignments'!$B$5:$B$868,D$4,'Policy Assignments'!$E$5:$E$868,"Hold")&gt;0,"H",IF(COUNTIFS('Policy Assignments'!$C$5:$C$868,$A160,'Policy Assignments'!$B$5:$B$868,D$4,'Policy Assignments'!$E$5:$E$868,"Core")&gt;0,"R",IF(COUNTIFS('Policy Assignments'!$C$5:$C$868,$A160,'Policy Assignments'!$B$5:$B$868,D$4,'Policy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E160" s="94" t="str">
        <x:f>IF(COUNTIFS('Policy Assignments'!$C$5:$C$868,$A160,'Policy Assignments'!$B$5:$B$868,E$4,'Policy Assignments'!$E$5:$E$868,"Hold")&gt;0,"H",IF(COUNTIFS('Policy Assignments'!$C$5:$C$868,$A160,'Policy Assignments'!$B$5:$B$868,E$4,'Policy Assignments'!$E$5:$E$868,"Core")&gt;0,"R",IF(COUNTIFS('Policy Assignments'!$C$5:$C$868,$A160,'Policy Assignments'!$B$5:$B$868,E$4,'Policy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F160" s="94" t="str">
        <x:f>IF(COUNTIFS('Policy Assignments'!$C$5:$C$868,$A160,'Policy Assignments'!$B$5:$B$868,F$4,'Policy Assignments'!$E$5:$E$868,"Hold")&gt;0,"H",IF(COUNTIFS('Policy Assignments'!$C$5:$C$868,$A160,'Policy Assignments'!$B$5:$B$868,F$4,'Policy Assignments'!$E$5:$E$868,"Core")&gt;0,"R",IF(COUNTIFS('Policy Assignments'!$C$5:$C$868,$A160,'Policy Assignments'!$B$5:$B$868,F$4,'Policy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G160" s="94" t="str">
        <x:f>IF(COUNTIFS('Policy Assignments'!$C$5:$C$868,$A160,'Policy Assignments'!$B$5:$B$868,G$4,'Policy Assignments'!$E$5:$E$868,"Hold")&gt;0,"H",IF(COUNTIFS('Policy Assignments'!$C$5:$C$868,$A160,'Policy Assignments'!$B$5:$B$868,G$4,'Policy Assignments'!$E$5:$E$868,"Core")&gt;0,"R",IF(COUNTIFS('Policy Assignments'!$C$5:$C$868,$A160,'Policy Assignments'!$B$5:$B$868,G$4,'Policy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H160" s="94" t="str">
        <x:f>IF(COUNTIFS('Policy Assignments'!$C$5:$C$868,$A160,'Policy Assignments'!$B$5:$B$868,H$4,'Policy Assignments'!$E$5:$E$868,"Hold")&gt;0,"H",IF(COUNTIFS('Policy Assignments'!$C$5:$C$868,$A160,'Policy Assignments'!$B$5:$B$868,H$4,'Policy Assignments'!$E$5:$E$868,"Core")&gt;0,"R",IF(COUNTIFS('Policy Assignments'!$C$5:$C$868,$A160,'Policy Assignments'!$B$5:$B$868,H$4,'Policy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I160" s="94" t="str">
        <x:f>IF(COUNTIFS('Policy Assignments'!$C$5:$C$868,$A160,'Policy Assignments'!$B$5:$B$868,I$4,'Policy Assignments'!$E$5:$E$868,"Hold")&gt;0,"H",IF(COUNTIFS('Policy Assignments'!$C$5:$C$868,$A160,'Policy Assignments'!$B$5:$B$868,I$4,'Policy Assignments'!$E$5:$E$868,"Core")&gt;0,"R",IF(COUNTIFS('Policy Assignments'!$C$5:$C$868,$A160,'Policy Assignments'!$B$5:$B$868,I$4,'Policy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J160" s="94" t="str">
        <x:f>IF(COUNTIFS('Policy Assignments'!$C$5:$C$868,$A160,'Policy Assignments'!$B$5:$B$868,J$4,'Policy Assignments'!$E$5:$E$868,"Hold")&gt;0,"H",IF(COUNTIFS('Policy Assignments'!$C$5:$C$868,$A160,'Policy Assignments'!$B$5:$B$868,J$4,'Policy Assignments'!$E$5:$E$868,"Core")&gt;0,"R",IF(COUNTIFS('Policy Assignments'!$C$5:$C$868,$A160,'Policy Assignments'!$B$5:$B$868,J$4,'Policy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K160" s="94" t="str">
        <x:f>IF(COUNTIFS('Policy Assignments'!$C$5:$C$868,$A160,'Policy Assignments'!$B$5:$B$868,K$4,'Policy Assignments'!$E$5:$E$868,"Hold")&gt;0,"H",IF(COUNTIFS('Policy Assignments'!$C$5:$C$868,$A160,'Policy Assignments'!$B$5:$B$868,K$4,'Policy Assignments'!$E$5:$E$868,"Core")&gt;0,"R",IF(COUNTIFS('Policy Assignments'!$C$5:$C$868,$A160,'Policy Assignments'!$B$5:$B$868,K$4,'Policy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L160" s="94" t="str">
        <x:f>IF(COUNTIFS('Policy Assignments'!$C$5:$C$868,$A160,'Policy Assignments'!$B$5:$B$868,L$4,'Policy Assignments'!$E$5:$E$868,"Hold")&gt;0,"H",IF(COUNTIFS('Policy Assignments'!$C$5:$C$868,$A160,'Policy Assignments'!$B$5:$B$868,L$4,'Policy Assignments'!$E$5:$E$868,"Core")&gt;0,"R",IF(COUNTIFS('Policy Assignments'!$C$5:$C$868,$A160,'Policy Assignments'!$B$5:$B$868,L$4,'Policy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G</x:v>
      </x:c>
      <x:c r="M160" s="94" t="str">
        <x:f>IF(COUNTIFS('Policy Assignments'!$C$5:$C$868,$A160,'Policy Assignments'!$B$5:$B$868,M$4,'Policy Assignments'!$E$5:$E$868,"Hold")&gt;0,"H",IF(COUNTIFS('Policy Assignments'!$C$5:$C$868,$A160,'Policy Assignments'!$B$5:$B$868,M$4,'Policy Assignments'!$E$5:$E$868,"Core")&gt;0,"R",IF(COUNTIFS('Policy Assignments'!$C$5:$C$868,$A160,'Policy Assignments'!$B$5:$B$868,M$4,'Policy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R</x:v>
      </x:c>
      <x:c r="N160" s="94" t="str">
        <x:f>IF(COUNTIFS('Policy Assignments'!$C$5:$C$868,$A160,'Policy Assignments'!$B$5:$B$868,N$4,'Policy Assignments'!$E$5:$E$868,"Hold")&gt;0,"H",IF(COUNTIFS('Policy Assignments'!$C$5:$C$868,$A160,'Policy Assignments'!$B$5:$B$868,N$4,'Policy Assignments'!$E$5:$E$868,"Core")&gt;0,"R",IF(COUNTIFS('Policy Assignments'!$C$5:$C$868,$A160,'Policy Assignments'!$B$5:$B$868,N$4,'Policy Assignments'!$E$5:$E$868,"Conditional")&gt;0,"C",IF(COUNTIFS('Policy Assignments'!$C$5:$C$868,$A160,'Policy Assignments'!$B$5:$B$868,"General",'Policy Assignments'!$E$5:$E$868,"Hold")&gt;0,"H",IF(COUNTIFS('Policy Assignments'!$C$5:$C$868,$A160,'Policy Assignments'!$B$5:$B$868,"General",'Policy Assignments'!$E$5:$E$868,"Conditional")&gt;0,"C",IF(COUNTIFS('Policy Assignments'!$C$5:$C$868,$A160,'Policy Assignments'!$B$5:$B$868,"General")&gt;0,"G",""))))))</x:f>
        <x:v>R</x:v>
      </x:c>
      <x:c r="O160" s="94" t="str">
        <x:f>IF(COUNTIFS('Policy Assignments'!$C$5:$C$868,$A160,'Policy Assignments'!$B$5:$B$868,O$4,'Policy Assignments'!$E$5:$E$868,"Hold")&gt;0,"H",IF(COUNTIFS('Policy Assignments'!$C$5:$C$868,$A160,'Policy Assignments'!$B$5:$B$868,O$4,'Policy Assignments'!$E$5:$E$868,"Core")&gt;0,"R",IF(COUNTIFS('Policy Assignments'!$C$5:$C$868,$A160,'Policy Assignments'!$B$5:$B$868,O$4,'Policy Assignments'!$E$5:$E$868,"Conditional")&gt;0,"C","")))</x:f>
      </x:c>
      <x:c r="P160" s="90" t="str">
        <x:v>Mapped</x:v>
      </x:c>
    </x:row>
    <x:row r="161" ht="22" customHeight="1">
      <x:c r="A161" s="90" t="str">
        <x:v>HR-WM-007</x:v>
      </x:c>
      <x:c r="B161" s="90" t="str">
        <x:v>Personnel File Content &amp; Compliance</x:v>
      </x:c>
      <x:c r="C161" s="94" t="str">
        <x:f>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D161" s="94" t="str">
        <x:f>IF(COUNTIFS('Policy Assignments'!$C$5:$C$868,$A161,'Policy Assignments'!$B$5:$B$868,D$4,'Policy Assignments'!$E$5:$E$868,"Hold")&gt;0,"H",IF(COUNTIFS('Policy Assignments'!$C$5:$C$868,$A161,'Policy Assignments'!$B$5:$B$868,D$4,'Policy Assignments'!$E$5:$E$868,"Core")&gt;0,"R",IF(COUNTIFS('Policy Assignments'!$C$5:$C$868,$A161,'Policy Assignments'!$B$5:$B$868,D$4,'Policy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E161" s="94" t="str">
        <x:f>IF(COUNTIFS('Policy Assignments'!$C$5:$C$868,$A161,'Policy Assignments'!$B$5:$B$868,E$4,'Policy Assignments'!$E$5:$E$868,"Hold")&gt;0,"H",IF(COUNTIFS('Policy Assignments'!$C$5:$C$868,$A161,'Policy Assignments'!$B$5:$B$868,E$4,'Policy Assignments'!$E$5:$E$868,"Core")&gt;0,"R",IF(COUNTIFS('Policy Assignments'!$C$5:$C$868,$A161,'Policy Assignments'!$B$5:$B$868,E$4,'Policy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F161" s="94" t="str">
        <x:f>IF(COUNTIFS('Policy Assignments'!$C$5:$C$868,$A161,'Policy Assignments'!$B$5:$B$868,F$4,'Policy Assignments'!$E$5:$E$868,"Hold")&gt;0,"H",IF(COUNTIFS('Policy Assignments'!$C$5:$C$868,$A161,'Policy Assignments'!$B$5:$B$868,F$4,'Policy Assignments'!$E$5:$E$868,"Core")&gt;0,"R",IF(COUNTIFS('Policy Assignments'!$C$5:$C$868,$A161,'Policy Assignments'!$B$5:$B$868,F$4,'Policy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G161" s="94" t="str">
        <x:f>IF(COUNTIFS('Policy Assignments'!$C$5:$C$868,$A161,'Policy Assignments'!$B$5:$B$868,G$4,'Policy Assignments'!$E$5:$E$868,"Hold")&gt;0,"H",IF(COUNTIFS('Policy Assignments'!$C$5:$C$868,$A161,'Policy Assignments'!$B$5:$B$868,G$4,'Policy Assignments'!$E$5:$E$868,"Core")&gt;0,"R",IF(COUNTIFS('Policy Assignments'!$C$5:$C$868,$A161,'Policy Assignments'!$B$5:$B$868,G$4,'Policy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H161" s="94" t="str">
        <x:f>IF(COUNTIFS('Policy Assignments'!$C$5:$C$868,$A161,'Policy Assignments'!$B$5:$B$868,H$4,'Policy Assignments'!$E$5:$E$868,"Hold")&gt;0,"H",IF(COUNTIFS('Policy Assignments'!$C$5:$C$868,$A161,'Policy Assignments'!$B$5:$B$868,H$4,'Policy Assignments'!$E$5:$E$868,"Core")&gt;0,"R",IF(COUNTIFS('Policy Assignments'!$C$5:$C$868,$A161,'Policy Assignments'!$B$5:$B$868,H$4,'Policy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I161" s="94" t="str">
        <x:f>IF(COUNTIFS('Policy Assignments'!$C$5:$C$868,$A161,'Policy Assignments'!$B$5:$B$868,I$4,'Policy Assignments'!$E$5:$E$868,"Hold")&gt;0,"H",IF(COUNTIFS('Policy Assignments'!$C$5:$C$868,$A161,'Policy Assignments'!$B$5:$B$868,I$4,'Policy Assignments'!$E$5:$E$868,"Core")&gt;0,"R",IF(COUNTIFS('Policy Assignments'!$C$5:$C$868,$A161,'Policy Assignments'!$B$5:$B$868,I$4,'Policy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J161" s="94" t="str">
        <x:f>IF(COUNTIFS('Policy Assignments'!$C$5:$C$868,$A161,'Policy Assignments'!$B$5:$B$868,J$4,'Policy Assignments'!$E$5:$E$868,"Hold")&gt;0,"H",IF(COUNTIFS('Policy Assignments'!$C$5:$C$868,$A161,'Policy Assignments'!$B$5:$B$868,J$4,'Policy Assignments'!$E$5:$E$868,"Core")&gt;0,"R",IF(COUNTIFS('Policy Assignments'!$C$5:$C$868,$A161,'Policy Assignments'!$B$5:$B$868,J$4,'Policy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K161" s="94" t="str">
        <x:f>IF(COUNTIFS('Policy Assignments'!$C$5:$C$868,$A161,'Policy Assignments'!$B$5:$B$868,K$4,'Policy Assignments'!$E$5:$E$868,"Hold")&gt;0,"H",IF(COUNTIFS('Policy Assignments'!$C$5:$C$868,$A161,'Policy Assignments'!$B$5:$B$868,K$4,'Policy Assignments'!$E$5:$E$868,"Core")&gt;0,"R",IF(COUNTIFS('Policy Assignments'!$C$5:$C$868,$A161,'Policy Assignments'!$B$5:$B$868,K$4,'Policy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L161" s="94" t="str">
        <x:f>IF(COUNTIFS('Policy Assignments'!$C$5:$C$868,$A161,'Policy Assignments'!$B$5:$B$868,L$4,'Policy Assignments'!$E$5:$E$868,"Hold")&gt;0,"H",IF(COUNTIFS('Policy Assignments'!$C$5:$C$868,$A161,'Policy Assignments'!$B$5:$B$868,L$4,'Policy Assignments'!$E$5:$E$868,"Core")&gt;0,"R",IF(COUNTIFS('Policy Assignments'!$C$5:$C$868,$A161,'Policy Assignments'!$B$5:$B$868,L$4,'Policy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c>
      <x:c r="M161" s="94" t="str">
        <x:f>IF(COUNTIFS('Policy Assignments'!$C$5:$C$868,$A161,'Policy Assignments'!$B$5:$B$868,M$4,'Policy Assignments'!$E$5:$E$868,"Hold")&gt;0,"H",IF(COUNTIFS('Policy Assignments'!$C$5:$C$868,$A161,'Policy Assignments'!$B$5:$B$868,M$4,'Policy Assignments'!$E$5:$E$868,"Core")&gt;0,"R",IF(COUNTIFS('Policy Assignments'!$C$5:$C$868,$A161,'Policy Assignments'!$B$5:$B$868,M$4,'Policy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v>R</x:v>
      </x:c>
      <x:c r="N161" s="94" t="str">
        <x:f>IF(COUNTIFS('Policy Assignments'!$C$5:$C$868,$A161,'Policy Assignments'!$B$5:$B$868,N$4,'Policy Assignments'!$E$5:$E$868,"Hold")&gt;0,"H",IF(COUNTIFS('Policy Assignments'!$C$5:$C$868,$A161,'Policy Assignments'!$B$5:$B$868,N$4,'Policy Assignments'!$E$5:$E$868,"Core")&gt;0,"R",IF(COUNTIFS('Policy Assignments'!$C$5:$C$868,$A161,'Policy Assignments'!$B$5:$B$868,N$4,'Policy Assignments'!$E$5:$E$868,"Conditional")&gt;0,"C",IF(COUNTIFS('Policy Assignments'!$C$5:$C$868,$A161,'Policy Assignments'!$B$5:$B$868,"General",'Policy Assignments'!$E$5:$E$868,"Hold")&gt;0,"H",IF(COUNTIFS('Policy Assignments'!$C$5:$C$868,$A161,'Policy Assignments'!$B$5:$B$868,"General",'Policy Assignments'!$E$5:$E$868,"Conditional")&gt;0,"C",IF(COUNTIFS('Policy Assignments'!$C$5:$C$868,$A161,'Policy Assignments'!$B$5:$B$868,"General")&gt;0,"G",""))))))</x:f>
        <x:v>R</x:v>
      </x:c>
      <x:c r="O161" s="94" t="str">
        <x:f>IF(COUNTIFS('Policy Assignments'!$C$5:$C$868,$A161,'Policy Assignments'!$B$5:$B$868,O$4,'Policy Assignments'!$E$5:$E$868,"Hold")&gt;0,"H",IF(COUNTIFS('Policy Assignments'!$C$5:$C$868,$A161,'Policy Assignments'!$B$5:$B$868,O$4,'Policy Assignments'!$E$5:$E$868,"Core")&gt;0,"R",IF(COUNTIFS('Policy Assignments'!$C$5:$C$868,$A161,'Policy Assignments'!$B$5:$B$868,O$4,'Policy Assignments'!$E$5:$E$868,"Conditional")&gt;0,"C","")))</x:f>
      </x:c>
      <x:c r="P161" s="90" t="str">
        <x:v>Mapped</x:v>
      </x:c>
    </x:row>
    <x:row r="162" ht="22" customHeight="1">
      <x:c r="A162" s="90" t="str">
        <x:v>IT-SA-001</x:v>
      </x:c>
      <x:c r="B162" s="90" t="str">
        <x:v>Electronic Health Record System Management</x:v>
      </x:c>
      <x:c r="C162" s="94" t="str">
        <x:f>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D162" s="94" t="str">
        <x:f>IF(COUNTIFS('Policy Assignments'!$C$5:$C$868,$A162,'Policy Assignments'!$B$5:$B$868,D$4,'Policy Assignments'!$E$5:$E$868,"Hold")&gt;0,"H",IF(COUNTIFS('Policy Assignments'!$C$5:$C$868,$A162,'Policy Assignments'!$B$5:$B$868,D$4,'Policy Assignments'!$E$5:$E$868,"Core")&gt;0,"R",IF(COUNTIFS('Policy Assignments'!$C$5:$C$868,$A162,'Policy Assignments'!$B$5:$B$868,D$4,'Policy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E162" s="94" t="str">
        <x:f>IF(COUNTIFS('Policy Assignments'!$C$5:$C$868,$A162,'Policy Assignments'!$B$5:$B$868,E$4,'Policy Assignments'!$E$5:$E$868,"Hold")&gt;0,"H",IF(COUNTIFS('Policy Assignments'!$C$5:$C$868,$A162,'Policy Assignments'!$B$5:$B$868,E$4,'Policy Assignments'!$E$5:$E$868,"Core")&gt;0,"R",IF(COUNTIFS('Policy Assignments'!$C$5:$C$868,$A162,'Policy Assignments'!$B$5:$B$868,E$4,'Policy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F162" s="94" t="str">
        <x:f>IF(COUNTIFS('Policy Assignments'!$C$5:$C$868,$A162,'Policy Assignments'!$B$5:$B$868,F$4,'Policy Assignments'!$E$5:$E$868,"Hold")&gt;0,"H",IF(COUNTIFS('Policy Assignments'!$C$5:$C$868,$A162,'Policy Assignments'!$B$5:$B$868,F$4,'Policy Assignments'!$E$5:$E$868,"Core")&gt;0,"R",IF(COUNTIFS('Policy Assignments'!$C$5:$C$868,$A162,'Policy Assignments'!$B$5:$B$868,F$4,'Policy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G162" s="94" t="str">
        <x:f>IF(COUNTIFS('Policy Assignments'!$C$5:$C$868,$A162,'Policy Assignments'!$B$5:$B$868,G$4,'Policy Assignments'!$E$5:$E$868,"Hold")&gt;0,"H",IF(COUNTIFS('Policy Assignments'!$C$5:$C$868,$A162,'Policy Assignments'!$B$5:$B$868,G$4,'Policy Assignments'!$E$5:$E$868,"Core")&gt;0,"R",IF(COUNTIFS('Policy Assignments'!$C$5:$C$868,$A162,'Policy Assignments'!$B$5:$B$868,G$4,'Policy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H162" s="94" t="str">
        <x:f>IF(COUNTIFS('Policy Assignments'!$C$5:$C$868,$A162,'Policy Assignments'!$B$5:$B$868,H$4,'Policy Assignments'!$E$5:$E$868,"Hold")&gt;0,"H",IF(COUNTIFS('Policy Assignments'!$C$5:$C$868,$A162,'Policy Assignments'!$B$5:$B$868,H$4,'Policy Assignments'!$E$5:$E$868,"Core")&gt;0,"R",IF(COUNTIFS('Policy Assignments'!$C$5:$C$868,$A162,'Policy Assignments'!$B$5:$B$868,H$4,'Policy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I162" s="94" t="str">
        <x:f>IF(COUNTIFS('Policy Assignments'!$C$5:$C$868,$A162,'Policy Assignments'!$B$5:$B$868,I$4,'Policy Assignments'!$E$5:$E$868,"Hold")&gt;0,"H",IF(COUNTIFS('Policy Assignments'!$C$5:$C$868,$A162,'Policy Assignments'!$B$5:$B$868,I$4,'Policy Assignments'!$E$5:$E$868,"Core")&gt;0,"R",IF(COUNTIFS('Policy Assignments'!$C$5:$C$868,$A162,'Policy Assignments'!$B$5:$B$868,I$4,'Policy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J162" s="94" t="str">
        <x:f>IF(COUNTIFS('Policy Assignments'!$C$5:$C$868,$A162,'Policy Assignments'!$B$5:$B$868,J$4,'Policy Assignments'!$E$5:$E$868,"Hold")&gt;0,"H",IF(COUNTIFS('Policy Assignments'!$C$5:$C$868,$A162,'Policy Assignments'!$B$5:$B$868,J$4,'Policy Assignments'!$E$5:$E$868,"Core")&gt;0,"R",IF(COUNTIFS('Policy Assignments'!$C$5:$C$868,$A162,'Policy Assignments'!$B$5:$B$868,J$4,'Policy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K162" s="94" t="str">
        <x:f>IF(COUNTIFS('Policy Assignments'!$C$5:$C$868,$A162,'Policy Assignments'!$B$5:$B$868,K$4,'Policy Assignments'!$E$5:$E$868,"Hold")&gt;0,"H",IF(COUNTIFS('Policy Assignments'!$C$5:$C$868,$A162,'Policy Assignments'!$B$5:$B$868,K$4,'Policy Assignments'!$E$5:$E$868,"Core")&gt;0,"R",IF(COUNTIFS('Policy Assignments'!$C$5:$C$868,$A162,'Policy Assignments'!$B$5:$B$868,K$4,'Policy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L162" s="94" t="str">
        <x:f>IF(COUNTIFS('Policy Assignments'!$C$5:$C$868,$A162,'Policy Assignments'!$B$5:$B$868,L$4,'Policy Assignments'!$E$5:$E$868,"Hold")&gt;0,"H",IF(COUNTIFS('Policy Assignments'!$C$5:$C$868,$A162,'Policy Assignments'!$B$5:$B$868,L$4,'Policy Assignments'!$E$5:$E$868,"Core")&gt;0,"R",IF(COUNTIFS('Policy Assignments'!$C$5:$C$868,$A162,'Policy Assignments'!$B$5:$B$868,L$4,'Policy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M162" s="94" t="str">
        <x:f>IF(COUNTIFS('Policy Assignments'!$C$5:$C$868,$A162,'Policy Assignments'!$B$5:$B$868,M$4,'Policy Assignments'!$E$5:$E$868,"Hold")&gt;0,"H",IF(COUNTIFS('Policy Assignments'!$C$5:$C$868,$A162,'Policy Assignments'!$B$5:$B$868,M$4,'Policy Assignments'!$E$5:$E$868,"Core")&gt;0,"R",IF(COUNTIFS('Policy Assignments'!$C$5:$C$868,$A162,'Policy Assignments'!$B$5:$B$868,M$4,'Policy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N162" s="94" t="str">
        <x:f>IF(COUNTIFS('Policy Assignments'!$C$5:$C$868,$A162,'Policy Assignments'!$B$5:$B$868,N$4,'Policy Assignments'!$E$5:$E$868,"Hold")&gt;0,"H",IF(COUNTIFS('Policy Assignments'!$C$5:$C$868,$A162,'Policy Assignments'!$B$5:$B$868,N$4,'Policy Assignments'!$E$5:$E$868,"Core")&gt;0,"R",IF(COUNTIFS('Policy Assignments'!$C$5:$C$868,$A162,'Policy Assignments'!$B$5:$B$868,N$4,'Policy Assignments'!$E$5:$E$868,"Conditional")&gt;0,"C",IF(COUNTIFS('Policy Assignments'!$C$5:$C$868,$A162,'Policy Assignments'!$B$5:$B$868,"General",'Policy Assignments'!$E$5:$E$868,"Hold")&gt;0,"H",IF(COUNTIFS('Policy Assignments'!$C$5:$C$868,$A162,'Policy Assignments'!$B$5:$B$868,"General",'Policy Assignments'!$E$5:$E$868,"Conditional")&gt;0,"C",IF(COUNTIFS('Policy Assignments'!$C$5:$C$868,$A162,'Policy Assignments'!$B$5:$B$868,"General")&gt;0,"G",""))))))</x:f>
        <x:v>C</x:v>
      </x:c>
      <x:c r="O162" s="94" t="str">
        <x:f>IF(COUNTIFS('Policy Assignments'!$C$5:$C$868,$A162,'Policy Assignments'!$B$5:$B$868,O$4,'Policy Assignments'!$E$5:$E$868,"Hold")&gt;0,"H",IF(COUNTIFS('Policy Assignments'!$C$5:$C$868,$A162,'Policy Assignments'!$B$5:$B$868,O$4,'Policy Assignments'!$E$5:$E$868,"Core")&gt;0,"R",IF(COUNTIFS('Policy Assignments'!$C$5:$C$868,$A162,'Policy Assignments'!$B$5:$B$868,O$4,'Policy Assignments'!$E$5:$E$868,"Conditional")&gt;0,"C","")))</x:f>
      </x:c>
      <x:c r="P162" s="90" t="str">
        <x:v>Mapped</x:v>
      </x:c>
    </x:row>
    <x:row r="163" ht="22" customHeight="1">
      <x:c r="A163" s="90" t="str">
        <x:v>IT-SC-001</x:v>
      </x:c>
      <x:c r="B163" s="90" t="str">
        <x:v>Information Security Program</x:v>
      </x:c>
      <x:c r="C163" s="94" t="str">
        <x:f>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D163" s="94" t="str">
        <x:f>IF(COUNTIFS('Policy Assignments'!$C$5:$C$868,$A163,'Policy Assignments'!$B$5:$B$868,D$4,'Policy Assignments'!$E$5:$E$868,"Hold")&gt;0,"H",IF(COUNTIFS('Policy Assignments'!$C$5:$C$868,$A163,'Policy Assignments'!$B$5:$B$868,D$4,'Policy Assignments'!$E$5:$E$868,"Core")&gt;0,"R",IF(COUNTIFS('Policy Assignments'!$C$5:$C$868,$A163,'Policy Assignments'!$B$5:$B$868,D$4,'Policy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E163" s="94" t="str">
        <x:f>IF(COUNTIFS('Policy Assignments'!$C$5:$C$868,$A163,'Policy Assignments'!$B$5:$B$868,E$4,'Policy Assignments'!$E$5:$E$868,"Hold")&gt;0,"H",IF(COUNTIFS('Policy Assignments'!$C$5:$C$868,$A163,'Policy Assignments'!$B$5:$B$868,E$4,'Policy Assignments'!$E$5:$E$868,"Core")&gt;0,"R",IF(COUNTIFS('Policy Assignments'!$C$5:$C$868,$A163,'Policy Assignments'!$B$5:$B$868,E$4,'Policy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F163" s="94" t="str">
        <x:f>IF(COUNTIFS('Policy Assignments'!$C$5:$C$868,$A163,'Policy Assignments'!$B$5:$B$868,F$4,'Policy Assignments'!$E$5:$E$868,"Hold")&gt;0,"H",IF(COUNTIFS('Policy Assignments'!$C$5:$C$868,$A163,'Policy Assignments'!$B$5:$B$868,F$4,'Policy Assignments'!$E$5:$E$868,"Core")&gt;0,"R",IF(COUNTIFS('Policy Assignments'!$C$5:$C$868,$A163,'Policy Assignments'!$B$5:$B$868,F$4,'Policy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G163" s="94" t="str">
        <x:f>IF(COUNTIFS('Policy Assignments'!$C$5:$C$868,$A163,'Policy Assignments'!$B$5:$B$868,G$4,'Policy Assignments'!$E$5:$E$868,"Hold")&gt;0,"H",IF(COUNTIFS('Policy Assignments'!$C$5:$C$868,$A163,'Policy Assignments'!$B$5:$B$868,G$4,'Policy Assignments'!$E$5:$E$868,"Core")&gt;0,"R",IF(COUNTIFS('Policy Assignments'!$C$5:$C$868,$A163,'Policy Assignments'!$B$5:$B$868,G$4,'Policy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H163" s="94" t="str">
        <x:f>IF(COUNTIFS('Policy Assignments'!$C$5:$C$868,$A163,'Policy Assignments'!$B$5:$B$868,H$4,'Policy Assignments'!$E$5:$E$868,"Hold")&gt;0,"H",IF(COUNTIFS('Policy Assignments'!$C$5:$C$868,$A163,'Policy Assignments'!$B$5:$B$868,H$4,'Policy Assignments'!$E$5:$E$868,"Core")&gt;0,"R",IF(COUNTIFS('Policy Assignments'!$C$5:$C$868,$A163,'Policy Assignments'!$B$5:$B$868,H$4,'Policy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I163" s="94" t="str">
        <x:f>IF(COUNTIFS('Policy Assignments'!$C$5:$C$868,$A163,'Policy Assignments'!$B$5:$B$868,I$4,'Policy Assignments'!$E$5:$E$868,"Hold")&gt;0,"H",IF(COUNTIFS('Policy Assignments'!$C$5:$C$868,$A163,'Policy Assignments'!$B$5:$B$868,I$4,'Policy Assignments'!$E$5:$E$868,"Core")&gt;0,"R",IF(COUNTIFS('Policy Assignments'!$C$5:$C$868,$A163,'Policy Assignments'!$B$5:$B$868,I$4,'Policy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J163" s="94" t="str">
        <x:f>IF(COUNTIFS('Policy Assignments'!$C$5:$C$868,$A163,'Policy Assignments'!$B$5:$B$868,J$4,'Policy Assignments'!$E$5:$E$868,"Hold")&gt;0,"H",IF(COUNTIFS('Policy Assignments'!$C$5:$C$868,$A163,'Policy Assignments'!$B$5:$B$868,J$4,'Policy Assignments'!$E$5:$E$868,"Core")&gt;0,"R",IF(COUNTIFS('Policy Assignments'!$C$5:$C$868,$A163,'Policy Assignments'!$B$5:$B$868,J$4,'Policy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K163" s="94" t="str">
        <x:f>IF(COUNTIFS('Policy Assignments'!$C$5:$C$868,$A163,'Policy Assignments'!$B$5:$B$868,K$4,'Policy Assignments'!$E$5:$E$868,"Hold")&gt;0,"H",IF(COUNTIFS('Policy Assignments'!$C$5:$C$868,$A163,'Policy Assignments'!$B$5:$B$868,K$4,'Policy Assignments'!$E$5:$E$868,"Core")&gt;0,"R",IF(COUNTIFS('Policy Assignments'!$C$5:$C$868,$A163,'Policy Assignments'!$B$5:$B$868,K$4,'Policy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L163" s="94" t="str">
        <x:f>IF(COUNTIFS('Policy Assignments'!$C$5:$C$868,$A163,'Policy Assignments'!$B$5:$B$868,L$4,'Policy Assignments'!$E$5:$E$868,"Hold")&gt;0,"H",IF(COUNTIFS('Policy Assignments'!$C$5:$C$868,$A163,'Policy Assignments'!$B$5:$B$868,L$4,'Policy Assignments'!$E$5:$E$868,"Core")&gt;0,"R",IF(COUNTIFS('Policy Assignments'!$C$5:$C$868,$A163,'Policy Assignments'!$B$5:$B$868,L$4,'Policy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M163" s="94" t="str">
        <x:f>IF(COUNTIFS('Policy Assignments'!$C$5:$C$868,$A163,'Policy Assignments'!$B$5:$B$868,M$4,'Policy Assignments'!$E$5:$E$868,"Hold")&gt;0,"H",IF(COUNTIFS('Policy Assignments'!$C$5:$C$868,$A163,'Policy Assignments'!$B$5:$B$868,M$4,'Policy Assignments'!$E$5:$E$868,"Core")&gt;0,"R",IF(COUNTIFS('Policy Assignments'!$C$5:$C$868,$A163,'Policy Assignments'!$B$5:$B$868,M$4,'Policy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N163" s="94" t="str">
        <x:f>IF(COUNTIFS('Policy Assignments'!$C$5:$C$868,$A163,'Policy Assignments'!$B$5:$B$868,N$4,'Policy Assignments'!$E$5:$E$868,"Hold")&gt;0,"H",IF(COUNTIFS('Policy Assignments'!$C$5:$C$868,$A163,'Policy Assignments'!$B$5:$B$868,N$4,'Policy Assignments'!$E$5:$E$868,"Core")&gt;0,"R",IF(COUNTIFS('Policy Assignments'!$C$5:$C$868,$A163,'Policy Assignments'!$B$5:$B$868,N$4,'Policy Assignments'!$E$5:$E$868,"Conditional")&gt;0,"C",IF(COUNTIFS('Policy Assignments'!$C$5:$C$868,$A163,'Policy Assignments'!$B$5:$B$868,"General",'Policy Assignments'!$E$5:$E$868,"Hold")&gt;0,"H",IF(COUNTIFS('Policy Assignments'!$C$5:$C$868,$A163,'Policy Assignments'!$B$5:$B$868,"General",'Policy Assignments'!$E$5:$E$868,"Conditional")&gt;0,"C",IF(COUNTIFS('Policy Assignments'!$C$5:$C$868,$A163,'Policy Assignments'!$B$5:$B$868,"General")&gt;0,"G",""))))))</x:f>
        <x:v>G</x:v>
      </x:c>
      <x:c r="O163" s="94" t="str">
        <x:f>IF(COUNTIFS('Policy Assignments'!$C$5:$C$868,$A163,'Policy Assignments'!$B$5:$B$868,O$4,'Policy Assignments'!$E$5:$E$868,"Hold")&gt;0,"H",IF(COUNTIFS('Policy Assignments'!$C$5:$C$868,$A163,'Policy Assignments'!$B$5:$B$868,O$4,'Policy Assignments'!$E$5:$E$868,"Core")&gt;0,"R",IF(COUNTIFS('Policy Assignments'!$C$5:$C$868,$A163,'Policy Assignments'!$B$5:$B$868,O$4,'Policy Assignments'!$E$5:$E$868,"Conditional")&gt;0,"C","")))</x:f>
      </x:c>
      <x:c r="P163" s="90" t="str">
        <x:v>Mapped</x:v>
      </x:c>
    </x:row>
    <x:row r="164" ht="22" customHeight="1">
      <x:c r="A164" s="90" t="str">
        <x:v>IT-SC-002</x:v>
      </x:c>
      <x:c r="B164" s="90" t="str">
        <x:v>Access Control &amp; User Authentication</x:v>
      </x:c>
      <x:c r="C164" s="94" t="str">
        <x:f>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D164" s="94" t="str">
        <x:f>IF(COUNTIFS('Policy Assignments'!$C$5:$C$868,$A164,'Policy Assignments'!$B$5:$B$868,D$4,'Policy Assignments'!$E$5:$E$868,"Hold")&gt;0,"H",IF(COUNTIFS('Policy Assignments'!$C$5:$C$868,$A164,'Policy Assignments'!$B$5:$B$868,D$4,'Policy Assignments'!$E$5:$E$868,"Core")&gt;0,"R",IF(COUNTIFS('Policy Assignments'!$C$5:$C$868,$A164,'Policy Assignments'!$B$5:$B$868,D$4,'Policy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E164" s="94" t="str">
        <x:f>IF(COUNTIFS('Policy Assignments'!$C$5:$C$868,$A164,'Policy Assignments'!$B$5:$B$868,E$4,'Policy Assignments'!$E$5:$E$868,"Hold")&gt;0,"H",IF(COUNTIFS('Policy Assignments'!$C$5:$C$868,$A164,'Policy Assignments'!$B$5:$B$868,E$4,'Policy Assignments'!$E$5:$E$868,"Core")&gt;0,"R",IF(COUNTIFS('Policy Assignments'!$C$5:$C$868,$A164,'Policy Assignments'!$B$5:$B$868,E$4,'Policy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F164" s="94" t="str">
        <x:f>IF(COUNTIFS('Policy Assignments'!$C$5:$C$868,$A164,'Policy Assignments'!$B$5:$B$868,F$4,'Policy Assignments'!$E$5:$E$868,"Hold")&gt;0,"H",IF(COUNTIFS('Policy Assignments'!$C$5:$C$868,$A164,'Policy Assignments'!$B$5:$B$868,F$4,'Policy Assignments'!$E$5:$E$868,"Core")&gt;0,"R",IF(COUNTIFS('Policy Assignments'!$C$5:$C$868,$A164,'Policy Assignments'!$B$5:$B$868,F$4,'Policy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G164" s="94" t="str">
        <x:f>IF(COUNTIFS('Policy Assignments'!$C$5:$C$868,$A164,'Policy Assignments'!$B$5:$B$868,G$4,'Policy Assignments'!$E$5:$E$868,"Hold")&gt;0,"H",IF(COUNTIFS('Policy Assignments'!$C$5:$C$868,$A164,'Policy Assignments'!$B$5:$B$868,G$4,'Policy Assignments'!$E$5:$E$868,"Core")&gt;0,"R",IF(COUNTIFS('Policy Assignments'!$C$5:$C$868,$A164,'Policy Assignments'!$B$5:$B$868,G$4,'Policy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H164" s="94" t="str">
        <x:f>IF(COUNTIFS('Policy Assignments'!$C$5:$C$868,$A164,'Policy Assignments'!$B$5:$B$868,H$4,'Policy Assignments'!$E$5:$E$868,"Hold")&gt;0,"H",IF(COUNTIFS('Policy Assignments'!$C$5:$C$868,$A164,'Policy Assignments'!$B$5:$B$868,H$4,'Policy Assignments'!$E$5:$E$868,"Core")&gt;0,"R",IF(COUNTIFS('Policy Assignments'!$C$5:$C$868,$A164,'Policy Assignments'!$B$5:$B$868,H$4,'Policy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I164" s="94" t="str">
        <x:f>IF(COUNTIFS('Policy Assignments'!$C$5:$C$868,$A164,'Policy Assignments'!$B$5:$B$868,I$4,'Policy Assignments'!$E$5:$E$868,"Hold")&gt;0,"H",IF(COUNTIFS('Policy Assignments'!$C$5:$C$868,$A164,'Policy Assignments'!$B$5:$B$868,I$4,'Policy Assignments'!$E$5:$E$868,"Core")&gt;0,"R",IF(COUNTIFS('Policy Assignments'!$C$5:$C$868,$A164,'Policy Assignments'!$B$5:$B$868,I$4,'Policy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J164" s="94" t="str">
        <x:f>IF(COUNTIFS('Policy Assignments'!$C$5:$C$868,$A164,'Policy Assignments'!$B$5:$B$868,J$4,'Policy Assignments'!$E$5:$E$868,"Hold")&gt;0,"H",IF(COUNTIFS('Policy Assignments'!$C$5:$C$868,$A164,'Policy Assignments'!$B$5:$B$868,J$4,'Policy Assignments'!$E$5:$E$868,"Core")&gt;0,"R",IF(COUNTIFS('Policy Assignments'!$C$5:$C$868,$A164,'Policy Assignments'!$B$5:$B$868,J$4,'Policy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K164" s="94" t="str">
        <x:f>IF(COUNTIFS('Policy Assignments'!$C$5:$C$868,$A164,'Policy Assignments'!$B$5:$B$868,K$4,'Policy Assignments'!$E$5:$E$868,"Hold")&gt;0,"H",IF(COUNTIFS('Policy Assignments'!$C$5:$C$868,$A164,'Policy Assignments'!$B$5:$B$868,K$4,'Policy Assignments'!$E$5:$E$868,"Core")&gt;0,"R",IF(COUNTIFS('Policy Assignments'!$C$5:$C$868,$A164,'Policy Assignments'!$B$5:$B$868,K$4,'Policy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L164" s="94" t="str">
        <x:f>IF(COUNTIFS('Policy Assignments'!$C$5:$C$868,$A164,'Policy Assignments'!$B$5:$B$868,L$4,'Policy Assignments'!$E$5:$E$868,"Hold")&gt;0,"H",IF(COUNTIFS('Policy Assignments'!$C$5:$C$868,$A164,'Policy Assignments'!$B$5:$B$868,L$4,'Policy Assignments'!$E$5:$E$868,"Core")&gt;0,"R",IF(COUNTIFS('Policy Assignments'!$C$5:$C$868,$A164,'Policy Assignments'!$B$5:$B$868,L$4,'Policy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M164" s="94" t="str">
        <x:f>IF(COUNTIFS('Policy Assignments'!$C$5:$C$868,$A164,'Policy Assignments'!$B$5:$B$868,M$4,'Policy Assignments'!$E$5:$E$868,"Hold")&gt;0,"H",IF(COUNTIFS('Policy Assignments'!$C$5:$C$868,$A164,'Policy Assignments'!$B$5:$B$868,M$4,'Policy Assignments'!$E$5:$E$868,"Core")&gt;0,"R",IF(COUNTIFS('Policy Assignments'!$C$5:$C$868,$A164,'Policy Assignments'!$B$5:$B$868,M$4,'Policy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N164" s="94" t="str">
        <x:f>IF(COUNTIFS('Policy Assignments'!$C$5:$C$868,$A164,'Policy Assignments'!$B$5:$B$868,N$4,'Policy Assignments'!$E$5:$E$868,"Hold")&gt;0,"H",IF(COUNTIFS('Policy Assignments'!$C$5:$C$868,$A164,'Policy Assignments'!$B$5:$B$868,N$4,'Policy Assignments'!$E$5:$E$868,"Core")&gt;0,"R",IF(COUNTIFS('Policy Assignments'!$C$5:$C$868,$A164,'Policy Assignments'!$B$5:$B$868,N$4,'Policy Assignments'!$E$5:$E$868,"Conditional")&gt;0,"C",IF(COUNTIFS('Policy Assignments'!$C$5:$C$868,$A164,'Policy Assignments'!$B$5:$B$868,"General",'Policy Assignments'!$E$5:$E$868,"Hold")&gt;0,"H",IF(COUNTIFS('Policy Assignments'!$C$5:$C$868,$A164,'Policy Assignments'!$B$5:$B$868,"General",'Policy Assignments'!$E$5:$E$868,"Conditional")&gt;0,"C",IF(COUNTIFS('Policy Assignments'!$C$5:$C$868,$A164,'Policy Assignments'!$B$5:$B$868,"General")&gt;0,"G",""))))))</x:f>
        <x:v>G</x:v>
      </x:c>
      <x:c r="O164" s="94" t="str">
        <x:f>IF(COUNTIFS('Policy Assignments'!$C$5:$C$868,$A164,'Policy Assignments'!$B$5:$B$868,O$4,'Policy Assignments'!$E$5:$E$868,"Hold")&gt;0,"H",IF(COUNTIFS('Policy Assignments'!$C$5:$C$868,$A164,'Policy Assignments'!$B$5:$B$868,O$4,'Policy Assignments'!$E$5:$E$868,"Core")&gt;0,"R",IF(COUNTIFS('Policy Assignments'!$C$5:$C$868,$A164,'Policy Assignments'!$B$5:$B$868,O$4,'Policy Assignments'!$E$5:$E$868,"Conditional")&gt;0,"C","")))</x:f>
      </x:c>
      <x:c r="P164" s="90" t="str">
        <x:v>Mapped</x:v>
      </x:c>
    </x:row>
    <x:row r="165" ht="22" customHeight="1">
      <x:c r="A165" s="90" t="str">
        <x:v>IT-UP-001</x:v>
      </x:c>
      <x:c r="B165" s="90" t="str">
        <x:v>Mobile Device &amp; BYOD Security</x:v>
      </x:c>
      <x:c r="C165" s="94" t="str">
        <x:f>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D165" s="94" t="str">
        <x:f>IF(COUNTIFS('Policy Assignments'!$C$5:$C$868,$A165,'Policy Assignments'!$B$5:$B$868,D$4,'Policy Assignments'!$E$5:$E$868,"Hold")&gt;0,"H",IF(COUNTIFS('Policy Assignments'!$C$5:$C$868,$A165,'Policy Assignments'!$B$5:$B$868,D$4,'Policy Assignments'!$E$5:$E$868,"Core")&gt;0,"R",IF(COUNTIFS('Policy Assignments'!$C$5:$C$868,$A165,'Policy Assignments'!$B$5:$B$868,D$4,'Policy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E165" s="94" t="str">
        <x:f>IF(COUNTIFS('Policy Assignments'!$C$5:$C$868,$A165,'Policy Assignments'!$B$5:$B$868,E$4,'Policy Assignments'!$E$5:$E$868,"Hold")&gt;0,"H",IF(COUNTIFS('Policy Assignments'!$C$5:$C$868,$A165,'Policy Assignments'!$B$5:$B$868,E$4,'Policy Assignments'!$E$5:$E$868,"Core")&gt;0,"R",IF(COUNTIFS('Policy Assignments'!$C$5:$C$868,$A165,'Policy Assignments'!$B$5:$B$868,E$4,'Policy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F165" s="94" t="str">
        <x:f>IF(COUNTIFS('Policy Assignments'!$C$5:$C$868,$A165,'Policy Assignments'!$B$5:$B$868,F$4,'Policy Assignments'!$E$5:$E$868,"Hold")&gt;0,"H",IF(COUNTIFS('Policy Assignments'!$C$5:$C$868,$A165,'Policy Assignments'!$B$5:$B$868,F$4,'Policy Assignments'!$E$5:$E$868,"Core")&gt;0,"R",IF(COUNTIFS('Policy Assignments'!$C$5:$C$868,$A165,'Policy Assignments'!$B$5:$B$868,F$4,'Policy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G165" s="94" t="str">
        <x:f>IF(COUNTIFS('Policy Assignments'!$C$5:$C$868,$A165,'Policy Assignments'!$B$5:$B$868,G$4,'Policy Assignments'!$E$5:$E$868,"Hold")&gt;0,"H",IF(COUNTIFS('Policy Assignments'!$C$5:$C$868,$A165,'Policy Assignments'!$B$5:$B$868,G$4,'Policy Assignments'!$E$5:$E$868,"Core")&gt;0,"R",IF(COUNTIFS('Policy Assignments'!$C$5:$C$868,$A165,'Policy Assignments'!$B$5:$B$868,G$4,'Policy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H165" s="94" t="str">
        <x:f>IF(COUNTIFS('Policy Assignments'!$C$5:$C$868,$A165,'Policy Assignments'!$B$5:$B$868,H$4,'Policy Assignments'!$E$5:$E$868,"Hold")&gt;0,"H",IF(COUNTIFS('Policy Assignments'!$C$5:$C$868,$A165,'Policy Assignments'!$B$5:$B$868,H$4,'Policy Assignments'!$E$5:$E$868,"Core")&gt;0,"R",IF(COUNTIFS('Policy Assignments'!$C$5:$C$868,$A165,'Policy Assignments'!$B$5:$B$868,H$4,'Policy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I165" s="94" t="str">
        <x:f>IF(COUNTIFS('Policy Assignments'!$C$5:$C$868,$A165,'Policy Assignments'!$B$5:$B$868,I$4,'Policy Assignments'!$E$5:$E$868,"Hold")&gt;0,"H",IF(COUNTIFS('Policy Assignments'!$C$5:$C$868,$A165,'Policy Assignments'!$B$5:$B$868,I$4,'Policy Assignments'!$E$5:$E$868,"Core")&gt;0,"R",IF(COUNTIFS('Policy Assignments'!$C$5:$C$868,$A165,'Policy Assignments'!$B$5:$B$868,I$4,'Policy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J165" s="94" t="str">
        <x:f>IF(COUNTIFS('Policy Assignments'!$C$5:$C$868,$A165,'Policy Assignments'!$B$5:$B$868,J$4,'Policy Assignments'!$E$5:$E$868,"Hold")&gt;0,"H",IF(COUNTIFS('Policy Assignments'!$C$5:$C$868,$A165,'Policy Assignments'!$B$5:$B$868,J$4,'Policy Assignments'!$E$5:$E$868,"Core")&gt;0,"R",IF(COUNTIFS('Policy Assignments'!$C$5:$C$868,$A165,'Policy Assignments'!$B$5:$B$868,J$4,'Policy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K165" s="94" t="str">
        <x:f>IF(COUNTIFS('Policy Assignments'!$C$5:$C$868,$A165,'Policy Assignments'!$B$5:$B$868,K$4,'Policy Assignments'!$E$5:$E$868,"Hold")&gt;0,"H",IF(COUNTIFS('Policy Assignments'!$C$5:$C$868,$A165,'Policy Assignments'!$B$5:$B$868,K$4,'Policy Assignments'!$E$5:$E$868,"Core")&gt;0,"R",IF(COUNTIFS('Policy Assignments'!$C$5:$C$868,$A165,'Policy Assignments'!$B$5:$B$868,K$4,'Policy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L165" s="94" t="str">
        <x:f>IF(COUNTIFS('Policy Assignments'!$C$5:$C$868,$A165,'Policy Assignments'!$B$5:$B$868,L$4,'Policy Assignments'!$E$5:$E$868,"Hold")&gt;0,"H",IF(COUNTIFS('Policy Assignments'!$C$5:$C$868,$A165,'Policy Assignments'!$B$5:$B$868,L$4,'Policy Assignments'!$E$5:$E$868,"Core")&gt;0,"R",IF(COUNTIFS('Policy Assignments'!$C$5:$C$868,$A165,'Policy Assignments'!$B$5:$B$868,L$4,'Policy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M165" s="94" t="str">
        <x:f>IF(COUNTIFS('Policy Assignments'!$C$5:$C$868,$A165,'Policy Assignments'!$B$5:$B$868,M$4,'Policy Assignments'!$E$5:$E$868,"Hold")&gt;0,"H",IF(COUNTIFS('Policy Assignments'!$C$5:$C$868,$A165,'Policy Assignments'!$B$5:$B$868,M$4,'Policy Assignments'!$E$5:$E$868,"Core")&gt;0,"R",IF(COUNTIFS('Policy Assignments'!$C$5:$C$868,$A165,'Policy Assignments'!$B$5:$B$868,M$4,'Policy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N165" s="94" t="str">
        <x:f>IF(COUNTIFS('Policy Assignments'!$C$5:$C$868,$A165,'Policy Assignments'!$B$5:$B$868,N$4,'Policy Assignments'!$E$5:$E$868,"Hold")&gt;0,"H",IF(COUNTIFS('Policy Assignments'!$C$5:$C$868,$A165,'Policy Assignments'!$B$5:$B$868,N$4,'Policy Assignments'!$E$5:$E$868,"Core")&gt;0,"R",IF(COUNTIFS('Policy Assignments'!$C$5:$C$868,$A165,'Policy Assignments'!$B$5:$B$868,N$4,'Policy Assignments'!$E$5:$E$868,"Conditional")&gt;0,"C",IF(COUNTIFS('Policy Assignments'!$C$5:$C$868,$A165,'Policy Assignments'!$B$5:$B$868,"General",'Policy Assignments'!$E$5:$E$868,"Hold")&gt;0,"H",IF(COUNTIFS('Policy Assignments'!$C$5:$C$868,$A165,'Policy Assignments'!$B$5:$B$868,"General",'Policy Assignments'!$E$5:$E$868,"Conditional")&gt;0,"C",IF(COUNTIFS('Policy Assignments'!$C$5:$C$868,$A165,'Policy Assignments'!$B$5:$B$868,"General")&gt;0,"G",""))))))</x:f>
        <x:v>C</x:v>
      </x:c>
      <x:c r="O165" s="94" t="str">
        <x:f>IF(COUNTIFS('Policy Assignments'!$C$5:$C$868,$A165,'Policy Assignments'!$B$5:$B$868,O$4,'Policy Assignments'!$E$5:$E$868,"Hold")&gt;0,"H",IF(COUNTIFS('Policy Assignments'!$C$5:$C$868,$A165,'Policy Assignments'!$B$5:$B$868,O$4,'Policy Assignments'!$E$5:$E$868,"Core")&gt;0,"R",IF(COUNTIFS('Policy Assignments'!$C$5:$C$868,$A165,'Policy Assignments'!$B$5:$B$868,O$4,'Policy Assignments'!$E$5:$E$868,"Conditional")&gt;0,"C","")))</x:f>
      </x:c>
      <x:c r="P165" s="90" t="str">
        <x:v>Mapped</x:v>
      </x:c>
    </x:row>
    <x:row r="166" ht="22" customHeight="1">
      <x:c r="A166" s="90" t="str">
        <x:v>IT-UP-002</x:v>
      </x:c>
      <x:c r="B166" s="90" t="str">
        <x:v>Internet &amp; Email Acceptable Use__</x:v>
      </x:c>
      <x:c r="C166" s="94" t="str">
        <x:f>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D166" s="94" t="str">
        <x:f>IF(COUNTIFS('Policy Assignments'!$C$5:$C$868,$A166,'Policy Assignments'!$B$5:$B$868,D$4,'Policy Assignments'!$E$5:$E$868,"Hold")&gt;0,"H",IF(COUNTIFS('Policy Assignments'!$C$5:$C$868,$A166,'Policy Assignments'!$B$5:$B$868,D$4,'Policy Assignments'!$E$5:$E$868,"Core")&gt;0,"R",IF(COUNTIFS('Policy Assignments'!$C$5:$C$868,$A166,'Policy Assignments'!$B$5:$B$868,D$4,'Policy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E166" s="94" t="str">
        <x:f>IF(COUNTIFS('Policy Assignments'!$C$5:$C$868,$A166,'Policy Assignments'!$B$5:$B$868,E$4,'Policy Assignments'!$E$5:$E$868,"Hold")&gt;0,"H",IF(COUNTIFS('Policy Assignments'!$C$5:$C$868,$A166,'Policy Assignments'!$B$5:$B$868,E$4,'Policy Assignments'!$E$5:$E$868,"Core")&gt;0,"R",IF(COUNTIFS('Policy Assignments'!$C$5:$C$868,$A166,'Policy Assignments'!$B$5:$B$868,E$4,'Policy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F166" s="94" t="str">
        <x:f>IF(COUNTIFS('Policy Assignments'!$C$5:$C$868,$A166,'Policy Assignments'!$B$5:$B$868,F$4,'Policy Assignments'!$E$5:$E$868,"Hold")&gt;0,"H",IF(COUNTIFS('Policy Assignments'!$C$5:$C$868,$A166,'Policy Assignments'!$B$5:$B$868,F$4,'Policy Assignments'!$E$5:$E$868,"Core")&gt;0,"R",IF(COUNTIFS('Policy Assignments'!$C$5:$C$868,$A166,'Policy Assignments'!$B$5:$B$868,F$4,'Policy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G166" s="94" t="str">
        <x:f>IF(COUNTIFS('Policy Assignments'!$C$5:$C$868,$A166,'Policy Assignments'!$B$5:$B$868,G$4,'Policy Assignments'!$E$5:$E$868,"Hold")&gt;0,"H",IF(COUNTIFS('Policy Assignments'!$C$5:$C$868,$A166,'Policy Assignments'!$B$5:$B$868,G$4,'Policy Assignments'!$E$5:$E$868,"Core")&gt;0,"R",IF(COUNTIFS('Policy Assignments'!$C$5:$C$868,$A166,'Policy Assignments'!$B$5:$B$868,G$4,'Policy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H166" s="94" t="str">
        <x:f>IF(COUNTIFS('Policy Assignments'!$C$5:$C$868,$A166,'Policy Assignments'!$B$5:$B$868,H$4,'Policy Assignments'!$E$5:$E$868,"Hold")&gt;0,"H",IF(COUNTIFS('Policy Assignments'!$C$5:$C$868,$A166,'Policy Assignments'!$B$5:$B$868,H$4,'Policy Assignments'!$E$5:$E$868,"Core")&gt;0,"R",IF(COUNTIFS('Policy Assignments'!$C$5:$C$868,$A166,'Policy Assignments'!$B$5:$B$868,H$4,'Policy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I166" s="94" t="str">
        <x:f>IF(COUNTIFS('Policy Assignments'!$C$5:$C$868,$A166,'Policy Assignments'!$B$5:$B$868,I$4,'Policy Assignments'!$E$5:$E$868,"Hold")&gt;0,"H",IF(COUNTIFS('Policy Assignments'!$C$5:$C$868,$A166,'Policy Assignments'!$B$5:$B$868,I$4,'Policy Assignments'!$E$5:$E$868,"Core")&gt;0,"R",IF(COUNTIFS('Policy Assignments'!$C$5:$C$868,$A166,'Policy Assignments'!$B$5:$B$868,I$4,'Policy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J166" s="94" t="str">
        <x:f>IF(COUNTIFS('Policy Assignments'!$C$5:$C$868,$A166,'Policy Assignments'!$B$5:$B$868,J$4,'Policy Assignments'!$E$5:$E$868,"Hold")&gt;0,"H",IF(COUNTIFS('Policy Assignments'!$C$5:$C$868,$A166,'Policy Assignments'!$B$5:$B$868,J$4,'Policy Assignments'!$E$5:$E$868,"Core")&gt;0,"R",IF(COUNTIFS('Policy Assignments'!$C$5:$C$868,$A166,'Policy Assignments'!$B$5:$B$868,J$4,'Policy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K166" s="94" t="str">
        <x:f>IF(COUNTIFS('Policy Assignments'!$C$5:$C$868,$A166,'Policy Assignments'!$B$5:$B$868,K$4,'Policy Assignments'!$E$5:$E$868,"Hold")&gt;0,"H",IF(COUNTIFS('Policy Assignments'!$C$5:$C$868,$A166,'Policy Assignments'!$B$5:$B$868,K$4,'Policy Assignments'!$E$5:$E$868,"Core")&gt;0,"R",IF(COUNTIFS('Policy Assignments'!$C$5:$C$868,$A166,'Policy Assignments'!$B$5:$B$868,K$4,'Policy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L166" s="94" t="str">
        <x:f>IF(COUNTIFS('Policy Assignments'!$C$5:$C$868,$A166,'Policy Assignments'!$B$5:$B$868,L$4,'Policy Assignments'!$E$5:$E$868,"Hold")&gt;0,"H",IF(COUNTIFS('Policy Assignments'!$C$5:$C$868,$A166,'Policy Assignments'!$B$5:$B$868,L$4,'Policy Assignments'!$E$5:$E$868,"Core")&gt;0,"R",IF(COUNTIFS('Policy Assignments'!$C$5:$C$868,$A166,'Policy Assignments'!$B$5:$B$868,L$4,'Policy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M166" s="94" t="str">
        <x:f>IF(COUNTIFS('Policy Assignments'!$C$5:$C$868,$A166,'Policy Assignments'!$B$5:$B$868,M$4,'Policy Assignments'!$E$5:$E$868,"Hold")&gt;0,"H",IF(COUNTIFS('Policy Assignments'!$C$5:$C$868,$A166,'Policy Assignments'!$B$5:$B$868,M$4,'Policy Assignments'!$E$5:$E$868,"Core")&gt;0,"R",IF(COUNTIFS('Policy Assignments'!$C$5:$C$868,$A166,'Policy Assignments'!$B$5:$B$868,M$4,'Policy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N166" s="94" t="str">
        <x:f>IF(COUNTIFS('Policy Assignments'!$C$5:$C$868,$A166,'Policy Assignments'!$B$5:$B$868,N$4,'Policy Assignments'!$E$5:$E$868,"Hold")&gt;0,"H",IF(COUNTIFS('Policy Assignments'!$C$5:$C$868,$A166,'Policy Assignments'!$B$5:$B$868,N$4,'Policy Assignments'!$E$5:$E$868,"Core")&gt;0,"R",IF(COUNTIFS('Policy Assignments'!$C$5:$C$868,$A166,'Policy Assignments'!$B$5:$B$868,N$4,'Policy Assignments'!$E$5:$E$868,"Conditional")&gt;0,"C",IF(COUNTIFS('Policy Assignments'!$C$5:$C$868,$A166,'Policy Assignments'!$B$5:$B$868,"General",'Policy Assignments'!$E$5:$E$868,"Hold")&gt;0,"H",IF(COUNTIFS('Policy Assignments'!$C$5:$C$868,$A166,'Policy Assignments'!$B$5:$B$868,"General",'Policy Assignments'!$E$5:$E$868,"Conditional")&gt;0,"C",IF(COUNTIFS('Policy Assignments'!$C$5:$C$868,$A166,'Policy Assignments'!$B$5:$B$868,"General")&gt;0,"G",""))))))</x:f>
        <x:v>G</x:v>
      </x:c>
      <x:c r="O166" s="94" t="str">
        <x:f>IF(COUNTIFS('Policy Assignments'!$C$5:$C$868,$A166,'Policy Assignments'!$B$5:$B$868,O$4,'Policy Assignments'!$E$5:$E$868,"Hold")&gt;0,"H",IF(COUNTIFS('Policy Assignments'!$C$5:$C$868,$A166,'Policy Assignments'!$B$5:$B$868,O$4,'Policy Assignments'!$E$5:$E$868,"Core")&gt;0,"R",IF(COUNTIFS('Policy Assignments'!$C$5:$C$868,$A166,'Policy Assignments'!$B$5:$B$868,O$4,'Policy Assignments'!$E$5:$E$868,"Conditional")&gt;0,"C","")))</x:f>
      </x:c>
      <x:c r="P166" s="90" t="str">
        <x:v>Mapped</x:v>
      </x:c>
    </x:row>
    <x:row r="167" ht="22" customHeight="1">
      <x:c r="A167" s="90" t="str">
        <x:v>IT-UP-003</x:v>
      </x:c>
      <x:c r="B167" s="90" t="str">
        <x:v>Social Media &amp; Public Communications</x:v>
      </x:c>
      <x:c r="C167" s="94" t="str">
        <x:f>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D167" s="94" t="str">
        <x:f>IF(COUNTIFS('Policy Assignments'!$C$5:$C$868,$A167,'Policy Assignments'!$B$5:$B$868,D$4,'Policy Assignments'!$E$5:$E$868,"Hold")&gt;0,"H",IF(COUNTIFS('Policy Assignments'!$C$5:$C$868,$A167,'Policy Assignments'!$B$5:$B$868,D$4,'Policy Assignments'!$E$5:$E$868,"Core")&gt;0,"R",IF(COUNTIFS('Policy Assignments'!$C$5:$C$868,$A167,'Policy Assignments'!$B$5:$B$868,D$4,'Policy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E167" s="94" t="str">
        <x:f>IF(COUNTIFS('Policy Assignments'!$C$5:$C$868,$A167,'Policy Assignments'!$B$5:$B$868,E$4,'Policy Assignments'!$E$5:$E$868,"Hold")&gt;0,"H",IF(COUNTIFS('Policy Assignments'!$C$5:$C$868,$A167,'Policy Assignments'!$B$5:$B$868,E$4,'Policy Assignments'!$E$5:$E$868,"Core")&gt;0,"R",IF(COUNTIFS('Policy Assignments'!$C$5:$C$868,$A167,'Policy Assignments'!$B$5:$B$868,E$4,'Policy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F167" s="94" t="str">
        <x:f>IF(COUNTIFS('Policy Assignments'!$C$5:$C$868,$A167,'Policy Assignments'!$B$5:$B$868,F$4,'Policy Assignments'!$E$5:$E$868,"Hold")&gt;0,"H",IF(COUNTIFS('Policy Assignments'!$C$5:$C$868,$A167,'Policy Assignments'!$B$5:$B$868,F$4,'Policy Assignments'!$E$5:$E$868,"Core")&gt;0,"R",IF(COUNTIFS('Policy Assignments'!$C$5:$C$868,$A167,'Policy Assignments'!$B$5:$B$868,F$4,'Policy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G167" s="94" t="str">
        <x:f>IF(COUNTIFS('Policy Assignments'!$C$5:$C$868,$A167,'Policy Assignments'!$B$5:$B$868,G$4,'Policy Assignments'!$E$5:$E$868,"Hold")&gt;0,"H",IF(COUNTIFS('Policy Assignments'!$C$5:$C$868,$A167,'Policy Assignments'!$B$5:$B$868,G$4,'Policy Assignments'!$E$5:$E$868,"Core")&gt;0,"R",IF(COUNTIFS('Policy Assignments'!$C$5:$C$868,$A167,'Policy Assignments'!$B$5:$B$868,G$4,'Policy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H167" s="94" t="str">
        <x:f>IF(COUNTIFS('Policy Assignments'!$C$5:$C$868,$A167,'Policy Assignments'!$B$5:$B$868,H$4,'Policy Assignments'!$E$5:$E$868,"Hold")&gt;0,"H",IF(COUNTIFS('Policy Assignments'!$C$5:$C$868,$A167,'Policy Assignments'!$B$5:$B$868,H$4,'Policy Assignments'!$E$5:$E$868,"Core")&gt;0,"R",IF(COUNTIFS('Policy Assignments'!$C$5:$C$868,$A167,'Policy Assignments'!$B$5:$B$868,H$4,'Policy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I167" s="94" t="str">
        <x:f>IF(COUNTIFS('Policy Assignments'!$C$5:$C$868,$A167,'Policy Assignments'!$B$5:$B$868,I$4,'Policy Assignments'!$E$5:$E$868,"Hold")&gt;0,"H",IF(COUNTIFS('Policy Assignments'!$C$5:$C$868,$A167,'Policy Assignments'!$B$5:$B$868,I$4,'Policy Assignments'!$E$5:$E$868,"Core")&gt;0,"R",IF(COUNTIFS('Policy Assignments'!$C$5:$C$868,$A167,'Policy Assignments'!$B$5:$B$868,I$4,'Policy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J167" s="94" t="str">
        <x:f>IF(COUNTIFS('Policy Assignments'!$C$5:$C$868,$A167,'Policy Assignments'!$B$5:$B$868,J$4,'Policy Assignments'!$E$5:$E$868,"Hold")&gt;0,"H",IF(COUNTIFS('Policy Assignments'!$C$5:$C$868,$A167,'Policy Assignments'!$B$5:$B$868,J$4,'Policy Assignments'!$E$5:$E$868,"Core")&gt;0,"R",IF(COUNTIFS('Policy Assignments'!$C$5:$C$868,$A167,'Policy Assignments'!$B$5:$B$868,J$4,'Policy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K167" s="94" t="str">
        <x:f>IF(COUNTIFS('Policy Assignments'!$C$5:$C$868,$A167,'Policy Assignments'!$B$5:$B$868,K$4,'Policy Assignments'!$E$5:$E$868,"Hold")&gt;0,"H",IF(COUNTIFS('Policy Assignments'!$C$5:$C$868,$A167,'Policy Assignments'!$B$5:$B$868,K$4,'Policy Assignments'!$E$5:$E$868,"Core")&gt;0,"R",IF(COUNTIFS('Policy Assignments'!$C$5:$C$868,$A167,'Policy Assignments'!$B$5:$B$868,K$4,'Policy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L167" s="94" t="str">
        <x:f>IF(COUNTIFS('Policy Assignments'!$C$5:$C$868,$A167,'Policy Assignments'!$B$5:$B$868,L$4,'Policy Assignments'!$E$5:$E$868,"Hold")&gt;0,"H",IF(COUNTIFS('Policy Assignments'!$C$5:$C$868,$A167,'Policy Assignments'!$B$5:$B$868,L$4,'Policy Assignments'!$E$5:$E$868,"Core")&gt;0,"R",IF(COUNTIFS('Policy Assignments'!$C$5:$C$868,$A167,'Policy Assignments'!$B$5:$B$868,L$4,'Policy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M167" s="94" t="str">
        <x:f>IF(COUNTIFS('Policy Assignments'!$C$5:$C$868,$A167,'Policy Assignments'!$B$5:$B$868,M$4,'Policy Assignments'!$E$5:$E$868,"Hold")&gt;0,"H",IF(COUNTIFS('Policy Assignments'!$C$5:$C$868,$A167,'Policy Assignments'!$B$5:$B$868,M$4,'Policy Assignments'!$E$5:$E$868,"Core")&gt;0,"R",IF(COUNTIFS('Policy Assignments'!$C$5:$C$868,$A167,'Policy Assignments'!$B$5:$B$868,M$4,'Policy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N167" s="94" t="str">
        <x:f>IF(COUNTIFS('Policy Assignments'!$C$5:$C$868,$A167,'Policy Assignments'!$B$5:$B$868,N$4,'Policy Assignments'!$E$5:$E$868,"Hold")&gt;0,"H",IF(COUNTIFS('Policy Assignments'!$C$5:$C$868,$A167,'Policy Assignments'!$B$5:$B$868,N$4,'Policy Assignments'!$E$5:$E$868,"Core")&gt;0,"R",IF(COUNTIFS('Policy Assignments'!$C$5:$C$868,$A167,'Policy Assignments'!$B$5:$B$868,N$4,'Policy Assignments'!$E$5:$E$868,"Conditional")&gt;0,"C",IF(COUNTIFS('Policy Assignments'!$C$5:$C$868,$A167,'Policy Assignments'!$B$5:$B$868,"General",'Policy Assignments'!$E$5:$E$868,"Hold")&gt;0,"H",IF(COUNTIFS('Policy Assignments'!$C$5:$C$868,$A167,'Policy Assignments'!$B$5:$B$868,"General",'Policy Assignments'!$E$5:$E$868,"Conditional")&gt;0,"C",IF(COUNTIFS('Policy Assignments'!$C$5:$C$868,$A167,'Policy Assignments'!$B$5:$B$868,"General")&gt;0,"G",""))))))</x:f>
        <x:v>G</x:v>
      </x:c>
      <x:c r="O167" s="94" t="str">
        <x:f>IF(COUNTIFS('Policy Assignments'!$C$5:$C$868,$A167,'Policy Assignments'!$B$5:$B$868,O$4,'Policy Assignments'!$E$5:$E$868,"Hold")&gt;0,"H",IF(COUNTIFS('Policy Assignments'!$C$5:$C$868,$A167,'Policy Assignments'!$B$5:$B$868,O$4,'Policy Assignments'!$E$5:$E$868,"Core")&gt;0,"R",IF(COUNTIFS('Policy Assignments'!$C$5:$C$868,$A167,'Policy Assignments'!$B$5:$B$868,O$4,'Policy Assignments'!$E$5:$E$868,"Conditional")&gt;0,"C","")))</x:f>
      </x:c>
      <x:c r="P167" s="90" t="str">
        <x:v>Mapped</x:v>
      </x:c>
    </x:row>
    <x:row r="168" ht="22" customHeight="1">
      <x:c r="A168" s="90" t="str">
        <x:v>IT-UP-004</x:v>
      </x:c>
      <x:c r="B168" s="90" t="str">
        <x:v>Security Awareness Training</x:v>
      </x:c>
      <x:c r="C168" s="94" t="str">
        <x:f>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D168" s="94" t="str">
        <x:f>IF(COUNTIFS('Policy Assignments'!$C$5:$C$868,$A168,'Policy Assignments'!$B$5:$B$868,D$4,'Policy Assignments'!$E$5:$E$868,"Hold")&gt;0,"H",IF(COUNTIFS('Policy Assignments'!$C$5:$C$868,$A168,'Policy Assignments'!$B$5:$B$868,D$4,'Policy Assignments'!$E$5:$E$868,"Core")&gt;0,"R",IF(COUNTIFS('Policy Assignments'!$C$5:$C$868,$A168,'Policy Assignments'!$B$5:$B$868,D$4,'Policy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E168" s="94" t="str">
        <x:f>IF(COUNTIFS('Policy Assignments'!$C$5:$C$868,$A168,'Policy Assignments'!$B$5:$B$868,E$4,'Policy Assignments'!$E$5:$E$868,"Hold")&gt;0,"H",IF(COUNTIFS('Policy Assignments'!$C$5:$C$868,$A168,'Policy Assignments'!$B$5:$B$868,E$4,'Policy Assignments'!$E$5:$E$868,"Core")&gt;0,"R",IF(COUNTIFS('Policy Assignments'!$C$5:$C$868,$A168,'Policy Assignments'!$B$5:$B$868,E$4,'Policy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F168" s="94" t="str">
        <x:f>IF(COUNTIFS('Policy Assignments'!$C$5:$C$868,$A168,'Policy Assignments'!$B$5:$B$868,F$4,'Policy Assignments'!$E$5:$E$868,"Hold")&gt;0,"H",IF(COUNTIFS('Policy Assignments'!$C$5:$C$868,$A168,'Policy Assignments'!$B$5:$B$868,F$4,'Policy Assignments'!$E$5:$E$868,"Core")&gt;0,"R",IF(COUNTIFS('Policy Assignments'!$C$5:$C$868,$A168,'Policy Assignments'!$B$5:$B$868,F$4,'Policy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G168" s="94" t="str">
        <x:f>IF(COUNTIFS('Policy Assignments'!$C$5:$C$868,$A168,'Policy Assignments'!$B$5:$B$868,G$4,'Policy Assignments'!$E$5:$E$868,"Hold")&gt;0,"H",IF(COUNTIFS('Policy Assignments'!$C$5:$C$868,$A168,'Policy Assignments'!$B$5:$B$868,G$4,'Policy Assignments'!$E$5:$E$868,"Core")&gt;0,"R",IF(COUNTIFS('Policy Assignments'!$C$5:$C$868,$A168,'Policy Assignments'!$B$5:$B$868,G$4,'Policy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H168" s="94" t="str">
        <x:f>IF(COUNTIFS('Policy Assignments'!$C$5:$C$868,$A168,'Policy Assignments'!$B$5:$B$868,H$4,'Policy Assignments'!$E$5:$E$868,"Hold")&gt;0,"H",IF(COUNTIFS('Policy Assignments'!$C$5:$C$868,$A168,'Policy Assignments'!$B$5:$B$868,H$4,'Policy Assignments'!$E$5:$E$868,"Core")&gt;0,"R",IF(COUNTIFS('Policy Assignments'!$C$5:$C$868,$A168,'Policy Assignments'!$B$5:$B$868,H$4,'Policy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I168" s="94" t="str">
        <x:f>IF(COUNTIFS('Policy Assignments'!$C$5:$C$868,$A168,'Policy Assignments'!$B$5:$B$868,I$4,'Policy Assignments'!$E$5:$E$868,"Hold")&gt;0,"H",IF(COUNTIFS('Policy Assignments'!$C$5:$C$868,$A168,'Policy Assignments'!$B$5:$B$868,I$4,'Policy Assignments'!$E$5:$E$868,"Core")&gt;0,"R",IF(COUNTIFS('Policy Assignments'!$C$5:$C$868,$A168,'Policy Assignments'!$B$5:$B$868,I$4,'Policy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J168" s="94" t="str">
        <x:f>IF(COUNTIFS('Policy Assignments'!$C$5:$C$868,$A168,'Policy Assignments'!$B$5:$B$868,J$4,'Policy Assignments'!$E$5:$E$868,"Hold")&gt;0,"H",IF(COUNTIFS('Policy Assignments'!$C$5:$C$868,$A168,'Policy Assignments'!$B$5:$B$868,J$4,'Policy Assignments'!$E$5:$E$868,"Core")&gt;0,"R",IF(COUNTIFS('Policy Assignments'!$C$5:$C$868,$A168,'Policy Assignments'!$B$5:$B$868,J$4,'Policy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K168" s="94" t="str">
        <x:f>IF(COUNTIFS('Policy Assignments'!$C$5:$C$868,$A168,'Policy Assignments'!$B$5:$B$868,K$4,'Policy Assignments'!$E$5:$E$868,"Hold")&gt;0,"H",IF(COUNTIFS('Policy Assignments'!$C$5:$C$868,$A168,'Policy Assignments'!$B$5:$B$868,K$4,'Policy Assignments'!$E$5:$E$868,"Core")&gt;0,"R",IF(COUNTIFS('Policy Assignments'!$C$5:$C$868,$A168,'Policy Assignments'!$B$5:$B$868,K$4,'Policy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L168" s="94" t="str">
        <x:f>IF(COUNTIFS('Policy Assignments'!$C$5:$C$868,$A168,'Policy Assignments'!$B$5:$B$868,L$4,'Policy Assignments'!$E$5:$E$868,"Hold")&gt;0,"H",IF(COUNTIFS('Policy Assignments'!$C$5:$C$868,$A168,'Policy Assignments'!$B$5:$B$868,L$4,'Policy Assignments'!$E$5:$E$868,"Core")&gt;0,"R",IF(COUNTIFS('Policy Assignments'!$C$5:$C$868,$A168,'Policy Assignments'!$B$5:$B$868,L$4,'Policy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M168" s="94" t="str">
        <x:f>IF(COUNTIFS('Policy Assignments'!$C$5:$C$868,$A168,'Policy Assignments'!$B$5:$B$868,M$4,'Policy Assignments'!$E$5:$E$868,"Hold")&gt;0,"H",IF(COUNTIFS('Policy Assignments'!$C$5:$C$868,$A168,'Policy Assignments'!$B$5:$B$868,M$4,'Policy Assignments'!$E$5:$E$868,"Core")&gt;0,"R",IF(COUNTIFS('Policy Assignments'!$C$5:$C$868,$A168,'Policy Assignments'!$B$5:$B$868,M$4,'Policy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N168" s="94" t="str">
        <x:f>IF(COUNTIFS('Policy Assignments'!$C$5:$C$868,$A168,'Policy Assignments'!$B$5:$B$868,N$4,'Policy Assignments'!$E$5:$E$868,"Hold")&gt;0,"H",IF(COUNTIFS('Policy Assignments'!$C$5:$C$868,$A168,'Policy Assignments'!$B$5:$B$868,N$4,'Policy Assignments'!$E$5:$E$868,"Core")&gt;0,"R",IF(COUNTIFS('Policy Assignments'!$C$5:$C$868,$A168,'Policy Assignments'!$B$5:$B$868,N$4,'Policy Assignments'!$E$5:$E$868,"Conditional")&gt;0,"C",IF(COUNTIFS('Policy Assignments'!$C$5:$C$868,$A168,'Policy Assignments'!$B$5:$B$868,"General",'Policy Assignments'!$E$5:$E$868,"Hold")&gt;0,"H",IF(COUNTIFS('Policy Assignments'!$C$5:$C$868,$A168,'Policy Assignments'!$B$5:$B$868,"General",'Policy Assignments'!$E$5:$E$868,"Conditional")&gt;0,"C",IF(COUNTIFS('Policy Assignments'!$C$5:$C$868,$A168,'Policy Assignments'!$B$5:$B$868,"General")&gt;0,"G",""))))))</x:f>
        <x:v>G</x:v>
      </x:c>
      <x:c r="O168" s="94" t="str">
        <x:f>IF(COUNTIFS('Policy Assignments'!$C$5:$C$868,$A168,'Policy Assignments'!$B$5:$B$868,O$4,'Policy Assignments'!$E$5:$E$868,"Hold")&gt;0,"H",IF(COUNTIFS('Policy Assignments'!$C$5:$C$868,$A168,'Policy Assignments'!$B$5:$B$868,O$4,'Policy Assignments'!$E$5:$E$868,"Core")&gt;0,"R",IF(COUNTIFS('Policy Assignments'!$C$5:$C$868,$A168,'Policy Assignments'!$B$5:$B$868,O$4,'Policy Assignments'!$E$5:$E$868,"Conditional")&gt;0,"C","")))</x:f>
        <x:v>R</x:v>
      </x:c>
      <x:c r="P168" s="90" t="str">
        <x:v>Mapped</x:v>
      </x:c>
    </x:row>
    <x:row r="169" ht="22" customHeight="1">
      <x:c r="A169" s="90" t="str">
        <x:v>MISSING-COTA-JD</x:v>
      </x:c>
      <x:c r="B169" s="90" t="str">
        <x:v>Certified Occupational Therapy Assistant — dedicated job description not present</x:v>
      </x:c>
      <x:c r="C169" s="94" t="str">
        <x:f>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D169" s="94" t="str">
        <x:f>IF(COUNTIFS('Policy Assignments'!$C$5:$C$868,$A169,'Policy Assignments'!$B$5:$B$868,D$4,'Policy Assignments'!$E$5:$E$868,"Hold")&gt;0,"H",IF(COUNTIFS('Policy Assignments'!$C$5:$C$868,$A169,'Policy Assignments'!$B$5:$B$868,D$4,'Policy Assignments'!$E$5:$E$868,"Core")&gt;0,"R",IF(COUNTIFS('Policy Assignments'!$C$5:$C$868,$A169,'Policy Assignments'!$B$5:$B$868,D$4,'Policy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E169" s="94" t="str">
        <x:f>IF(COUNTIFS('Policy Assignments'!$C$5:$C$868,$A169,'Policy Assignments'!$B$5:$B$868,E$4,'Policy Assignments'!$E$5:$E$868,"Hold")&gt;0,"H",IF(COUNTIFS('Policy Assignments'!$C$5:$C$868,$A169,'Policy Assignments'!$B$5:$B$868,E$4,'Policy Assignments'!$E$5:$E$868,"Core")&gt;0,"R",IF(COUNTIFS('Policy Assignments'!$C$5:$C$868,$A169,'Policy Assignments'!$B$5:$B$868,E$4,'Policy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F169" s="94" t="str">
        <x:f>IF(COUNTIFS('Policy Assignments'!$C$5:$C$868,$A169,'Policy Assignments'!$B$5:$B$868,F$4,'Policy Assignments'!$E$5:$E$868,"Hold")&gt;0,"H",IF(COUNTIFS('Policy Assignments'!$C$5:$C$868,$A169,'Policy Assignments'!$B$5:$B$868,F$4,'Policy Assignments'!$E$5:$E$868,"Core")&gt;0,"R",IF(COUNTIFS('Policy Assignments'!$C$5:$C$868,$A169,'Policy Assignments'!$B$5:$B$868,F$4,'Policy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G169" s="94" t="str">
        <x:f>IF(COUNTIFS('Policy Assignments'!$C$5:$C$868,$A169,'Policy Assignments'!$B$5:$B$868,G$4,'Policy Assignments'!$E$5:$E$868,"Hold")&gt;0,"H",IF(COUNTIFS('Policy Assignments'!$C$5:$C$868,$A169,'Policy Assignments'!$B$5:$B$868,G$4,'Policy Assignments'!$E$5:$E$868,"Core")&gt;0,"R",IF(COUNTIFS('Policy Assignments'!$C$5:$C$868,$A169,'Policy Assignments'!$B$5:$B$868,G$4,'Policy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H169" s="94" t="str">
        <x:f>IF(COUNTIFS('Policy Assignments'!$C$5:$C$868,$A169,'Policy Assignments'!$B$5:$B$868,H$4,'Policy Assignments'!$E$5:$E$868,"Hold")&gt;0,"H",IF(COUNTIFS('Policy Assignments'!$C$5:$C$868,$A169,'Policy Assignments'!$B$5:$B$868,H$4,'Policy Assignments'!$E$5:$E$868,"Core")&gt;0,"R",IF(COUNTIFS('Policy Assignments'!$C$5:$C$868,$A169,'Policy Assignments'!$B$5:$B$868,H$4,'Policy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I169" s="94" t="str">
        <x:f>IF(COUNTIFS('Policy Assignments'!$C$5:$C$868,$A169,'Policy Assignments'!$B$5:$B$868,I$4,'Policy Assignments'!$E$5:$E$868,"Hold")&gt;0,"H",IF(COUNTIFS('Policy Assignments'!$C$5:$C$868,$A169,'Policy Assignments'!$B$5:$B$868,I$4,'Policy Assignments'!$E$5:$E$868,"Core")&gt;0,"R",IF(COUNTIFS('Policy Assignments'!$C$5:$C$868,$A169,'Policy Assignments'!$B$5:$B$868,I$4,'Policy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J169" s="94" t="str">
        <x:f>IF(COUNTIFS('Policy Assignments'!$C$5:$C$868,$A169,'Policy Assignments'!$B$5:$B$868,J$4,'Policy Assignments'!$E$5:$E$868,"Hold")&gt;0,"H",IF(COUNTIFS('Policy Assignments'!$C$5:$C$868,$A169,'Policy Assignments'!$B$5:$B$868,J$4,'Policy Assignments'!$E$5:$E$868,"Core")&gt;0,"R",IF(COUNTIFS('Policy Assignments'!$C$5:$C$868,$A169,'Policy Assignments'!$B$5:$B$868,J$4,'Policy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v>H</x:v>
      </x:c>
      <x:c r="K169" s="94" t="str">
        <x:f>IF(COUNTIFS('Policy Assignments'!$C$5:$C$868,$A169,'Policy Assignments'!$B$5:$B$868,K$4,'Policy Assignments'!$E$5:$E$868,"Hold")&gt;0,"H",IF(COUNTIFS('Policy Assignments'!$C$5:$C$868,$A169,'Policy Assignments'!$B$5:$B$868,K$4,'Policy Assignments'!$E$5:$E$868,"Core")&gt;0,"R",IF(COUNTIFS('Policy Assignments'!$C$5:$C$868,$A169,'Policy Assignments'!$B$5:$B$868,K$4,'Policy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L169" s="94" t="str">
        <x:f>IF(COUNTIFS('Policy Assignments'!$C$5:$C$868,$A169,'Policy Assignments'!$B$5:$B$868,L$4,'Policy Assignments'!$E$5:$E$868,"Hold")&gt;0,"H",IF(COUNTIFS('Policy Assignments'!$C$5:$C$868,$A169,'Policy Assignments'!$B$5:$B$868,L$4,'Policy Assignments'!$E$5:$E$868,"Core")&gt;0,"R",IF(COUNTIFS('Policy Assignments'!$C$5:$C$868,$A169,'Policy Assignments'!$B$5:$B$868,L$4,'Policy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M169" s="94" t="str">
        <x:f>IF(COUNTIFS('Policy Assignments'!$C$5:$C$868,$A169,'Policy Assignments'!$B$5:$B$868,M$4,'Policy Assignments'!$E$5:$E$868,"Hold")&gt;0,"H",IF(COUNTIFS('Policy Assignments'!$C$5:$C$868,$A169,'Policy Assignments'!$B$5:$B$868,M$4,'Policy Assignments'!$E$5:$E$868,"Core")&gt;0,"R",IF(COUNTIFS('Policy Assignments'!$C$5:$C$868,$A169,'Policy Assignments'!$B$5:$B$868,M$4,'Policy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N169" s="94" t="str">
        <x:f>IF(COUNTIFS('Policy Assignments'!$C$5:$C$868,$A169,'Policy Assignments'!$B$5:$B$868,N$4,'Policy Assignments'!$E$5:$E$868,"Hold")&gt;0,"H",IF(COUNTIFS('Policy Assignments'!$C$5:$C$868,$A169,'Policy Assignments'!$B$5:$B$868,N$4,'Policy Assignments'!$E$5:$E$868,"Core")&gt;0,"R",IF(COUNTIFS('Policy Assignments'!$C$5:$C$868,$A169,'Policy Assignments'!$B$5:$B$868,N$4,'Policy Assignments'!$E$5:$E$868,"Conditional")&gt;0,"C",IF(COUNTIFS('Policy Assignments'!$C$5:$C$868,$A169,'Policy Assignments'!$B$5:$B$868,"General",'Policy Assignments'!$E$5:$E$868,"Hold")&gt;0,"H",IF(COUNTIFS('Policy Assignments'!$C$5:$C$868,$A169,'Policy Assignments'!$B$5:$B$868,"General",'Policy Assignments'!$E$5:$E$868,"Conditional")&gt;0,"C",IF(COUNTIFS('Policy Assignments'!$C$5:$C$868,$A169,'Policy Assignments'!$B$5:$B$868,"General")&gt;0,"G",""))))))</x:f>
      </x:c>
      <x:c r="O169" s="94" t="str">
        <x:f>IF(COUNTIFS('Policy Assignments'!$C$5:$C$868,$A169,'Policy Assignments'!$B$5:$B$868,O$4,'Policy Assignments'!$E$5:$E$868,"Hold")&gt;0,"H",IF(COUNTIFS('Policy Assignments'!$C$5:$C$868,$A169,'Policy Assignments'!$B$5:$B$868,O$4,'Policy Assignments'!$E$5:$E$868,"Core")&gt;0,"R",IF(COUNTIFS('Policy Assignments'!$C$5:$C$868,$A169,'Policy Assignments'!$B$5:$B$868,O$4,'Policy Assignments'!$E$5:$E$868,"Conditional")&gt;0,"C","")))</x:f>
      </x:c>
      <x:c r="P169" s="90" t="str">
        <x:v>Hold/correction required</x:v>
      </x:c>
    </x:row>
    <x:row r="170" ht="22" customHeight="1">
      <x:c r="A170" s="90" t="str">
        <x:v>MISSING-PTA-JD</x:v>
      </x:c>
      <x:c r="B170" s="90" t="str">
        <x:v>Physical Therapist Assistant — dedicated job description not present</x:v>
      </x:c>
      <x:c r="C170" s="94" t="str">
        <x:f>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D170" s="94" t="str">
        <x:f>IF(COUNTIFS('Policy Assignments'!$C$5:$C$868,$A170,'Policy Assignments'!$B$5:$B$868,D$4,'Policy Assignments'!$E$5:$E$868,"Hold")&gt;0,"H",IF(COUNTIFS('Policy Assignments'!$C$5:$C$868,$A170,'Policy Assignments'!$B$5:$B$868,D$4,'Policy Assignments'!$E$5:$E$868,"Core")&gt;0,"R",IF(COUNTIFS('Policy Assignments'!$C$5:$C$868,$A170,'Policy Assignments'!$B$5:$B$868,D$4,'Policy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E170" s="94" t="str">
        <x:f>IF(COUNTIFS('Policy Assignments'!$C$5:$C$868,$A170,'Policy Assignments'!$B$5:$B$868,E$4,'Policy Assignments'!$E$5:$E$868,"Hold")&gt;0,"H",IF(COUNTIFS('Policy Assignments'!$C$5:$C$868,$A170,'Policy Assignments'!$B$5:$B$868,E$4,'Policy Assignments'!$E$5:$E$868,"Core")&gt;0,"R",IF(COUNTIFS('Policy Assignments'!$C$5:$C$868,$A170,'Policy Assignments'!$B$5:$B$868,E$4,'Policy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F170" s="94" t="str">
        <x:f>IF(COUNTIFS('Policy Assignments'!$C$5:$C$868,$A170,'Policy Assignments'!$B$5:$B$868,F$4,'Policy Assignments'!$E$5:$E$868,"Hold")&gt;0,"H",IF(COUNTIFS('Policy Assignments'!$C$5:$C$868,$A170,'Policy Assignments'!$B$5:$B$868,F$4,'Policy Assignments'!$E$5:$E$868,"Core")&gt;0,"R",IF(COUNTIFS('Policy Assignments'!$C$5:$C$868,$A170,'Policy Assignments'!$B$5:$B$868,F$4,'Policy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G170" s="94" t="str">
        <x:f>IF(COUNTIFS('Policy Assignments'!$C$5:$C$868,$A170,'Policy Assignments'!$B$5:$B$868,G$4,'Policy Assignments'!$E$5:$E$868,"Hold")&gt;0,"H",IF(COUNTIFS('Policy Assignments'!$C$5:$C$868,$A170,'Policy Assignments'!$B$5:$B$868,G$4,'Policy Assignments'!$E$5:$E$868,"Core")&gt;0,"R",IF(COUNTIFS('Policy Assignments'!$C$5:$C$868,$A170,'Policy Assignments'!$B$5:$B$868,G$4,'Policy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H170" s="94" t="str">
        <x:f>IF(COUNTIFS('Policy Assignments'!$C$5:$C$868,$A170,'Policy Assignments'!$B$5:$B$868,H$4,'Policy Assignments'!$E$5:$E$868,"Hold")&gt;0,"H",IF(COUNTIFS('Policy Assignments'!$C$5:$C$868,$A170,'Policy Assignments'!$B$5:$B$868,H$4,'Policy Assignments'!$E$5:$E$868,"Core")&gt;0,"R",IF(COUNTIFS('Policy Assignments'!$C$5:$C$868,$A170,'Policy Assignments'!$B$5:$B$868,H$4,'Policy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v>H</x:v>
      </x:c>
      <x:c r="I170" s="94" t="str">
        <x:f>IF(COUNTIFS('Policy Assignments'!$C$5:$C$868,$A170,'Policy Assignments'!$B$5:$B$868,I$4,'Policy Assignments'!$E$5:$E$868,"Hold")&gt;0,"H",IF(COUNTIFS('Policy Assignments'!$C$5:$C$868,$A170,'Policy Assignments'!$B$5:$B$868,I$4,'Policy Assignments'!$E$5:$E$868,"Core")&gt;0,"R",IF(COUNTIFS('Policy Assignments'!$C$5:$C$868,$A170,'Policy Assignments'!$B$5:$B$868,I$4,'Policy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J170" s="94" t="str">
        <x:f>IF(COUNTIFS('Policy Assignments'!$C$5:$C$868,$A170,'Policy Assignments'!$B$5:$B$868,J$4,'Policy Assignments'!$E$5:$E$868,"Hold")&gt;0,"H",IF(COUNTIFS('Policy Assignments'!$C$5:$C$868,$A170,'Policy Assignments'!$B$5:$B$868,J$4,'Policy Assignments'!$E$5:$E$868,"Core")&gt;0,"R",IF(COUNTIFS('Policy Assignments'!$C$5:$C$868,$A170,'Policy Assignments'!$B$5:$B$868,J$4,'Policy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K170" s="94" t="str">
        <x:f>IF(COUNTIFS('Policy Assignments'!$C$5:$C$868,$A170,'Policy Assignments'!$B$5:$B$868,K$4,'Policy Assignments'!$E$5:$E$868,"Hold")&gt;0,"H",IF(COUNTIFS('Policy Assignments'!$C$5:$C$868,$A170,'Policy Assignments'!$B$5:$B$868,K$4,'Policy Assignments'!$E$5:$E$868,"Core")&gt;0,"R",IF(COUNTIFS('Policy Assignments'!$C$5:$C$868,$A170,'Policy Assignments'!$B$5:$B$868,K$4,'Policy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L170" s="94" t="str">
        <x:f>IF(COUNTIFS('Policy Assignments'!$C$5:$C$868,$A170,'Policy Assignments'!$B$5:$B$868,L$4,'Policy Assignments'!$E$5:$E$868,"Hold")&gt;0,"H",IF(COUNTIFS('Policy Assignments'!$C$5:$C$868,$A170,'Policy Assignments'!$B$5:$B$868,L$4,'Policy Assignments'!$E$5:$E$868,"Core")&gt;0,"R",IF(COUNTIFS('Policy Assignments'!$C$5:$C$868,$A170,'Policy Assignments'!$B$5:$B$868,L$4,'Policy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M170" s="94" t="str">
        <x:f>IF(COUNTIFS('Policy Assignments'!$C$5:$C$868,$A170,'Policy Assignments'!$B$5:$B$868,M$4,'Policy Assignments'!$E$5:$E$868,"Hold")&gt;0,"H",IF(COUNTIFS('Policy Assignments'!$C$5:$C$868,$A170,'Policy Assignments'!$B$5:$B$868,M$4,'Policy Assignments'!$E$5:$E$868,"Core")&gt;0,"R",IF(COUNTIFS('Policy Assignments'!$C$5:$C$868,$A170,'Policy Assignments'!$B$5:$B$868,M$4,'Policy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N170" s="94" t="str">
        <x:f>IF(COUNTIFS('Policy Assignments'!$C$5:$C$868,$A170,'Policy Assignments'!$B$5:$B$868,N$4,'Policy Assignments'!$E$5:$E$868,"Hold")&gt;0,"H",IF(COUNTIFS('Policy Assignments'!$C$5:$C$868,$A170,'Policy Assignments'!$B$5:$B$868,N$4,'Policy Assignments'!$E$5:$E$868,"Core")&gt;0,"R",IF(COUNTIFS('Policy Assignments'!$C$5:$C$868,$A170,'Policy Assignments'!$B$5:$B$868,N$4,'Policy Assignments'!$E$5:$E$868,"Conditional")&gt;0,"C",IF(COUNTIFS('Policy Assignments'!$C$5:$C$868,$A170,'Policy Assignments'!$B$5:$B$868,"General",'Policy Assignments'!$E$5:$E$868,"Hold")&gt;0,"H",IF(COUNTIFS('Policy Assignments'!$C$5:$C$868,$A170,'Policy Assignments'!$B$5:$B$868,"General",'Policy Assignments'!$E$5:$E$868,"Conditional")&gt;0,"C",IF(COUNTIFS('Policy Assignments'!$C$5:$C$868,$A170,'Policy Assignments'!$B$5:$B$868,"General")&gt;0,"G",""))))))</x:f>
      </x:c>
      <x:c r="O170" s="94" t="str">
        <x:f>IF(COUNTIFS('Policy Assignments'!$C$5:$C$868,$A170,'Policy Assignments'!$B$5:$B$868,O$4,'Policy Assignments'!$E$5:$E$868,"Hold")&gt;0,"H",IF(COUNTIFS('Policy Assignments'!$C$5:$C$868,$A170,'Policy Assignments'!$B$5:$B$868,O$4,'Policy Assignments'!$E$5:$E$868,"Core")&gt;0,"R",IF(COUNTIFS('Policy Assignments'!$C$5:$C$868,$A170,'Policy Assignments'!$B$5:$B$868,O$4,'Policy Assignments'!$E$5:$E$868,"Conditional")&gt;0,"C","")))</x:f>
      </x:c>
      <x:c r="P170" s="90" t="str">
        <x:v>Hold/correction required</x:v>
      </x:c>
    </x:row>
    <x:row r="171" ht="22" customHeight="1">
      <x:c r="A171" s="90" t="str">
        <x:v>OP-FM-005</x:v>
      </x:c>
      <x:c r="B171" s="90" t="str">
        <x:v>Emergency Operations &amp; Business Continuity</x:v>
      </x:c>
      <x:c r="C171" s="94" t="str">
        <x:f>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D171" s="94" t="str">
        <x:f>IF(COUNTIFS('Policy Assignments'!$C$5:$C$868,$A171,'Policy Assignments'!$B$5:$B$868,D$4,'Policy Assignments'!$E$5:$E$868,"Hold")&gt;0,"H",IF(COUNTIFS('Policy Assignments'!$C$5:$C$868,$A171,'Policy Assignments'!$B$5:$B$868,D$4,'Policy Assignments'!$E$5:$E$868,"Core")&gt;0,"R",IF(COUNTIFS('Policy Assignments'!$C$5:$C$868,$A171,'Policy Assignments'!$B$5:$B$868,D$4,'Policy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E171" s="94" t="str">
        <x:f>IF(COUNTIFS('Policy Assignments'!$C$5:$C$868,$A171,'Policy Assignments'!$B$5:$B$868,E$4,'Policy Assignments'!$E$5:$E$868,"Hold")&gt;0,"H",IF(COUNTIFS('Policy Assignments'!$C$5:$C$868,$A171,'Policy Assignments'!$B$5:$B$868,E$4,'Policy Assignments'!$E$5:$E$868,"Core")&gt;0,"R",IF(COUNTIFS('Policy Assignments'!$C$5:$C$868,$A171,'Policy Assignments'!$B$5:$B$868,E$4,'Policy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F171" s="94" t="str">
        <x:f>IF(COUNTIFS('Policy Assignments'!$C$5:$C$868,$A171,'Policy Assignments'!$B$5:$B$868,F$4,'Policy Assignments'!$E$5:$E$868,"Hold")&gt;0,"H",IF(COUNTIFS('Policy Assignments'!$C$5:$C$868,$A171,'Policy Assignments'!$B$5:$B$868,F$4,'Policy Assignments'!$E$5:$E$868,"Core")&gt;0,"R",IF(COUNTIFS('Policy Assignments'!$C$5:$C$868,$A171,'Policy Assignments'!$B$5:$B$868,F$4,'Policy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G171" s="94" t="str">
        <x:f>IF(COUNTIFS('Policy Assignments'!$C$5:$C$868,$A171,'Policy Assignments'!$B$5:$B$868,G$4,'Policy Assignments'!$E$5:$E$868,"Hold")&gt;0,"H",IF(COUNTIFS('Policy Assignments'!$C$5:$C$868,$A171,'Policy Assignments'!$B$5:$B$868,G$4,'Policy Assignments'!$E$5:$E$868,"Core")&gt;0,"R",IF(COUNTIFS('Policy Assignments'!$C$5:$C$868,$A171,'Policy Assignments'!$B$5:$B$868,G$4,'Policy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H171" s="94" t="str">
        <x:f>IF(COUNTIFS('Policy Assignments'!$C$5:$C$868,$A171,'Policy Assignments'!$B$5:$B$868,H$4,'Policy Assignments'!$E$5:$E$868,"Hold")&gt;0,"H",IF(COUNTIFS('Policy Assignments'!$C$5:$C$868,$A171,'Policy Assignments'!$B$5:$B$868,H$4,'Policy Assignments'!$E$5:$E$868,"Core")&gt;0,"R",IF(COUNTIFS('Policy Assignments'!$C$5:$C$868,$A171,'Policy Assignments'!$B$5:$B$868,H$4,'Policy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I171" s="94" t="str">
        <x:f>IF(COUNTIFS('Policy Assignments'!$C$5:$C$868,$A171,'Policy Assignments'!$B$5:$B$868,I$4,'Policy Assignments'!$E$5:$E$868,"Hold")&gt;0,"H",IF(COUNTIFS('Policy Assignments'!$C$5:$C$868,$A171,'Policy Assignments'!$B$5:$B$868,I$4,'Policy Assignments'!$E$5:$E$868,"Core")&gt;0,"R",IF(COUNTIFS('Policy Assignments'!$C$5:$C$868,$A171,'Policy Assignments'!$B$5:$B$868,I$4,'Policy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J171" s="94" t="str">
        <x:f>IF(COUNTIFS('Policy Assignments'!$C$5:$C$868,$A171,'Policy Assignments'!$B$5:$B$868,J$4,'Policy Assignments'!$E$5:$E$868,"Hold")&gt;0,"H",IF(COUNTIFS('Policy Assignments'!$C$5:$C$868,$A171,'Policy Assignments'!$B$5:$B$868,J$4,'Policy Assignments'!$E$5:$E$868,"Core")&gt;0,"R",IF(COUNTIFS('Policy Assignments'!$C$5:$C$868,$A171,'Policy Assignments'!$B$5:$B$868,J$4,'Policy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K171" s="94" t="str">
        <x:f>IF(COUNTIFS('Policy Assignments'!$C$5:$C$868,$A171,'Policy Assignments'!$B$5:$B$868,K$4,'Policy Assignments'!$E$5:$E$868,"Hold")&gt;0,"H",IF(COUNTIFS('Policy Assignments'!$C$5:$C$868,$A171,'Policy Assignments'!$B$5:$B$868,K$4,'Policy Assignments'!$E$5:$E$868,"Core")&gt;0,"R",IF(COUNTIFS('Policy Assignments'!$C$5:$C$868,$A171,'Policy Assignments'!$B$5:$B$868,K$4,'Policy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L171" s="94" t="str">
        <x:f>IF(COUNTIFS('Policy Assignments'!$C$5:$C$868,$A171,'Policy Assignments'!$B$5:$B$868,L$4,'Policy Assignments'!$E$5:$E$868,"Hold")&gt;0,"H",IF(COUNTIFS('Policy Assignments'!$C$5:$C$868,$A171,'Policy Assignments'!$B$5:$B$868,L$4,'Policy Assignments'!$E$5:$E$868,"Core")&gt;0,"R",IF(COUNTIFS('Policy Assignments'!$C$5:$C$868,$A171,'Policy Assignments'!$B$5:$B$868,L$4,'Policy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M171" s="94" t="str">
        <x:f>IF(COUNTIFS('Policy Assignments'!$C$5:$C$868,$A171,'Policy Assignments'!$B$5:$B$868,M$4,'Policy Assignments'!$E$5:$E$868,"Hold")&gt;0,"H",IF(COUNTIFS('Policy Assignments'!$C$5:$C$868,$A171,'Policy Assignments'!$B$5:$B$868,M$4,'Policy Assignments'!$E$5:$E$868,"Core")&gt;0,"R",IF(COUNTIFS('Policy Assignments'!$C$5:$C$868,$A171,'Policy Assignments'!$B$5:$B$868,M$4,'Policy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N171" s="94" t="str">
        <x:f>IF(COUNTIFS('Policy Assignments'!$C$5:$C$868,$A171,'Policy Assignments'!$B$5:$B$868,N$4,'Policy Assignments'!$E$5:$E$868,"Hold")&gt;0,"H",IF(COUNTIFS('Policy Assignments'!$C$5:$C$868,$A171,'Policy Assignments'!$B$5:$B$868,N$4,'Policy Assignments'!$E$5:$E$868,"Core")&gt;0,"R",IF(COUNTIFS('Policy Assignments'!$C$5:$C$868,$A171,'Policy Assignments'!$B$5:$B$868,N$4,'Policy Assignments'!$E$5:$E$868,"Conditional")&gt;0,"C",IF(COUNTIFS('Policy Assignments'!$C$5:$C$868,$A171,'Policy Assignments'!$B$5:$B$868,"General",'Policy Assignments'!$E$5:$E$868,"Hold")&gt;0,"H",IF(COUNTIFS('Policy Assignments'!$C$5:$C$868,$A171,'Policy Assignments'!$B$5:$B$868,"General",'Policy Assignments'!$E$5:$E$868,"Conditional")&gt;0,"C",IF(COUNTIFS('Policy Assignments'!$C$5:$C$868,$A171,'Policy Assignments'!$B$5:$B$868,"General")&gt;0,"G",""))))))</x:f>
        <x:v>G</x:v>
      </x:c>
      <x:c r="O171" s="94" t="str">
        <x:f>IF(COUNTIFS('Policy Assignments'!$C$5:$C$868,$A171,'Policy Assignments'!$B$5:$B$868,O$4,'Policy Assignments'!$E$5:$E$868,"Hold")&gt;0,"H",IF(COUNTIFS('Policy Assignments'!$C$5:$C$868,$A171,'Policy Assignments'!$B$5:$B$868,O$4,'Policy Assignments'!$E$5:$E$868,"Core")&gt;0,"R",IF(COUNTIFS('Policy Assignments'!$C$5:$C$868,$A171,'Policy Assignments'!$B$5:$B$868,O$4,'Policy Assignments'!$E$5:$E$868,"Conditional")&gt;0,"C","")))</x:f>
      </x:c>
      <x:c r="P171" s="90" t="str">
        <x:v>Mapped</x:v>
      </x:c>
    </x:row>
    <x:row r="172" ht="22" customHeight="1">
      <x:c r="A172" s="90" t="str">
        <x:v>OP-PA-001</x:v>
      </x:c>
      <x:c r="B172" s="90" t="str">
        <x:v>Patient Complaint &amp; Grievance Resolution</x:v>
      </x:c>
      <x:c r="C172" s="94" t="str">
        <x:f>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D172" s="94" t="str">
        <x:f>IF(COUNTIFS('Policy Assignments'!$C$5:$C$868,$A172,'Policy Assignments'!$B$5:$B$868,D$4,'Policy Assignments'!$E$5:$E$868,"Hold")&gt;0,"H",IF(COUNTIFS('Policy Assignments'!$C$5:$C$868,$A172,'Policy Assignments'!$B$5:$B$868,D$4,'Policy Assignments'!$E$5:$E$868,"Core")&gt;0,"R",IF(COUNTIFS('Policy Assignments'!$C$5:$C$868,$A172,'Policy Assignments'!$B$5:$B$868,D$4,'Policy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E172" s="94" t="str">
        <x:f>IF(COUNTIFS('Policy Assignments'!$C$5:$C$868,$A172,'Policy Assignments'!$B$5:$B$868,E$4,'Policy Assignments'!$E$5:$E$868,"Hold")&gt;0,"H",IF(COUNTIFS('Policy Assignments'!$C$5:$C$868,$A172,'Policy Assignments'!$B$5:$B$868,E$4,'Policy Assignments'!$E$5:$E$868,"Core")&gt;0,"R",IF(COUNTIFS('Policy Assignments'!$C$5:$C$868,$A172,'Policy Assignments'!$B$5:$B$868,E$4,'Policy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F172" s="94" t="str">
        <x:f>IF(COUNTIFS('Policy Assignments'!$C$5:$C$868,$A172,'Policy Assignments'!$B$5:$B$868,F$4,'Policy Assignments'!$E$5:$E$868,"Hold")&gt;0,"H",IF(COUNTIFS('Policy Assignments'!$C$5:$C$868,$A172,'Policy Assignments'!$B$5:$B$868,F$4,'Policy Assignments'!$E$5:$E$868,"Core")&gt;0,"R",IF(COUNTIFS('Policy Assignments'!$C$5:$C$868,$A172,'Policy Assignments'!$B$5:$B$868,F$4,'Policy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G172" s="94" t="str">
        <x:f>IF(COUNTIFS('Policy Assignments'!$C$5:$C$868,$A172,'Policy Assignments'!$B$5:$B$868,G$4,'Policy Assignments'!$E$5:$E$868,"Hold")&gt;0,"H",IF(COUNTIFS('Policy Assignments'!$C$5:$C$868,$A172,'Policy Assignments'!$B$5:$B$868,G$4,'Policy Assignments'!$E$5:$E$868,"Core")&gt;0,"R",IF(COUNTIFS('Policy Assignments'!$C$5:$C$868,$A172,'Policy Assignments'!$B$5:$B$868,G$4,'Policy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H172" s="94" t="str">
        <x:f>IF(COUNTIFS('Policy Assignments'!$C$5:$C$868,$A172,'Policy Assignments'!$B$5:$B$868,H$4,'Policy Assignments'!$E$5:$E$868,"Hold")&gt;0,"H",IF(COUNTIFS('Policy Assignments'!$C$5:$C$868,$A172,'Policy Assignments'!$B$5:$B$868,H$4,'Policy Assignments'!$E$5:$E$868,"Core")&gt;0,"R",IF(COUNTIFS('Policy Assignments'!$C$5:$C$868,$A172,'Policy Assignments'!$B$5:$B$868,H$4,'Policy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I172" s="94" t="str">
        <x:f>IF(COUNTIFS('Policy Assignments'!$C$5:$C$868,$A172,'Policy Assignments'!$B$5:$B$868,I$4,'Policy Assignments'!$E$5:$E$868,"Hold")&gt;0,"H",IF(COUNTIFS('Policy Assignments'!$C$5:$C$868,$A172,'Policy Assignments'!$B$5:$B$868,I$4,'Policy Assignments'!$E$5:$E$868,"Core")&gt;0,"R",IF(COUNTIFS('Policy Assignments'!$C$5:$C$868,$A172,'Policy Assignments'!$B$5:$B$868,I$4,'Policy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J172" s="94" t="str">
        <x:f>IF(COUNTIFS('Policy Assignments'!$C$5:$C$868,$A172,'Policy Assignments'!$B$5:$B$868,J$4,'Policy Assignments'!$E$5:$E$868,"Hold")&gt;0,"H",IF(COUNTIFS('Policy Assignments'!$C$5:$C$868,$A172,'Policy Assignments'!$B$5:$B$868,J$4,'Policy Assignments'!$E$5:$E$868,"Core")&gt;0,"R",IF(COUNTIFS('Policy Assignments'!$C$5:$C$868,$A172,'Policy Assignments'!$B$5:$B$868,J$4,'Policy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K172" s="94" t="str">
        <x:f>IF(COUNTIFS('Policy Assignments'!$C$5:$C$868,$A172,'Policy Assignments'!$B$5:$B$868,K$4,'Policy Assignments'!$E$5:$E$868,"Hold")&gt;0,"H",IF(COUNTIFS('Policy Assignments'!$C$5:$C$868,$A172,'Policy Assignments'!$B$5:$B$868,K$4,'Policy Assignments'!$E$5:$E$868,"Core")&gt;0,"R",IF(COUNTIFS('Policy Assignments'!$C$5:$C$868,$A172,'Policy Assignments'!$B$5:$B$868,K$4,'Policy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L172" s="94" t="str">
        <x:f>IF(COUNTIFS('Policy Assignments'!$C$5:$C$868,$A172,'Policy Assignments'!$B$5:$B$868,L$4,'Policy Assignments'!$E$5:$E$868,"Hold")&gt;0,"H",IF(COUNTIFS('Policy Assignments'!$C$5:$C$868,$A172,'Policy Assignments'!$B$5:$B$868,L$4,'Policy Assignments'!$E$5:$E$868,"Core")&gt;0,"R",IF(COUNTIFS('Policy Assignments'!$C$5:$C$868,$A172,'Policy Assignments'!$B$5:$B$868,L$4,'Policy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M172" s="94" t="str">
        <x:f>IF(COUNTIFS('Policy Assignments'!$C$5:$C$868,$A172,'Policy Assignments'!$B$5:$B$868,M$4,'Policy Assignments'!$E$5:$E$868,"Hold")&gt;0,"H",IF(COUNTIFS('Policy Assignments'!$C$5:$C$868,$A172,'Policy Assignments'!$B$5:$B$868,M$4,'Policy Assignments'!$E$5:$E$868,"Core")&gt;0,"R",IF(COUNTIFS('Policy Assignments'!$C$5:$C$868,$A172,'Policy Assignments'!$B$5:$B$868,M$4,'Policy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N172" s="94" t="str">
        <x:f>IF(COUNTIFS('Policy Assignments'!$C$5:$C$868,$A172,'Policy Assignments'!$B$5:$B$868,N$4,'Policy Assignments'!$E$5:$E$868,"Hold")&gt;0,"H",IF(COUNTIFS('Policy Assignments'!$C$5:$C$868,$A172,'Policy Assignments'!$B$5:$B$868,N$4,'Policy Assignments'!$E$5:$E$868,"Core")&gt;0,"R",IF(COUNTIFS('Policy Assignments'!$C$5:$C$868,$A172,'Policy Assignments'!$B$5:$B$868,N$4,'Policy Assignments'!$E$5:$E$868,"Conditional")&gt;0,"C",IF(COUNTIFS('Policy Assignments'!$C$5:$C$868,$A172,'Policy Assignments'!$B$5:$B$868,"General",'Policy Assignments'!$E$5:$E$868,"Hold")&gt;0,"H",IF(COUNTIFS('Policy Assignments'!$C$5:$C$868,$A172,'Policy Assignments'!$B$5:$B$868,"General",'Policy Assignments'!$E$5:$E$868,"Conditional")&gt;0,"C",IF(COUNTIFS('Policy Assignments'!$C$5:$C$868,$A172,'Policy Assignments'!$B$5:$B$868,"General")&gt;0,"G",""))))))</x:f>
        <x:v>G</x:v>
      </x:c>
      <x:c r="O172" s="94" t="str">
        <x:f>IF(COUNTIFS('Policy Assignments'!$C$5:$C$868,$A172,'Policy Assignments'!$B$5:$B$868,O$4,'Policy Assignments'!$E$5:$E$868,"Hold")&gt;0,"H",IF(COUNTIFS('Policy Assignments'!$C$5:$C$868,$A172,'Policy Assignments'!$B$5:$B$868,O$4,'Policy Assignments'!$E$5:$E$868,"Core")&gt;0,"R",IF(COUNTIFS('Policy Assignments'!$C$5:$C$868,$A172,'Policy Assignments'!$B$5:$B$868,O$4,'Policy Assignments'!$E$5:$E$868,"Conditional")&gt;0,"C","")))</x:f>
      </x:c>
      <x:c r="P172" s="90" t="str">
        <x:v>Mapped</x:v>
      </x:c>
    </x:row>
    <x:row r="173" ht="22" customHeight="1">
      <x:c r="A173" s="90" t="str">
        <x:v>OP-PA-002</x:v>
      </x:c>
      <x:c r="B173" s="90" t="str">
        <x:v>Patient Identification &amp; Verification</x:v>
      </x:c>
      <x:c r="C173" s="94" t="str">
        <x:f>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c>
      <x:c r="D173" s="94" t="str">
        <x:f>IF(COUNTIFS('Policy Assignments'!$C$5:$C$868,$A173,'Policy Assignments'!$B$5:$B$868,D$4,'Policy Assignments'!$E$5:$E$868,"Hold")&gt;0,"H",IF(COUNTIFS('Policy Assignments'!$C$5:$C$868,$A173,'Policy Assignments'!$B$5:$B$868,D$4,'Policy Assignments'!$E$5:$E$868,"Core")&gt;0,"R",IF(COUNTIFS('Policy Assignments'!$C$5:$C$868,$A173,'Policy Assignments'!$B$5:$B$868,D$4,'Policy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E173" s="94" t="str">
        <x:f>IF(COUNTIFS('Policy Assignments'!$C$5:$C$868,$A173,'Policy Assignments'!$B$5:$B$868,E$4,'Policy Assignments'!$E$5:$E$868,"Hold")&gt;0,"H",IF(COUNTIFS('Policy Assignments'!$C$5:$C$868,$A173,'Policy Assignments'!$B$5:$B$868,E$4,'Policy Assignments'!$E$5:$E$868,"Core")&gt;0,"R",IF(COUNTIFS('Policy Assignments'!$C$5:$C$868,$A173,'Policy Assignments'!$B$5:$B$868,E$4,'Policy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F173" s="94" t="str">
        <x:f>IF(COUNTIFS('Policy Assignments'!$C$5:$C$868,$A173,'Policy Assignments'!$B$5:$B$868,F$4,'Policy Assignments'!$E$5:$E$868,"Hold")&gt;0,"H",IF(COUNTIFS('Policy Assignments'!$C$5:$C$868,$A173,'Policy Assignments'!$B$5:$B$868,F$4,'Policy Assignments'!$E$5:$E$868,"Core")&gt;0,"R",IF(COUNTIFS('Policy Assignments'!$C$5:$C$868,$A173,'Policy Assignments'!$B$5:$B$868,F$4,'Policy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G173" s="94" t="str">
        <x:f>IF(COUNTIFS('Policy Assignments'!$C$5:$C$868,$A173,'Policy Assignments'!$B$5:$B$868,G$4,'Policy Assignments'!$E$5:$E$868,"Hold")&gt;0,"H",IF(COUNTIFS('Policy Assignments'!$C$5:$C$868,$A173,'Policy Assignments'!$B$5:$B$868,G$4,'Policy Assignments'!$E$5:$E$868,"Core")&gt;0,"R",IF(COUNTIFS('Policy Assignments'!$C$5:$C$868,$A173,'Policy Assignments'!$B$5:$B$868,G$4,'Policy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H173" s="94" t="str">
        <x:f>IF(COUNTIFS('Policy Assignments'!$C$5:$C$868,$A173,'Policy Assignments'!$B$5:$B$868,H$4,'Policy Assignments'!$E$5:$E$868,"Hold")&gt;0,"H",IF(COUNTIFS('Policy Assignments'!$C$5:$C$868,$A173,'Policy Assignments'!$B$5:$B$868,H$4,'Policy Assignments'!$E$5:$E$868,"Core")&gt;0,"R",IF(COUNTIFS('Policy Assignments'!$C$5:$C$868,$A173,'Policy Assignments'!$B$5:$B$868,H$4,'Policy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I173" s="94" t="str">
        <x:f>IF(COUNTIFS('Policy Assignments'!$C$5:$C$868,$A173,'Policy Assignments'!$B$5:$B$868,I$4,'Policy Assignments'!$E$5:$E$868,"Hold")&gt;0,"H",IF(COUNTIFS('Policy Assignments'!$C$5:$C$868,$A173,'Policy Assignments'!$B$5:$B$868,I$4,'Policy Assignments'!$E$5:$E$868,"Core")&gt;0,"R",IF(COUNTIFS('Policy Assignments'!$C$5:$C$868,$A173,'Policy Assignments'!$B$5:$B$868,I$4,'Policy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J173" s="94" t="str">
        <x:f>IF(COUNTIFS('Policy Assignments'!$C$5:$C$868,$A173,'Policy Assignments'!$B$5:$B$868,J$4,'Policy Assignments'!$E$5:$E$868,"Hold")&gt;0,"H",IF(COUNTIFS('Policy Assignments'!$C$5:$C$868,$A173,'Policy Assignments'!$B$5:$B$868,J$4,'Policy Assignments'!$E$5:$E$868,"Core")&gt;0,"R",IF(COUNTIFS('Policy Assignments'!$C$5:$C$868,$A173,'Policy Assignments'!$B$5:$B$868,J$4,'Policy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K173" s="94" t="str">
        <x:f>IF(COUNTIFS('Policy Assignments'!$C$5:$C$868,$A173,'Policy Assignments'!$B$5:$B$868,K$4,'Policy Assignments'!$E$5:$E$868,"Hold")&gt;0,"H",IF(COUNTIFS('Policy Assignments'!$C$5:$C$868,$A173,'Policy Assignments'!$B$5:$B$868,K$4,'Policy Assignments'!$E$5:$E$868,"Core")&gt;0,"R",IF(COUNTIFS('Policy Assignments'!$C$5:$C$868,$A173,'Policy Assignments'!$B$5:$B$868,K$4,'Policy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L173" s="94" t="str">
        <x:f>IF(COUNTIFS('Policy Assignments'!$C$5:$C$868,$A173,'Policy Assignments'!$B$5:$B$868,L$4,'Policy Assignments'!$E$5:$E$868,"Hold")&gt;0,"H",IF(COUNTIFS('Policy Assignments'!$C$5:$C$868,$A173,'Policy Assignments'!$B$5:$B$868,L$4,'Policy Assignments'!$E$5:$E$868,"Core")&gt;0,"R",IF(COUNTIFS('Policy Assignments'!$C$5:$C$868,$A173,'Policy Assignments'!$B$5:$B$868,L$4,'Policy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v>R</x:v>
      </x:c>
      <x:c r="M173" s="94" t="str">
        <x:f>IF(COUNTIFS('Policy Assignments'!$C$5:$C$868,$A173,'Policy Assignments'!$B$5:$B$868,M$4,'Policy Assignments'!$E$5:$E$868,"Hold")&gt;0,"H",IF(COUNTIFS('Policy Assignments'!$C$5:$C$868,$A173,'Policy Assignments'!$B$5:$B$868,M$4,'Policy Assignments'!$E$5:$E$868,"Core")&gt;0,"R",IF(COUNTIFS('Policy Assignments'!$C$5:$C$868,$A173,'Policy Assignments'!$B$5:$B$868,M$4,'Policy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c>
      <x:c r="N173" s="94" t="str">
        <x:f>IF(COUNTIFS('Policy Assignments'!$C$5:$C$868,$A173,'Policy Assignments'!$B$5:$B$868,N$4,'Policy Assignments'!$E$5:$E$868,"Hold")&gt;0,"H",IF(COUNTIFS('Policy Assignments'!$C$5:$C$868,$A173,'Policy Assignments'!$B$5:$B$868,N$4,'Policy Assignments'!$E$5:$E$868,"Core")&gt;0,"R",IF(COUNTIFS('Policy Assignments'!$C$5:$C$868,$A173,'Policy Assignments'!$B$5:$B$868,N$4,'Policy Assignments'!$E$5:$E$868,"Conditional")&gt;0,"C",IF(COUNTIFS('Policy Assignments'!$C$5:$C$868,$A173,'Policy Assignments'!$B$5:$B$868,"General",'Policy Assignments'!$E$5:$E$868,"Hold")&gt;0,"H",IF(COUNTIFS('Policy Assignments'!$C$5:$C$868,$A173,'Policy Assignments'!$B$5:$B$868,"General",'Policy Assignments'!$E$5:$E$868,"Conditional")&gt;0,"C",IF(COUNTIFS('Policy Assignments'!$C$5:$C$868,$A173,'Policy Assignments'!$B$5:$B$868,"General")&gt;0,"G",""))))))</x:f>
      </x:c>
      <x:c r="O173" s="94" t="str">
        <x:f>IF(COUNTIFS('Policy Assignments'!$C$5:$C$868,$A173,'Policy Assignments'!$B$5:$B$868,O$4,'Policy Assignments'!$E$5:$E$868,"Hold")&gt;0,"H",IF(COUNTIFS('Policy Assignments'!$C$5:$C$868,$A173,'Policy Assignments'!$B$5:$B$868,O$4,'Policy Assignments'!$E$5:$E$868,"Core")&gt;0,"R",IF(COUNTIFS('Policy Assignments'!$C$5:$C$868,$A173,'Policy Assignments'!$B$5:$B$868,O$4,'Policy Assignments'!$E$5:$E$868,"Conditional")&gt;0,"C","")))</x:f>
      </x:c>
      <x:c r="P173" s="90" t="str">
        <x:v>Mapped</x:v>
      </x:c>
    </x:row>
    <x:row r="174" ht="22" customHeight="1">
      <x:c r="A174" s="90" t="str">
        <x:v>OP-PA-003</x:v>
      </x:c>
      <x:c r="B174" s="90" t="str">
        <x:v>Interpreter &amp; Language Access Services</x:v>
      </x:c>
      <x:c r="C174" s="94" t="str">
        <x:f>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c>
      <x:c r="D174" s="94" t="str">
        <x:f>IF(COUNTIFS('Policy Assignments'!$C$5:$C$868,$A174,'Policy Assignments'!$B$5:$B$868,D$4,'Policy Assignments'!$E$5:$E$868,"Hold")&gt;0,"H",IF(COUNTIFS('Policy Assignments'!$C$5:$C$868,$A174,'Policy Assignments'!$B$5:$B$868,D$4,'Policy Assignments'!$E$5:$E$868,"Core")&gt;0,"R",IF(COUNTIFS('Policy Assignments'!$C$5:$C$868,$A174,'Policy Assignments'!$B$5:$B$868,D$4,'Policy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E174" s="94" t="str">
        <x:f>IF(COUNTIFS('Policy Assignments'!$C$5:$C$868,$A174,'Policy Assignments'!$B$5:$B$868,E$4,'Policy Assignments'!$E$5:$E$868,"Hold")&gt;0,"H",IF(COUNTIFS('Policy Assignments'!$C$5:$C$868,$A174,'Policy Assignments'!$B$5:$B$868,E$4,'Policy Assignments'!$E$5:$E$868,"Core")&gt;0,"R",IF(COUNTIFS('Policy Assignments'!$C$5:$C$868,$A174,'Policy Assignments'!$B$5:$B$868,E$4,'Policy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F174" s="94" t="str">
        <x:f>IF(COUNTIFS('Policy Assignments'!$C$5:$C$868,$A174,'Policy Assignments'!$B$5:$B$868,F$4,'Policy Assignments'!$E$5:$E$868,"Hold")&gt;0,"H",IF(COUNTIFS('Policy Assignments'!$C$5:$C$868,$A174,'Policy Assignments'!$B$5:$B$868,F$4,'Policy Assignments'!$E$5:$E$868,"Core")&gt;0,"R",IF(COUNTIFS('Policy Assignments'!$C$5:$C$868,$A174,'Policy Assignments'!$B$5:$B$868,F$4,'Policy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G174" s="94" t="str">
        <x:f>IF(COUNTIFS('Policy Assignments'!$C$5:$C$868,$A174,'Policy Assignments'!$B$5:$B$868,G$4,'Policy Assignments'!$E$5:$E$868,"Hold")&gt;0,"H",IF(COUNTIFS('Policy Assignments'!$C$5:$C$868,$A174,'Policy Assignments'!$B$5:$B$868,G$4,'Policy Assignments'!$E$5:$E$868,"Core")&gt;0,"R",IF(COUNTIFS('Policy Assignments'!$C$5:$C$868,$A174,'Policy Assignments'!$B$5:$B$868,G$4,'Policy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H174" s="94" t="str">
        <x:f>IF(COUNTIFS('Policy Assignments'!$C$5:$C$868,$A174,'Policy Assignments'!$B$5:$B$868,H$4,'Policy Assignments'!$E$5:$E$868,"Hold")&gt;0,"H",IF(COUNTIFS('Policy Assignments'!$C$5:$C$868,$A174,'Policy Assignments'!$B$5:$B$868,H$4,'Policy Assignments'!$E$5:$E$868,"Core")&gt;0,"R",IF(COUNTIFS('Policy Assignments'!$C$5:$C$868,$A174,'Policy Assignments'!$B$5:$B$868,H$4,'Policy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I174" s="94" t="str">
        <x:f>IF(COUNTIFS('Policy Assignments'!$C$5:$C$868,$A174,'Policy Assignments'!$B$5:$B$868,I$4,'Policy Assignments'!$E$5:$E$868,"Hold")&gt;0,"H",IF(COUNTIFS('Policy Assignments'!$C$5:$C$868,$A174,'Policy Assignments'!$B$5:$B$868,I$4,'Policy Assignments'!$E$5:$E$868,"Core")&gt;0,"R",IF(COUNTIFS('Policy Assignments'!$C$5:$C$868,$A174,'Policy Assignments'!$B$5:$B$868,I$4,'Policy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J174" s="94" t="str">
        <x:f>IF(COUNTIFS('Policy Assignments'!$C$5:$C$868,$A174,'Policy Assignments'!$B$5:$B$868,J$4,'Policy Assignments'!$E$5:$E$868,"Hold")&gt;0,"H",IF(COUNTIFS('Policy Assignments'!$C$5:$C$868,$A174,'Policy Assignments'!$B$5:$B$868,J$4,'Policy Assignments'!$E$5:$E$868,"Core")&gt;0,"R",IF(COUNTIFS('Policy Assignments'!$C$5:$C$868,$A174,'Policy Assignments'!$B$5:$B$868,J$4,'Policy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K174" s="94" t="str">
        <x:f>IF(COUNTIFS('Policy Assignments'!$C$5:$C$868,$A174,'Policy Assignments'!$B$5:$B$868,K$4,'Policy Assignments'!$E$5:$E$868,"Hold")&gt;0,"H",IF(COUNTIFS('Policy Assignments'!$C$5:$C$868,$A174,'Policy Assignments'!$B$5:$B$868,K$4,'Policy Assignments'!$E$5:$E$868,"Core")&gt;0,"R",IF(COUNTIFS('Policy Assignments'!$C$5:$C$868,$A174,'Policy Assignments'!$B$5:$B$868,K$4,'Policy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L174" s="94" t="str">
        <x:f>IF(COUNTIFS('Policy Assignments'!$C$5:$C$868,$A174,'Policy Assignments'!$B$5:$B$868,L$4,'Policy Assignments'!$E$5:$E$868,"Hold")&gt;0,"H",IF(COUNTIFS('Policy Assignments'!$C$5:$C$868,$A174,'Policy Assignments'!$B$5:$B$868,L$4,'Policy Assignments'!$E$5:$E$868,"Core")&gt;0,"R",IF(COUNTIFS('Policy Assignments'!$C$5:$C$868,$A174,'Policy Assignments'!$B$5:$B$868,L$4,'Policy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v>R</x:v>
      </x:c>
      <x:c r="M174" s="94" t="str">
        <x:f>IF(COUNTIFS('Policy Assignments'!$C$5:$C$868,$A174,'Policy Assignments'!$B$5:$B$868,M$4,'Policy Assignments'!$E$5:$E$868,"Hold")&gt;0,"H",IF(COUNTIFS('Policy Assignments'!$C$5:$C$868,$A174,'Policy Assignments'!$B$5:$B$868,M$4,'Policy Assignments'!$E$5:$E$868,"Core")&gt;0,"R",IF(COUNTIFS('Policy Assignments'!$C$5:$C$868,$A174,'Policy Assignments'!$B$5:$B$868,M$4,'Policy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c>
      <x:c r="N174" s="94" t="str">
        <x:f>IF(COUNTIFS('Policy Assignments'!$C$5:$C$868,$A174,'Policy Assignments'!$B$5:$B$868,N$4,'Policy Assignments'!$E$5:$E$868,"Hold")&gt;0,"H",IF(COUNTIFS('Policy Assignments'!$C$5:$C$868,$A174,'Policy Assignments'!$B$5:$B$868,N$4,'Policy Assignments'!$E$5:$E$868,"Core")&gt;0,"R",IF(COUNTIFS('Policy Assignments'!$C$5:$C$868,$A174,'Policy Assignments'!$B$5:$B$868,N$4,'Policy Assignments'!$E$5:$E$868,"Conditional")&gt;0,"C",IF(COUNTIFS('Policy Assignments'!$C$5:$C$868,$A174,'Policy Assignments'!$B$5:$B$868,"General",'Policy Assignments'!$E$5:$E$868,"Hold")&gt;0,"H",IF(COUNTIFS('Policy Assignments'!$C$5:$C$868,$A174,'Policy Assignments'!$B$5:$B$868,"General",'Policy Assignments'!$E$5:$E$868,"Conditional")&gt;0,"C",IF(COUNTIFS('Policy Assignments'!$C$5:$C$868,$A174,'Policy Assignments'!$B$5:$B$868,"General")&gt;0,"G",""))))))</x:f>
      </x:c>
      <x:c r="O174" s="94" t="str">
        <x:f>IF(COUNTIFS('Policy Assignments'!$C$5:$C$868,$A174,'Policy Assignments'!$B$5:$B$868,O$4,'Policy Assignments'!$E$5:$E$868,"Hold")&gt;0,"H",IF(COUNTIFS('Policy Assignments'!$C$5:$C$868,$A174,'Policy Assignments'!$B$5:$B$868,O$4,'Policy Assignments'!$E$5:$E$868,"Core")&gt;0,"R",IF(COUNTIFS('Policy Assignments'!$C$5:$C$868,$A174,'Policy Assignments'!$B$5:$B$868,O$4,'Policy Assignments'!$E$5:$E$868,"Conditional")&gt;0,"C","")))</x:f>
      </x:c>
      <x:c r="P174" s="90" t="str">
        <x:v>Mapped</x:v>
      </x:c>
    </x:row>
    <x:row r="175" ht="22" customHeight="1">
      <x:c r="A175" s="90" t="str">
        <x:v>OP-PA-004</x:v>
      </x:c>
      <x:c r="B175" s="90" t="str">
        <x:v>Cultural Competency in Service Delivery</x:v>
      </x:c>
      <x:c r="C175" s="94" t="str">
        <x:f>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c>
      <x:c r="D175" s="94" t="str">
        <x:f>IF(COUNTIFS('Policy Assignments'!$C$5:$C$868,$A175,'Policy Assignments'!$B$5:$B$868,D$4,'Policy Assignments'!$E$5:$E$868,"Hold")&gt;0,"H",IF(COUNTIFS('Policy Assignments'!$C$5:$C$868,$A175,'Policy Assignments'!$B$5:$B$868,D$4,'Policy Assignments'!$E$5:$E$868,"Core")&gt;0,"R",IF(COUNTIFS('Policy Assignments'!$C$5:$C$868,$A175,'Policy Assignments'!$B$5:$B$868,D$4,'Policy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E175" s="94" t="str">
        <x:f>IF(COUNTIFS('Policy Assignments'!$C$5:$C$868,$A175,'Policy Assignments'!$B$5:$B$868,E$4,'Policy Assignments'!$E$5:$E$868,"Hold")&gt;0,"H",IF(COUNTIFS('Policy Assignments'!$C$5:$C$868,$A175,'Policy Assignments'!$B$5:$B$868,E$4,'Policy Assignments'!$E$5:$E$868,"Core")&gt;0,"R",IF(COUNTIFS('Policy Assignments'!$C$5:$C$868,$A175,'Policy Assignments'!$B$5:$B$868,E$4,'Policy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F175" s="94" t="str">
        <x:f>IF(COUNTIFS('Policy Assignments'!$C$5:$C$868,$A175,'Policy Assignments'!$B$5:$B$868,F$4,'Policy Assignments'!$E$5:$E$868,"Hold")&gt;0,"H",IF(COUNTIFS('Policy Assignments'!$C$5:$C$868,$A175,'Policy Assignments'!$B$5:$B$868,F$4,'Policy Assignments'!$E$5:$E$868,"Core")&gt;0,"R",IF(COUNTIFS('Policy Assignments'!$C$5:$C$868,$A175,'Policy Assignments'!$B$5:$B$868,F$4,'Policy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G175" s="94" t="str">
        <x:f>IF(COUNTIFS('Policy Assignments'!$C$5:$C$868,$A175,'Policy Assignments'!$B$5:$B$868,G$4,'Policy Assignments'!$E$5:$E$868,"Hold")&gt;0,"H",IF(COUNTIFS('Policy Assignments'!$C$5:$C$868,$A175,'Policy Assignments'!$B$5:$B$868,G$4,'Policy Assignments'!$E$5:$E$868,"Core")&gt;0,"R",IF(COUNTIFS('Policy Assignments'!$C$5:$C$868,$A175,'Policy Assignments'!$B$5:$B$868,G$4,'Policy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H175" s="94" t="str">
        <x:f>IF(COUNTIFS('Policy Assignments'!$C$5:$C$868,$A175,'Policy Assignments'!$B$5:$B$868,H$4,'Policy Assignments'!$E$5:$E$868,"Hold")&gt;0,"H",IF(COUNTIFS('Policy Assignments'!$C$5:$C$868,$A175,'Policy Assignments'!$B$5:$B$868,H$4,'Policy Assignments'!$E$5:$E$868,"Core")&gt;0,"R",IF(COUNTIFS('Policy Assignments'!$C$5:$C$868,$A175,'Policy Assignments'!$B$5:$B$868,H$4,'Policy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I175" s="94" t="str">
        <x:f>IF(COUNTIFS('Policy Assignments'!$C$5:$C$868,$A175,'Policy Assignments'!$B$5:$B$868,I$4,'Policy Assignments'!$E$5:$E$868,"Hold")&gt;0,"H",IF(COUNTIFS('Policy Assignments'!$C$5:$C$868,$A175,'Policy Assignments'!$B$5:$B$868,I$4,'Policy Assignments'!$E$5:$E$868,"Core")&gt;0,"R",IF(COUNTIFS('Policy Assignments'!$C$5:$C$868,$A175,'Policy Assignments'!$B$5:$B$868,I$4,'Policy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J175" s="94" t="str">
        <x:f>IF(COUNTIFS('Policy Assignments'!$C$5:$C$868,$A175,'Policy Assignments'!$B$5:$B$868,J$4,'Policy Assignments'!$E$5:$E$868,"Hold")&gt;0,"H",IF(COUNTIFS('Policy Assignments'!$C$5:$C$868,$A175,'Policy Assignments'!$B$5:$B$868,J$4,'Policy Assignments'!$E$5:$E$868,"Core")&gt;0,"R",IF(COUNTIFS('Policy Assignments'!$C$5:$C$868,$A175,'Policy Assignments'!$B$5:$B$868,J$4,'Policy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K175" s="94" t="str">
        <x:f>IF(COUNTIFS('Policy Assignments'!$C$5:$C$868,$A175,'Policy Assignments'!$B$5:$B$868,K$4,'Policy Assignments'!$E$5:$E$868,"Hold")&gt;0,"H",IF(COUNTIFS('Policy Assignments'!$C$5:$C$868,$A175,'Policy Assignments'!$B$5:$B$868,K$4,'Policy Assignments'!$E$5:$E$868,"Core")&gt;0,"R",IF(COUNTIFS('Policy Assignments'!$C$5:$C$868,$A175,'Policy Assignments'!$B$5:$B$868,K$4,'Policy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L175" s="94" t="str">
        <x:f>IF(COUNTIFS('Policy Assignments'!$C$5:$C$868,$A175,'Policy Assignments'!$B$5:$B$868,L$4,'Policy Assignments'!$E$5:$E$868,"Hold")&gt;0,"H",IF(COUNTIFS('Policy Assignments'!$C$5:$C$868,$A175,'Policy Assignments'!$B$5:$B$868,L$4,'Policy Assignments'!$E$5:$E$868,"Core")&gt;0,"R",IF(COUNTIFS('Policy Assignments'!$C$5:$C$868,$A175,'Policy Assignments'!$B$5:$B$868,L$4,'Policy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v>R</x:v>
      </x:c>
      <x:c r="M175" s="94" t="str">
        <x:f>IF(COUNTIFS('Policy Assignments'!$C$5:$C$868,$A175,'Policy Assignments'!$B$5:$B$868,M$4,'Policy Assignments'!$E$5:$E$868,"Hold")&gt;0,"H",IF(COUNTIFS('Policy Assignments'!$C$5:$C$868,$A175,'Policy Assignments'!$B$5:$B$868,M$4,'Policy Assignments'!$E$5:$E$868,"Core")&gt;0,"R",IF(COUNTIFS('Policy Assignments'!$C$5:$C$868,$A175,'Policy Assignments'!$B$5:$B$868,M$4,'Policy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c>
      <x:c r="N175" s="94" t="str">
        <x:f>IF(COUNTIFS('Policy Assignments'!$C$5:$C$868,$A175,'Policy Assignments'!$B$5:$B$868,N$4,'Policy Assignments'!$E$5:$E$868,"Hold")&gt;0,"H",IF(COUNTIFS('Policy Assignments'!$C$5:$C$868,$A175,'Policy Assignments'!$B$5:$B$868,N$4,'Policy Assignments'!$E$5:$E$868,"Core")&gt;0,"R",IF(COUNTIFS('Policy Assignments'!$C$5:$C$868,$A175,'Policy Assignments'!$B$5:$B$868,N$4,'Policy Assignments'!$E$5:$E$868,"Conditional")&gt;0,"C",IF(COUNTIFS('Policy Assignments'!$C$5:$C$868,$A175,'Policy Assignments'!$B$5:$B$868,"General",'Policy Assignments'!$E$5:$E$868,"Hold")&gt;0,"H",IF(COUNTIFS('Policy Assignments'!$C$5:$C$868,$A175,'Policy Assignments'!$B$5:$B$868,"General",'Policy Assignments'!$E$5:$E$868,"Conditional")&gt;0,"C",IF(COUNTIFS('Policy Assignments'!$C$5:$C$868,$A175,'Policy Assignments'!$B$5:$B$868,"General")&gt;0,"G",""))))))</x:f>
      </x:c>
      <x:c r="O175" s="94" t="str">
        <x:f>IF(COUNTIFS('Policy Assignments'!$C$5:$C$868,$A175,'Policy Assignments'!$B$5:$B$868,O$4,'Policy Assignments'!$E$5:$E$868,"Hold")&gt;0,"H",IF(COUNTIFS('Policy Assignments'!$C$5:$C$868,$A175,'Policy Assignments'!$B$5:$B$868,O$4,'Policy Assignments'!$E$5:$E$868,"Core")&gt;0,"R",IF(COUNTIFS('Policy Assignments'!$C$5:$C$868,$A175,'Policy Assignments'!$B$5:$B$868,O$4,'Policy Assignments'!$E$5:$E$868,"Conditional")&gt;0,"C","")))</x:f>
      </x:c>
      <x:c r="P175" s="90" t="str">
        <x:v>Mapped</x:v>
      </x:c>
    </x:row>
    <x:row r="176" ht="22" customHeight="1">
      <x:c r="A176" s="90" t="str">
        <x:v>OP-PA-005</x:v>
      </x:c>
      <x:c r="B176" s="90" t="str">
        <x:v>Patient Property &amp; Belongings</x:v>
      </x:c>
      <x:c r="C176" s="94" t="str">
        <x:f>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c>
      <x:c r="D176" s="94" t="str">
        <x:f>IF(COUNTIFS('Policy Assignments'!$C$5:$C$868,$A176,'Policy Assignments'!$B$5:$B$868,D$4,'Policy Assignments'!$E$5:$E$868,"Hold")&gt;0,"H",IF(COUNTIFS('Policy Assignments'!$C$5:$C$868,$A176,'Policy Assignments'!$B$5:$B$868,D$4,'Policy Assignments'!$E$5:$E$868,"Core")&gt;0,"R",IF(COUNTIFS('Policy Assignments'!$C$5:$C$868,$A176,'Policy Assignments'!$B$5:$B$868,D$4,'Policy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E176" s="94" t="str">
        <x:f>IF(COUNTIFS('Policy Assignments'!$C$5:$C$868,$A176,'Policy Assignments'!$B$5:$B$868,E$4,'Policy Assignments'!$E$5:$E$868,"Hold")&gt;0,"H",IF(COUNTIFS('Policy Assignments'!$C$5:$C$868,$A176,'Policy Assignments'!$B$5:$B$868,E$4,'Policy Assignments'!$E$5:$E$868,"Core")&gt;0,"R",IF(COUNTIFS('Policy Assignments'!$C$5:$C$868,$A176,'Policy Assignments'!$B$5:$B$868,E$4,'Policy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F176" s="94" t="str">
        <x:f>IF(COUNTIFS('Policy Assignments'!$C$5:$C$868,$A176,'Policy Assignments'!$B$5:$B$868,F$4,'Policy Assignments'!$E$5:$E$868,"Hold")&gt;0,"H",IF(COUNTIFS('Policy Assignments'!$C$5:$C$868,$A176,'Policy Assignments'!$B$5:$B$868,F$4,'Policy Assignments'!$E$5:$E$868,"Core")&gt;0,"R",IF(COUNTIFS('Policy Assignments'!$C$5:$C$868,$A176,'Policy Assignments'!$B$5:$B$868,F$4,'Policy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G176" s="94" t="str">
        <x:f>IF(COUNTIFS('Policy Assignments'!$C$5:$C$868,$A176,'Policy Assignments'!$B$5:$B$868,G$4,'Policy Assignments'!$E$5:$E$868,"Hold")&gt;0,"H",IF(COUNTIFS('Policy Assignments'!$C$5:$C$868,$A176,'Policy Assignments'!$B$5:$B$868,G$4,'Policy Assignments'!$E$5:$E$868,"Core")&gt;0,"R",IF(COUNTIFS('Policy Assignments'!$C$5:$C$868,$A176,'Policy Assignments'!$B$5:$B$868,G$4,'Policy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H176" s="94" t="str">
        <x:f>IF(COUNTIFS('Policy Assignments'!$C$5:$C$868,$A176,'Policy Assignments'!$B$5:$B$868,H$4,'Policy Assignments'!$E$5:$E$868,"Hold")&gt;0,"H",IF(COUNTIFS('Policy Assignments'!$C$5:$C$868,$A176,'Policy Assignments'!$B$5:$B$868,H$4,'Policy Assignments'!$E$5:$E$868,"Core")&gt;0,"R",IF(COUNTIFS('Policy Assignments'!$C$5:$C$868,$A176,'Policy Assignments'!$B$5:$B$868,H$4,'Policy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I176" s="94" t="str">
        <x:f>IF(COUNTIFS('Policy Assignments'!$C$5:$C$868,$A176,'Policy Assignments'!$B$5:$B$868,I$4,'Policy Assignments'!$E$5:$E$868,"Hold")&gt;0,"H",IF(COUNTIFS('Policy Assignments'!$C$5:$C$868,$A176,'Policy Assignments'!$B$5:$B$868,I$4,'Policy Assignments'!$E$5:$E$868,"Core")&gt;0,"R",IF(COUNTIFS('Policy Assignments'!$C$5:$C$868,$A176,'Policy Assignments'!$B$5:$B$868,I$4,'Policy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J176" s="94" t="str">
        <x:f>IF(COUNTIFS('Policy Assignments'!$C$5:$C$868,$A176,'Policy Assignments'!$B$5:$B$868,J$4,'Policy Assignments'!$E$5:$E$868,"Hold")&gt;0,"H",IF(COUNTIFS('Policy Assignments'!$C$5:$C$868,$A176,'Policy Assignments'!$B$5:$B$868,J$4,'Policy Assignments'!$E$5:$E$868,"Core")&gt;0,"R",IF(COUNTIFS('Policy Assignments'!$C$5:$C$868,$A176,'Policy Assignments'!$B$5:$B$868,J$4,'Policy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K176" s="94" t="str">
        <x:f>IF(COUNTIFS('Policy Assignments'!$C$5:$C$868,$A176,'Policy Assignments'!$B$5:$B$868,K$4,'Policy Assignments'!$E$5:$E$868,"Hold")&gt;0,"H",IF(COUNTIFS('Policy Assignments'!$C$5:$C$868,$A176,'Policy Assignments'!$B$5:$B$868,K$4,'Policy Assignments'!$E$5:$E$868,"Core")&gt;0,"R",IF(COUNTIFS('Policy Assignments'!$C$5:$C$868,$A176,'Policy Assignments'!$B$5:$B$868,K$4,'Policy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L176" s="94" t="str">
        <x:f>IF(COUNTIFS('Policy Assignments'!$C$5:$C$868,$A176,'Policy Assignments'!$B$5:$B$868,L$4,'Policy Assignments'!$E$5:$E$868,"Hold")&gt;0,"H",IF(COUNTIFS('Policy Assignments'!$C$5:$C$868,$A176,'Policy Assignments'!$B$5:$B$868,L$4,'Policy Assignments'!$E$5:$E$868,"Core")&gt;0,"R",IF(COUNTIFS('Policy Assignments'!$C$5:$C$868,$A176,'Policy Assignments'!$B$5:$B$868,L$4,'Policy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v>R</x:v>
      </x:c>
      <x:c r="M176" s="94" t="str">
        <x:f>IF(COUNTIFS('Policy Assignments'!$C$5:$C$868,$A176,'Policy Assignments'!$B$5:$B$868,M$4,'Policy Assignments'!$E$5:$E$868,"Hold")&gt;0,"H",IF(COUNTIFS('Policy Assignments'!$C$5:$C$868,$A176,'Policy Assignments'!$B$5:$B$868,M$4,'Policy Assignments'!$E$5:$E$868,"Core")&gt;0,"R",IF(COUNTIFS('Policy Assignments'!$C$5:$C$868,$A176,'Policy Assignments'!$B$5:$B$868,M$4,'Policy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c>
      <x:c r="N176" s="94" t="str">
        <x:f>IF(COUNTIFS('Policy Assignments'!$C$5:$C$868,$A176,'Policy Assignments'!$B$5:$B$868,N$4,'Policy Assignments'!$E$5:$E$868,"Hold")&gt;0,"H",IF(COUNTIFS('Policy Assignments'!$C$5:$C$868,$A176,'Policy Assignments'!$B$5:$B$868,N$4,'Policy Assignments'!$E$5:$E$868,"Core")&gt;0,"R",IF(COUNTIFS('Policy Assignments'!$C$5:$C$868,$A176,'Policy Assignments'!$B$5:$B$868,N$4,'Policy Assignments'!$E$5:$E$868,"Conditional")&gt;0,"C",IF(COUNTIFS('Policy Assignments'!$C$5:$C$868,$A176,'Policy Assignments'!$B$5:$B$868,"General",'Policy Assignments'!$E$5:$E$868,"Hold")&gt;0,"H",IF(COUNTIFS('Policy Assignments'!$C$5:$C$868,$A176,'Policy Assignments'!$B$5:$B$868,"General",'Policy Assignments'!$E$5:$E$868,"Conditional")&gt;0,"C",IF(COUNTIFS('Policy Assignments'!$C$5:$C$868,$A176,'Policy Assignments'!$B$5:$B$868,"General")&gt;0,"G",""))))))</x:f>
      </x:c>
      <x:c r="O176" s="94" t="str">
        <x:f>IF(COUNTIFS('Policy Assignments'!$C$5:$C$868,$A176,'Policy Assignments'!$B$5:$B$868,O$4,'Policy Assignments'!$E$5:$E$868,"Hold")&gt;0,"H",IF(COUNTIFS('Policy Assignments'!$C$5:$C$868,$A176,'Policy Assignments'!$B$5:$B$868,O$4,'Policy Assignments'!$E$5:$E$868,"Core")&gt;0,"R",IF(COUNTIFS('Policy Assignments'!$C$5:$C$868,$A176,'Policy Assignments'!$B$5:$B$868,O$4,'Policy Assignments'!$E$5:$E$868,"Conditional")&gt;0,"C","")))</x:f>
      </x:c>
      <x:c r="P176" s="90" t="str">
        <x:v>Mapped</x:v>
      </x:c>
    </x:row>
    <x:row r="177" ht="22" customHeight="1">
      <x:c r="A177" s="90" t="str">
        <x:v>OP-SL-001</x:v>
      </x:c>
      <x:c r="B177" s="90" t="str">
        <x:v>Scheduling &amp; Visit Management</x:v>
      </x:c>
      <x:c r="C177" s="94" t="str">
        <x:f>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c>
      <x:c r="D177" s="94" t="str">
        <x:f>IF(COUNTIFS('Policy Assignments'!$C$5:$C$868,$A177,'Policy Assignments'!$B$5:$B$868,D$4,'Policy Assignments'!$E$5:$E$868,"Hold")&gt;0,"H",IF(COUNTIFS('Policy Assignments'!$C$5:$C$868,$A177,'Policy Assignments'!$B$5:$B$868,D$4,'Policy Assignments'!$E$5:$E$868,"Core")&gt;0,"R",IF(COUNTIFS('Policy Assignments'!$C$5:$C$868,$A177,'Policy Assignments'!$B$5:$B$868,D$4,'Policy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E177" s="94" t="str">
        <x:f>IF(COUNTIFS('Policy Assignments'!$C$5:$C$868,$A177,'Policy Assignments'!$B$5:$B$868,E$4,'Policy Assignments'!$E$5:$E$868,"Hold")&gt;0,"H",IF(COUNTIFS('Policy Assignments'!$C$5:$C$868,$A177,'Policy Assignments'!$B$5:$B$868,E$4,'Policy Assignments'!$E$5:$E$868,"Core")&gt;0,"R",IF(COUNTIFS('Policy Assignments'!$C$5:$C$868,$A177,'Policy Assignments'!$B$5:$B$868,E$4,'Policy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c>
      <x:c r="F177" s="94" t="str">
        <x:f>IF(COUNTIFS('Policy Assignments'!$C$5:$C$868,$A177,'Policy Assignments'!$B$5:$B$868,F$4,'Policy Assignments'!$E$5:$E$868,"Hold")&gt;0,"H",IF(COUNTIFS('Policy Assignments'!$C$5:$C$868,$A177,'Policy Assignments'!$B$5:$B$868,F$4,'Policy Assignments'!$E$5:$E$868,"Core")&gt;0,"R",IF(COUNTIFS('Policy Assignments'!$C$5:$C$868,$A177,'Policy Assignments'!$B$5:$B$868,F$4,'Policy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G177" s="94" t="str">
        <x:f>IF(COUNTIFS('Policy Assignments'!$C$5:$C$868,$A177,'Policy Assignments'!$B$5:$B$868,G$4,'Policy Assignments'!$E$5:$E$868,"Hold")&gt;0,"H",IF(COUNTIFS('Policy Assignments'!$C$5:$C$868,$A177,'Policy Assignments'!$B$5:$B$868,G$4,'Policy Assignments'!$E$5:$E$868,"Core")&gt;0,"R",IF(COUNTIFS('Policy Assignments'!$C$5:$C$868,$A177,'Policy Assignments'!$B$5:$B$868,G$4,'Policy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H177" s="94" t="str">
        <x:f>IF(COUNTIFS('Policy Assignments'!$C$5:$C$868,$A177,'Policy Assignments'!$B$5:$B$868,H$4,'Policy Assignments'!$E$5:$E$868,"Hold")&gt;0,"H",IF(COUNTIFS('Policy Assignments'!$C$5:$C$868,$A177,'Policy Assignments'!$B$5:$B$868,H$4,'Policy Assignments'!$E$5:$E$868,"Core")&gt;0,"R",IF(COUNTIFS('Policy Assignments'!$C$5:$C$868,$A177,'Policy Assignments'!$B$5:$B$868,H$4,'Policy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I177" s="94" t="str">
        <x:f>IF(COUNTIFS('Policy Assignments'!$C$5:$C$868,$A177,'Policy Assignments'!$B$5:$B$868,I$4,'Policy Assignments'!$E$5:$E$868,"Hold")&gt;0,"H",IF(COUNTIFS('Policy Assignments'!$C$5:$C$868,$A177,'Policy Assignments'!$B$5:$B$868,I$4,'Policy Assignments'!$E$5:$E$868,"Core")&gt;0,"R",IF(COUNTIFS('Policy Assignments'!$C$5:$C$868,$A177,'Policy Assignments'!$B$5:$B$868,I$4,'Policy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J177" s="94" t="str">
        <x:f>IF(COUNTIFS('Policy Assignments'!$C$5:$C$868,$A177,'Policy Assignments'!$B$5:$B$868,J$4,'Policy Assignments'!$E$5:$E$868,"Hold")&gt;0,"H",IF(COUNTIFS('Policy Assignments'!$C$5:$C$868,$A177,'Policy Assignments'!$B$5:$B$868,J$4,'Policy Assignments'!$E$5:$E$868,"Core")&gt;0,"R",IF(COUNTIFS('Policy Assignments'!$C$5:$C$868,$A177,'Policy Assignments'!$B$5:$B$868,J$4,'Policy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K177" s="94" t="str">
        <x:f>IF(COUNTIFS('Policy Assignments'!$C$5:$C$868,$A177,'Policy Assignments'!$B$5:$B$868,K$4,'Policy Assignments'!$E$5:$E$868,"Hold")&gt;0,"H",IF(COUNTIFS('Policy Assignments'!$C$5:$C$868,$A177,'Policy Assignments'!$B$5:$B$868,K$4,'Policy Assignments'!$E$5:$E$868,"Core")&gt;0,"R",IF(COUNTIFS('Policy Assignments'!$C$5:$C$868,$A177,'Policy Assignments'!$B$5:$B$868,K$4,'Policy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L177" s="94" t="str">
        <x:f>IF(COUNTIFS('Policy Assignments'!$C$5:$C$868,$A177,'Policy Assignments'!$B$5:$B$868,L$4,'Policy Assignments'!$E$5:$E$868,"Hold")&gt;0,"H",IF(COUNTIFS('Policy Assignments'!$C$5:$C$868,$A177,'Policy Assignments'!$B$5:$B$868,L$4,'Policy Assignments'!$E$5:$E$868,"Core")&gt;0,"R",IF(COUNTIFS('Policy Assignments'!$C$5:$C$868,$A177,'Policy Assignments'!$B$5:$B$868,L$4,'Policy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v>R</x:v>
      </x:c>
      <x:c r="M177" s="94" t="str">
        <x:f>IF(COUNTIFS('Policy Assignments'!$C$5:$C$868,$A177,'Policy Assignments'!$B$5:$B$868,M$4,'Policy Assignments'!$E$5:$E$868,"Hold")&gt;0,"H",IF(COUNTIFS('Policy Assignments'!$C$5:$C$868,$A177,'Policy Assignments'!$B$5:$B$868,M$4,'Policy Assignments'!$E$5:$E$868,"Core")&gt;0,"R",IF(COUNTIFS('Policy Assignments'!$C$5:$C$868,$A177,'Policy Assignments'!$B$5:$B$868,M$4,'Policy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c>
      <x:c r="N177" s="94" t="str">
        <x:f>IF(COUNTIFS('Policy Assignments'!$C$5:$C$868,$A177,'Policy Assignments'!$B$5:$B$868,N$4,'Policy Assignments'!$E$5:$E$868,"Hold")&gt;0,"H",IF(COUNTIFS('Policy Assignments'!$C$5:$C$868,$A177,'Policy Assignments'!$B$5:$B$868,N$4,'Policy Assignments'!$E$5:$E$868,"Core")&gt;0,"R",IF(COUNTIFS('Policy Assignments'!$C$5:$C$868,$A177,'Policy Assignments'!$B$5:$B$868,N$4,'Policy Assignments'!$E$5:$E$868,"Conditional")&gt;0,"C",IF(COUNTIFS('Policy Assignments'!$C$5:$C$868,$A177,'Policy Assignments'!$B$5:$B$868,"General",'Policy Assignments'!$E$5:$E$868,"Hold")&gt;0,"H",IF(COUNTIFS('Policy Assignments'!$C$5:$C$868,$A177,'Policy Assignments'!$B$5:$B$868,"General",'Policy Assignments'!$E$5:$E$868,"Conditional")&gt;0,"C",IF(COUNTIFS('Policy Assignments'!$C$5:$C$868,$A177,'Policy Assignments'!$B$5:$B$868,"General")&gt;0,"G",""))))))</x:f>
      </x:c>
      <x:c r="O177" s="94" t="str">
        <x:f>IF(COUNTIFS('Policy Assignments'!$C$5:$C$868,$A177,'Policy Assignments'!$B$5:$B$868,O$4,'Policy Assignments'!$E$5:$E$868,"Hold")&gt;0,"H",IF(COUNTIFS('Policy Assignments'!$C$5:$C$868,$A177,'Policy Assignments'!$B$5:$B$868,O$4,'Policy Assignments'!$E$5:$E$868,"Core")&gt;0,"R",IF(COUNTIFS('Policy Assignments'!$C$5:$C$868,$A177,'Policy Assignments'!$B$5:$B$868,O$4,'Policy Assignments'!$E$5:$E$868,"Conditional")&gt;0,"C","")))</x:f>
      </x:c>
      <x:c r="P177" s="90" t="str">
        <x:v>Mapped</x:v>
      </x:c>
    </x:row>
    <x:row r="178" ht="22" customHeight="1">
      <x:c r="A178" s="90" t="str">
        <x:v>OP-SL-003</x:v>
      </x:c>
      <x:c r="B178" s="90" t="str">
        <x:v>Vehicle &amp; Transportation Safety</x:v>
      </x:c>
      <x:c r="C178" s="94" t="str">
        <x:f>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c>
      <x:c r="D178" s="94" t="str">
        <x:f>IF(COUNTIFS('Policy Assignments'!$C$5:$C$868,$A178,'Policy Assignments'!$B$5:$B$868,D$4,'Policy Assignments'!$E$5:$E$868,"Hold")&gt;0,"H",IF(COUNTIFS('Policy Assignments'!$C$5:$C$868,$A178,'Policy Assignments'!$B$5:$B$868,D$4,'Policy Assignments'!$E$5:$E$868,"Core")&gt;0,"R",IF(COUNTIFS('Policy Assignments'!$C$5:$C$868,$A178,'Policy Assignments'!$B$5:$B$868,D$4,'Policy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E178" s="94" t="str">
        <x:f>IF(COUNTIFS('Policy Assignments'!$C$5:$C$868,$A178,'Policy Assignments'!$B$5:$B$868,E$4,'Policy Assignments'!$E$5:$E$868,"Hold")&gt;0,"H",IF(COUNTIFS('Policy Assignments'!$C$5:$C$868,$A178,'Policy Assignments'!$B$5:$B$868,E$4,'Policy Assignments'!$E$5:$E$868,"Core")&gt;0,"R",IF(COUNTIFS('Policy Assignments'!$C$5:$C$868,$A178,'Policy Assignments'!$B$5:$B$868,E$4,'Policy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F178" s="94" t="str">
        <x:f>IF(COUNTIFS('Policy Assignments'!$C$5:$C$868,$A178,'Policy Assignments'!$B$5:$B$868,F$4,'Policy Assignments'!$E$5:$E$868,"Hold")&gt;0,"H",IF(COUNTIFS('Policy Assignments'!$C$5:$C$868,$A178,'Policy Assignments'!$B$5:$B$868,F$4,'Policy Assignments'!$E$5:$E$868,"Core")&gt;0,"R",IF(COUNTIFS('Policy Assignments'!$C$5:$C$868,$A178,'Policy Assignments'!$B$5:$B$868,F$4,'Policy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G178" s="94" t="str">
        <x:f>IF(COUNTIFS('Policy Assignments'!$C$5:$C$868,$A178,'Policy Assignments'!$B$5:$B$868,G$4,'Policy Assignments'!$E$5:$E$868,"Hold")&gt;0,"H",IF(COUNTIFS('Policy Assignments'!$C$5:$C$868,$A178,'Policy Assignments'!$B$5:$B$868,G$4,'Policy Assignments'!$E$5:$E$868,"Core")&gt;0,"R",IF(COUNTIFS('Policy Assignments'!$C$5:$C$868,$A178,'Policy Assignments'!$B$5:$B$868,G$4,'Policy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H178" s="94" t="str">
        <x:f>IF(COUNTIFS('Policy Assignments'!$C$5:$C$868,$A178,'Policy Assignments'!$B$5:$B$868,H$4,'Policy Assignments'!$E$5:$E$868,"Hold")&gt;0,"H",IF(COUNTIFS('Policy Assignments'!$C$5:$C$868,$A178,'Policy Assignments'!$B$5:$B$868,H$4,'Policy Assignments'!$E$5:$E$868,"Core")&gt;0,"R",IF(COUNTIFS('Policy Assignments'!$C$5:$C$868,$A178,'Policy Assignments'!$B$5:$B$868,H$4,'Policy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I178" s="94" t="str">
        <x:f>IF(COUNTIFS('Policy Assignments'!$C$5:$C$868,$A178,'Policy Assignments'!$B$5:$B$868,I$4,'Policy Assignments'!$E$5:$E$868,"Hold")&gt;0,"H",IF(COUNTIFS('Policy Assignments'!$C$5:$C$868,$A178,'Policy Assignments'!$B$5:$B$868,I$4,'Policy Assignments'!$E$5:$E$868,"Core")&gt;0,"R",IF(COUNTIFS('Policy Assignments'!$C$5:$C$868,$A178,'Policy Assignments'!$B$5:$B$868,I$4,'Policy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J178" s="94" t="str">
        <x:f>IF(COUNTIFS('Policy Assignments'!$C$5:$C$868,$A178,'Policy Assignments'!$B$5:$B$868,J$4,'Policy Assignments'!$E$5:$E$868,"Hold")&gt;0,"H",IF(COUNTIFS('Policy Assignments'!$C$5:$C$868,$A178,'Policy Assignments'!$B$5:$B$868,J$4,'Policy Assignments'!$E$5:$E$868,"Core")&gt;0,"R",IF(COUNTIFS('Policy Assignments'!$C$5:$C$868,$A178,'Policy Assignments'!$B$5:$B$868,J$4,'Policy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K178" s="94" t="str">
        <x:f>IF(COUNTIFS('Policy Assignments'!$C$5:$C$868,$A178,'Policy Assignments'!$B$5:$B$868,K$4,'Policy Assignments'!$E$5:$E$868,"Hold")&gt;0,"H",IF(COUNTIFS('Policy Assignments'!$C$5:$C$868,$A178,'Policy Assignments'!$B$5:$B$868,K$4,'Policy Assignments'!$E$5:$E$868,"Core")&gt;0,"R",IF(COUNTIFS('Policy Assignments'!$C$5:$C$868,$A178,'Policy Assignments'!$B$5:$B$868,K$4,'Policy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L178" s="94" t="str">
        <x:f>IF(COUNTIFS('Policy Assignments'!$C$5:$C$868,$A178,'Policy Assignments'!$B$5:$B$868,L$4,'Policy Assignments'!$E$5:$E$868,"Hold")&gt;0,"H",IF(COUNTIFS('Policy Assignments'!$C$5:$C$868,$A178,'Policy Assignments'!$B$5:$B$868,L$4,'Policy Assignments'!$E$5:$E$868,"Core")&gt;0,"R",IF(COUNTIFS('Policy Assignments'!$C$5:$C$868,$A178,'Policy Assignments'!$B$5:$B$868,L$4,'Policy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v>C</x:v>
      </x:c>
      <x:c r="M178" s="94" t="str">
        <x:f>IF(COUNTIFS('Policy Assignments'!$C$5:$C$868,$A178,'Policy Assignments'!$B$5:$B$868,M$4,'Policy Assignments'!$E$5:$E$868,"Hold")&gt;0,"H",IF(COUNTIFS('Policy Assignments'!$C$5:$C$868,$A178,'Policy Assignments'!$B$5:$B$868,M$4,'Policy Assignments'!$E$5:$E$868,"Core")&gt;0,"R",IF(COUNTIFS('Policy Assignments'!$C$5:$C$868,$A178,'Policy Assignments'!$B$5:$B$868,M$4,'Policy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c>
      <x:c r="N178" s="94" t="str">
        <x:f>IF(COUNTIFS('Policy Assignments'!$C$5:$C$868,$A178,'Policy Assignments'!$B$5:$B$868,N$4,'Policy Assignments'!$E$5:$E$868,"Hold")&gt;0,"H",IF(COUNTIFS('Policy Assignments'!$C$5:$C$868,$A178,'Policy Assignments'!$B$5:$B$868,N$4,'Policy Assignments'!$E$5:$E$868,"Core")&gt;0,"R",IF(COUNTIFS('Policy Assignments'!$C$5:$C$868,$A178,'Policy Assignments'!$B$5:$B$868,N$4,'Policy Assignments'!$E$5:$E$868,"Conditional")&gt;0,"C",IF(COUNTIFS('Policy Assignments'!$C$5:$C$868,$A178,'Policy Assignments'!$B$5:$B$868,"General",'Policy Assignments'!$E$5:$E$868,"Hold")&gt;0,"H",IF(COUNTIFS('Policy Assignments'!$C$5:$C$868,$A178,'Policy Assignments'!$B$5:$B$868,"General",'Policy Assignments'!$E$5:$E$868,"Conditional")&gt;0,"C",IF(COUNTIFS('Policy Assignments'!$C$5:$C$868,$A178,'Policy Assignments'!$B$5:$B$868,"General")&gt;0,"G",""))))))</x:f>
      </x:c>
      <x:c r="O178" s="94" t="str">
        <x:f>IF(COUNTIFS('Policy Assignments'!$C$5:$C$868,$A178,'Policy Assignments'!$B$5:$B$868,O$4,'Policy Assignments'!$E$5:$E$868,"Hold")&gt;0,"H",IF(COUNTIFS('Policy Assignments'!$C$5:$C$868,$A178,'Policy Assignments'!$B$5:$B$868,O$4,'Policy Assignments'!$E$5:$E$868,"Core")&gt;0,"R",IF(COUNTIFS('Policy Assignments'!$C$5:$C$868,$A178,'Policy Assignments'!$B$5:$B$868,O$4,'Policy Assignments'!$E$5:$E$868,"Conditional")&gt;0,"C","")))</x:f>
      </x:c>
      <x:c r="P178" s="90" t="str">
        <x:v>Mapped</x:v>
      </x:c>
    </x:row>
    <x:row r="179" ht="22" customHeight="1">
      <x:c r="A179" s="90" t="str">
        <x:v>OP-SL-004</x:v>
      </x:c>
      <x:c r="B179" s="90" t="str">
        <x:v>Equipment &amp; Supply Management</x:v>
      </x:c>
      <x:c r="C179" s="94" t="str">
        <x:f>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c>
      <x:c r="D179" s="94" t="str">
        <x:f>IF(COUNTIFS('Policy Assignments'!$C$5:$C$868,$A179,'Policy Assignments'!$B$5:$B$868,D$4,'Policy Assignments'!$E$5:$E$868,"Hold")&gt;0,"H",IF(COUNTIFS('Policy Assignments'!$C$5:$C$868,$A179,'Policy Assignments'!$B$5:$B$868,D$4,'Policy Assignments'!$E$5:$E$868,"Core")&gt;0,"R",IF(COUNTIFS('Policy Assignments'!$C$5:$C$868,$A179,'Policy Assignments'!$B$5:$B$868,D$4,'Policy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E179" s="94" t="str">
        <x:f>IF(COUNTIFS('Policy Assignments'!$C$5:$C$868,$A179,'Policy Assignments'!$B$5:$B$868,E$4,'Policy Assignments'!$E$5:$E$868,"Hold")&gt;0,"H",IF(COUNTIFS('Policy Assignments'!$C$5:$C$868,$A179,'Policy Assignments'!$B$5:$B$868,E$4,'Policy Assignments'!$E$5:$E$868,"Core")&gt;0,"R",IF(COUNTIFS('Policy Assignments'!$C$5:$C$868,$A179,'Policy Assignments'!$B$5:$B$868,E$4,'Policy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c>
      <x:c r="F179" s="94" t="str">
        <x:f>IF(COUNTIFS('Policy Assignments'!$C$5:$C$868,$A179,'Policy Assignments'!$B$5:$B$868,F$4,'Policy Assignments'!$E$5:$E$868,"Hold")&gt;0,"H",IF(COUNTIFS('Policy Assignments'!$C$5:$C$868,$A179,'Policy Assignments'!$B$5:$B$868,F$4,'Policy Assignments'!$E$5:$E$868,"Core")&gt;0,"R",IF(COUNTIFS('Policy Assignments'!$C$5:$C$868,$A179,'Policy Assignments'!$B$5:$B$868,F$4,'Policy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G179" s="94" t="str">
        <x:f>IF(COUNTIFS('Policy Assignments'!$C$5:$C$868,$A179,'Policy Assignments'!$B$5:$B$868,G$4,'Policy Assignments'!$E$5:$E$868,"Hold")&gt;0,"H",IF(COUNTIFS('Policy Assignments'!$C$5:$C$868,$A179,'Policy Assignments'!$B$5:$B$868,G$4,'Policy Assignments'!$E$5:$E$868,"Core")&gt;0,"R",IF(COUNTIFS('Policy Assignments'!$C$5:$C$868,$A179,'Policy Assignments'!$B$5:$B$868,G$4,'Policy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H179" s="94" t="str">
        <x:f>IF(COUNTIFS('Policy Assignments'!$C$5:$C$868,$A179,'Policy Assignments'!$B$5:$B$868,H$4,'Policy Assignments'!$E$5:$E$868,"Hold")&gt;0,"H",IF(COUNTIFS('Policy Assignments'!$C$5:$C$868,$A179,'Policy Assignments'!$B$5:$B$868,H$4,'Policy Assignments'!$E$5:$E$868,"Core")&gt;0,"R",IF(COUNTIFS('Policy Assignments'!$C$5:$C$868,$A179,'Policy Assignments'!$B$5:$B$868,H$4,'Policy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I179" s="94" t="str">
        <x:f>IF(COUNTIFS('Policy Assignments'!$C$5:$C$868,$A179,'Policy Assignments'!$B$5:$B$868,I$4,'Policy Assignments'!$E$5:$E$868,"Hold")&gt;0,"H",IF(COUNTIFS('Policy Assignments'!$C$5:$C$868,$A179,'Policy Assignments'!$B$5:$B$868,I$4,'Policy Assignments'!$E$5:$E$868,"Core")&gt;0,"R",IF(COUNTIFS('Policy Assignments'!$C$5:$C$868,$A179,'Policy Assignments'!$B$5:$B$868,I$4,'Policy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J179" s="94" t="str">
        <x:f>IF(COUNTIFS('Policy Assignments'!$C$5:$C$868,$A179,'Policy Assignments'!$B$5:$B$868,J$4,'Policy Assignments'!$E$5:$E$868,"Hold")&gt;0,"H",IF(COUNTIFS('Policy Assignments'!$C$5:$C$868,$A179,'Policy Assignments'!$B$5:$B$868,J$4,'Policy Assignments'!$E$5:$E$868,"Core")&gt;0,"R",IF(COUNTIFS('Policy Assignments'!$C$5:$C$868,$A179,'Policy Assignments'!$B$5:$B$868,J$4,'Policy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K179" s="94" t="str">
        <x:f>IF(COUNTIFS('Policy Assignments'!$C$5:$C$868,$A179,'Policy Assignments'!$B$5:$B$868,K$4,'Policy Assignments'!$E$5:$E$868,"Hold")&gt;0,"H",IF(COUNTIFS('Policy Assignments'!$C$5:$C$868,$A179,'Policy Assignments'!$B$5:$B$868,K$4,'Policy Assignments'!$E$5:$E$868,"Core")&gt;0,"R",IF(COUNTIFS('Policy Assignments'!$C$5:$C$868,$A179,'Policy Assignments'!$B$5:$B$868,K$4,'Policy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L179" s="94" t="str">
        <x:f>IF(COUNTIFS('Policy Assignments'!$C$5:$C$868,$A179,'Policy Assignments'!$B$5:$B$868,L$4,'Policy Assignments'!$E$5:$E$868,"Hold")&gt;0,"H",IF(COUNTIFS('Policy Assignments'!$C$5:$C$868,$A179,'Policy Assignments'!$B$5:$B$868,L$4,'Policy Assignments'!$E$5:$E$868,"Core")&gt;0,"R",IF(COUNTIFS('Policy Assignments'!$C$5:$C$868,$A179,'Policy Assignments'!$B$5:$B$868,L$4,'Policy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v>R</x:v>
      </x:c>
      <x:c r="M179" s="94" t="str">
        <x:f>IF(COUNTIFS('Policy Assignments'!$C$5:$C$868,$A179,'Policy Assignments'!$B$5:$B$868,M$4,'Policy Assignments'!$E$5:$E$868,"Hold")&gt;0,"H",IF(COUNTIFS('Policy Assignments'!$C$5:$C$868,$A179,'Policy Assignments'!$B$5:$B$868,M$4,'Policy Assignments'!$E$5:$E$868,"Core")&gt;0,"R",IF(COUNTIFS('Policy Assignments'!$C$5:$C$868,$A179,'Policy Assignments'!$B$5:$B$868,M$4,'Policy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c>
      <x:c r="N179" s="94" t="str">
        <x:f>IF(COUNTIFS('Policy Assignments'!$C$5:$C$868,$A179,'Policy Assignments'!$B$5:$B$868,N$4,'Policy Assignments'!$E$5:$E$868,"Hold")&gt;0,"H",IF(COUNTIFS('Policy Assignments'!$C$5:$C$868,$A179,'Policy Assignments'!$B$5:$B$868,N$4,'Policy Assignments'!$E$5:$E$868,"Core")&gt;0,"R",IF(COUNTIFS('Policy Assignments'!$C$5:$C$868,$A179,'Policy Assignments'!$B$5:$B$868,N$4,'Policy Assignments'!$E$5:$E$868,"Conditional")&gt;0,"C",IF(COUNTIFS('Policy Assignments'!$C$5:$C$868,$A179,'Policy Assignments'!$B$5:$B$868,"General",'Policy Assignments'!$E$5:$E$868,"Hold")&gt;0,"H",IF(COUNTIFS('Policy Assignments'!$C$5:$C$868,$A179,'Policy Assignments'!$B$5:$B$868,"General",'Policy Assignments'!$E$5:$E$868,"Conditional")&gt;0,"C",IF(COUNTIFS('Policy Assignments'!$C$5:$C$868,$A179,'Policy Assignments'!$B$5:$B$868,"General")&gt;0,"G",""))))))</x:f>
      </x:c>
      <x:c r="O179" s="94" t="str">
        <x:f>IF(COUNTIFS('Policy Assignments'!$C$5:$C$868,$A179,'Policy Assignments'!$B$5:$B$868,O$4,'Policy Assignments'!$E$5:$E$868,"Hold")&gt;0,"H",IF(COUNTIFS('Policy Assignments'!$C$5:$C$868,$A179,'Policy Assignments'!$B$5:$B$868,O$4,'Policy Assignments'!$E$5:$E$868,"Core")&gt;0,"R",IF(COUNTIFS('Policy Assignments'!$C$5:$C$868,$A179,'Policy Assignments'!$B$5:$B$868,O$4,'Policy Assignments'!$E$5:$E$868,"Conditional")&gt;0,"C","")))</x:f>
      </x:c>
      <x:c r="P179" s="90" t="str">
        <x:v>Mapped</x:v>
      </x:c>
    </x:row>
    <x:row r="180" ht="22" customHeight="1">
      <x:c r="A180" s="90" t="str">
        <x:v>OP-SL-006</x:v>
      </x:c>
      <x:c r="B180" s="90" t="str">
        <x:v>Service Delivery During Public Health Emergencies</x:v>
      </x:c>
      <x:c r="C180" s="94" t="str">
        <x:f>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D180" s="94" t="str">
        <x:f>IF(COUNTIFS('Policy Assignments'!$C$5:$C$868,$A180,'Policy Assignments'!$B$5:$B$868,D$4,'Policy Assignments'!$E$5:$E$868,"Hold")&gt;0,"H",IF(COUNTIFS('Policy Assignments'!$C$5:$C$868,$A180,'Policy Assignments'!$B$5:$B$868,D$4,'Policy Assignments'!$E$5:$E$868,"Core")&gt;0,"R",IF(COUNTIFS('Policy Assignments'!$C$5:$C$868,$A180,'Policy Assignments'!$B$5:$B$868,D$4,'Policy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E180" s="94" t="str">
        <x:f>IF(COUNTIFS('Policy Assignments'!$C$5:$C$868,$A180,'Policy Assignments'!$B$5:$B$868,E$4,'Policy Assignments'!$E$5:$E$868,"Hold")&gt;0,"H",IF(COUNTIFS('Policy Assignments'!$C$5:$C$868,$A180,'Policy Assignments'!$B$5:$B$868,E$4,'Policy Assignments'!$E$5:$E$868,"Core")&gt;0,"R",IF(COUNTIFS('Policy Assignments'!$C$5:$C$868,$A180,'Policy Assignments'!$B$5:$B$868,E$4,'Policy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F180" s="94" t="str">
        <x:f>IF(COUNTIFS('Policy Assignments'!$C$5:$C$868,$A180,'Policy Assignments'!$B$5:$B$868,F$4,'Policy Assignments'!$E$5:$E$868,"Hold")&gt;0,"H",IF(COUNTIFS('Policy Assignments'!$C$5:$C$868,$A180,'Policy Assignments'!$B$5:$B$868,F$4,'Policy Assignments'!$E$5:$E$868,"Core")&gt;0,"R",IF(COUNTIFS('Policy Assignments'!$C$5:$C$868,$A180,'Policy Assignments'!$B$5:$B$868,F$4,'Policy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G180" s="94" t="str">
        <x:f>IF(COUNTIFS('Policy Assignments'!$C$5:$C$868,$A180,'Policy Assignments'!$B$5:$B$868,G$4,'Policy Assignments'!$E$5:$E$868,"Hold")&gt;0,"H",IF(COUNTIFS('Policy Assignments'!$C$5:$C$868,$A180,'Policy Assignments'!$B$5:$B$868,G$4,'Policy Assignments'!$E$5:$E$868,"Core")&gt;0,"R",IF(COUNTIFS('Policy Assignments'!$C$5:$C$868,$A180,'Policy Assignments'!$B$5:$B$868,G$4,'Policy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H180" s="94" t="str">
        <x:f>IF(COUNTIFS('Policy Assignments'!$C$5:$C$868,$A180,'Policy Assignments'!$B$5:$B$868,H$4,'Policy Assignments'!$E$5:$E$868,"Hold")&gt;0,"H",IF(COUNTIFS('Policy Assignments'!$C$5:$C$868,$A180,'Policy Assignments'!$B$5:$B$868,H$4,'Policy Assignments'!$E$5:$E$868,"Core")&gt;0,"R",IF(COUNTIFS('Policy Assignments'!$C$5:$C$868,$A180,'Policy Assignments'!$B$5:$B$868,H$4,'Policy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I180" s="94" t="str">
        <x:f>IF(COUNTIFS('Policy Assignments'!$C$5:$C$868,$A180,'Policy Assignments'!$B$5:$B$868,I$4,'Policy Assignments'!$E$5:$E$868,"Hold")&gt;0,"H",IF(COUNTIFS('Policy Assignments'!$C$5:$C$868,$A180,'Policy Assignments'!$B$5:$B$868,I$4,'Policy Assignments'!$E$5:$E$868,"Core")&gt;0,"R",IF(COUNTIFS('Policy Assignments'!$C$5:$C$868,$A180,'Policy Assignments'!$B$5:$B$868,I$4,'Policy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J180" s="94" t="str">
        <x:f>IF(COUNTIFS('Policy Assignments'!$C$5:$C$868,$A180,'Policy Assignments'!$B$5:$B$868,J$4,'Policy Assignments'!$E$5:$E$868,"Hold")&gt;0,"H",IF(COUNTIFS('Policy Assignments'!$C$5:$C$868,$A180,'Policy Assignments'!$B$5:$B$868,J$4,'Policy Assignments'!$E$5:$E$868,"Core")&gt;0,"R",IF(COUNTIFS('Policy Assignments'!$C$5:$C$868,$A180,'Policy Assignments'!$B$5:$B$868,J$4,'Policy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K180" s="94" t="str">
        <x:f>IF(COUNTIFS('Policy Assignments'!$C$5:$C$868,$A180,'Policy Assignments'!$B$5:$B$868,K$4,'Policy Assignments'!$E$5:$E$868,"Hold")&gt;0,"H",IF(COUNTIFS('Policy Assignments'!$C$5:$C$868,$A180,'Policy Assignments'!$B$5:$B$868,K$4,'Policy Assignments'!$E$5:$E$868,"Core")&gt;0,"R",IF(COUNTIFS('Policy Assignments'!$C$5:$C$868,$A180,'Policy Assignments'!$B$5:$B$868,K$4,'Policy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L180" s="94" t="str">
        <x:f>IF(COUNTIFS('Policy Assignments'!$C$5:$C$868,$A180,'Policy Assignments'!$B$5:$B$868,L$4,'Policy Assignments'!$E$5:$E$868,"Hold")&gt;0,"H",IF(COUNTIFS('Policy Assignments'!$C$5:$C$868,$A180,'Policy Assignments'!$B$5:$B$868,L$4,'Policy Assignments'!$E$5:$E$868,"Core")&gt;0,"R",IF(COUNTIFS('Policy Assignments'!$C$5:$C$868,$A180,'Policy Assignments'!$B$5:$B$868,L$4,'Policy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M180" s="94" t="str">
        <x:f>IF(COUNTIFS('Policy Assignments'!$C$5:$C$868,$A180,'Policy Assignments'!$B$5:$B$868,M$4,'Policy Assignments'!$E$5:$E$868,"Hold")&gt;0,"H",IF(COUNTIFS('Policy Assignments'!$C$5:$C$868,$A180,'Policy Assignments'!$B$5:$B$868,M$4,'Policy Assignments'!$E$5:$E$868,"Core")&gt;0,"R",IF(COUNTIFS('Policy Assignments'!$C$5:$C$868,$A180,'Policy Assignments'!$B$5:$B$868,M$4,'Policy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N180" s="94" t="str">
        <x:f>IF(COUNTIFS('Policy Assignments'!$C$5:$C$868,$A180,'Policy Assignments'!$B$5:$B$868,N$4,'Policy Assignments'!$E$5:$E$868,"Hold")&gt;0,"H",IF(COUNTIFS('Policy Assignments'!$C$5:$C$868,$A180,'Policy Assignments'!$B$5:$B$868,N$4,'Policy Assignments'!$E$5:$E$868,"Core")&gt;0,"R",IF(COUNTIFS('Policy Assignments'!$C$5:$C$868,$A180,'Policy Assignments'!$B$5:$B$868,N$4,'Policy Assignments'!$E$5:$E$868,"Conditional")&gt;0,"C",IF(COUNTIFS('Policy Assignments'!$C$5:$C$868,$A180,'Policy Assignments'!$B$5:$B$868,"General",'Policy Assignments'!$E$5:$E$868,"Hold")&gt;0,"H",IF(COUNTIFS('Policy Assignments'!$C$5:$C$868,$A180,'Policy Assignments'!$B$5:$B$868,"General",'Policy Assignments'!$E$5:$E$868,"Conditional")&gt;0,"C",IF(COUNTIFS('Policy Assignments'!$C$5:$C$868,$A180,'Policy Assignments'!$B$5:$B$868,"General")&gt;0,"G",""))))))</x:f>
        <x:v>G</x:v>
      </x:c>
      <x:c r="O180" s="94" t="str">
        <x:f>IF(COUNTIFS('Policy Assignments'!$C$5:$C$868,$A180,'Policy Assignments'!$B$5:$B$868,O$4,'Policy Assignments'!$E$5:$E$868,"Hold")&gt;0,"H",IF(COUNTIFS('Policy Assignments'!$C$5:$C$868,$A180,'Policy Assignments'!$B$5:$B$868,O$4,'Policy Assignments'!$E$5:$E$868,"Core")&gt;0,"R",IF(COUNTIFS('Policy Assignments'!$C$5:$C$868,$A180,'Policy Assignments'!$B$5:$B$868,O$4,'Policy Assignments'!$E$5:$E$868,"Conditional")&gt;0,"C","")))</x:f>
      </x:c>
      <x:c r="P180" s="90" t="str">
        <x:v>Mapped</x:v>
      </x:c>
    </x:row>
    <x:row r="181" ht="22" customHeight="1">
      <x:c r="A181" s="90" t="str">
        <x:v>OP-SL-007</x:v>
      </x:c>
      <x:c r="B181" s="90" t="str">
        <x:v>Inclement Weather &amp; Hazardous Conditions</x:v>
      </x:c>
      <x:c r="C181" s="94" t="str">
        <x:f>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c>
      <x:c r="D181" s="94" t="str">
        <x:f>IF(COUNTIFS('Policy Assignments'!$C$5:$C$868,$A181,'Policy Assignments'!$B$5:$B$868,D$4,'Policy Assignments'!$E$5:$E$868,"Hold")&gt;0,"H",IF(COUNTIFS('Policy Assignments'!$C$5:$C$868,$A181,'Policy Assignments'!$B$5:$B$868,D$4,'Policy Assignments'!$E$5:$E$868,"Core")&gt;0,"R",IF(COUNTIFS('Policy Assignments'!$C$5:$C$868,$A181,'Policy Assignments'!$B$5:$B$868,D$4,'Policy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E181" s="94" t="str">
        <x:f>IF(COUNTIFS('Policy Assignments'!$C$5:$C$868,$A181,'Policy Assignments'!$B$5:$B$868,E$4,'Policy Assignments'!$E$5:$E$868,"Hold")&gt;0,"H",IF(COUNTIFS('Policy Assignments'!$C$5:$C$868,$A181,'Policy Assignments'!$B$5:$B$868,E$4,'Policy Assignments'!$E$5:$E$868,"Core")&gt;0,"R",IF(COUNTIFS('Policy Assignments'!$C$5:$C$868,$A181,'Policy Assignments'!$B$5:$B$868,E$4,'Policy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F181" s="94" t="str">
        <x:f>IF(COUNTIFS('Policy Assignments'!$C$5:$C$868,$A181,'Policy Assignments'!$B$5:$B$868,F$4,'Policy Assignments'!$E$5:$E$868,"Hold")&gt;0,"H",IF(COUNTIFS('Policy Assignments'!$C$5:$C$868,$A181,'Policy Assignments'!$B$5:$B$868,F$4,'Policy Assignments'!$E$5:$E$868,"Core")&gt;0,"R",IF(COUNTIFS('Policy Assignments'!$C$5:$C$868,$A181,'Policy Assignments'!$B$5:$B$868,F$4,'Policy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G181" s="94" t="str">
        <x:f>IF(COUNTIFS('Policy Assignments'!$C$5:$C$868,$A181,'Policy Assignments'!$B$5:$B$868,G$4,'Policy Assignments'!$E$5:$E$868,"Hold")&gt;0,"H",IF(COUNTIFS('Policy Assignments'!$C$5:$C$868,$A181,'Policy Assignments'!$B$5:$B$868,G$4,'Policy Assignments'!$E$5:$E$868,"Core")&gt;0,"R",IF(COUNTIFS('Policy Assignments'!$C$5:$C$868,$A181,'Policy Assignments'!$B$5:$B$868,G$4,'Policy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H181" s="94" t="str">
        <x:f>IF(COUNTIFS('Policy Assignments'!$C$5:$C$868,$A181,'Policy Assignments'!$B$5:$B$868,H$4,'Policy Assignments'!$E$5:$E$868,"Hold")&gt;0,"H",IF(COUNTIFS('Policy Assignments'!$C$5:$C$868,$A181,'Policy Assignments'!$B$5:$B$868,H$4,'Policy Assignments'!$E$5:$E$868,"Core")&gt;0,"R",IF(COUNTIFS('Policy Assignments'!$C$5:$C$868,$A181,'Policy Assignments'!$B$5:$B$868,H$4,'Policy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I181" s="94" t="str">
        <x:f>IF(COUNTIFS('Policy Assignments'!$C$5:$C$868,$A181,'Policy Assignments'!$B$5:$B$868,I$4,'Policy Assignments'!$E$5:$E$868,"Hold")&gt;0,"H",IF(COUNTIFS('Policy Assignments'!$C$5:$C$868,$A181,'Policy Assignments'!$B$5:$B$868,I$4,'Policy Assignments'!$E$5:$E$868,"Core")&gt;0,"R",IF(COUNTIFS('Policy Assignments'!$C$5:$C$868,$A181,'Policy Assignments'!$B$5:$B$868,I$4,'Policy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J181" s="94" t="str">
        <x:f>IF(COUNTIFS('Policy Assignments'!$C$5:$C$868,$A181,'Policy Assignments'!$B$5:$B$868,J$4,'Policy Assignments'!$E$5:$E$868,"Hold")&gt;0,"H",IF(COUNTIFS('Policy Assignments'!$C$5:$C$868,$A181,'Policy Assignments'!$B$5:$B$868,J$4,'Policy Assignments'!$E$5:$E$868,"Core")&gt;0,"R",IF(COUNTIFS('Policy Assignments'!$C$5:$C$868,$A181,'Policy Assignments'!$B$5:$B$868,J$4,'Policy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K181" s="94" t="str">
        <x:f>IF(COUNTIFS('Policy Assignments'!$C$5:$C$868,$A181,'Policy Assignments'!$B$5:$B$868,K$4,'Policy Assignments'!$E$5:$E$868,"Hold")&gt;0,"H",IF(COUNTIFS('Policy Assignments'!$C$5:$C$868,$A181,'Policy Assignments'!$B$5:$B$868,K$4,'Policy Assignments'!$E$5:$E$868,"Core")&gt;0,"R",IF(COUNTIFS('Policy Assignments'!$C$5:$C$868,$A181,'Policy Assignments'!$B$5:$B$868,K$4,'Policy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L181" s="94" t="str">
        <x:f>IF(COUNTIFS('Policy Assignments'!$C$5:$C$868,$A181,'Policy Assignments'!$B$5:$B$868,L$4,'Policy Assignments'!$E$5:$E$868,"Hold")&gt;0,"H",IF(COUNTIFS('Policy Assignments'!$C$5:$C$868,$A181,'Policy Assignments'!$B$5:$B$868,L$4,'Policy Assignments'!$E$5:$E$868,"Core")&gt;0,"R",IF(COUNTIFS('Policy Assignments'!$C$5:$C$868,$A181,'Policy Assignments'!$B$5:$B$868,L$4,'Policy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v>R</x:v>
      </x:c>
      <x:c r="M181" s="94" t="str">
        <x:f>IF(COUNTIFS('Policy Assignments'!$C$5:$C$868,$A181,'Policy Assignments'!$B$5:$B$868,M$4,'Policy Assignments'!$E$5:$E$868,"Hold")&gt;0,"H",IF(COUNTIFS('Policy Assignments'!$C$5:$C$868,$A181,'Policy Assignments'!$B$5:$B$868,M$4,'Policy Assignments'!$E$5:$E$868,"Core")&gt;0,"R",IF(COUNTIFS('Policy Assignments'!$C$5:$C$868,$A181,'Policy Assignments'!$B$5:$B$868,M$4,'Policy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c>
      <x:c r="N181" s="94" t="str">
        <x:f>IF(COUNTIFS('Policy Assignments'!$C$5:$C$868,$A181,'Policy Assignments'!$B$5:$B$868,N$4,'Policy Assignments'!$E$5:$E$868,"Hold")&gt;0,"H",IF(COUNTIFS('Policy Assignments'!$C$5:$C$868,$A181,'Policy Assignments'!$B$5:$B$868,N$4,'Policy Assignments'!$E$5:$E$868,"Core")&gt;0,"R",IF(COUNTIFS('Policy Assignments'!$C$5:$C$868,$A181,'Policy Assignments'!$B$5:$B$868,N$4,'Policy Assignments'!$E$5:$E$868,"Conditional")&gt;0,"C",IF(COUNTIFS('Policy Assignments'!$C$5:$C$868,$A181,'Policy Assignments'!$B$5:$B$868,"General",'Policy Assignments'!$E$5:$E$868,"Hold")&gt;0,"H",IF(COUNTIFS('Policy Assignments'!$C$5:$C$868,$A181,'Policy Assignments'!$B$5:$B$868,"General",'Policy Assignments'!$E$5:$E$868,"Conditional")&gt;0,"C",IF(COUNTIFS('Policy Assignments'!$C$5:$C$868,$A181,'Policy Assignments'!$B$5:$B$868,"General")&gt;0,"G",""))))))</x:f>
      </x:c>
      <x:c r="O181" s="94" t="str">
        <x:f>IF(COUNTIFS('Policy Assignments'!$C$5:$C$868,$A181,'Policy Assignments'!$B$5:$B$868,O$4,'Policy Assignments'!$E$5:$E$868,"Hold")&gt;0,"H",IF(COUNTIFS('Policy Assignments'!$C$5:$C$868,$A181,'Policy Assignments'!$B$5:$B$868,O$4,'Policy Assignments'!$E$5:$E$868,"Core")&gt;0,"R",IF(COUNTIFS('Policy Assignments'!$C$5:$C$868,$A181,'Policy Assignments'!$B$5:$B$868,O$4,'Policy Assignments'!$E$5:$E$868,"Conditional")&gt;0,"C","")))</x:f>
      </x:c>
      <x:c r="P181" s="90" t="str">
        <x:v>Mapped</x:v>
      </x:c>
    </x:row>
    <x:row r="182" ht="22" customHeight="1">
      <x:c r="A182" s="90" t="str">
        <x:v>QA-AE-001</x:v>
      </x:c>
      <x:c r="B182" s="90" t="str">
        <x:v>Adverse Event Identification &amp; Reporting</x:v>
      </x:c>
      <x:c r="C182" s="94" t="str">
        <x:f>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D182" s="94" t="str">
        <x:f>IF(COUNTIFS('Policy Assignments'!$C$5:$C$868,$A182,'Policy Assignments'!$B$5:$B$868,D$4,'Policy Assignments'!$E$5:$E$868,"Hold")&gt;0,"H",IF(COUNTIFS('Policy Assignments'!$C$5:$C$868,$A182,'Policy Assignments'!$B$5:$B$868,D$4,'Policy Assignments'!$E$5:$E$868,"Core")&gt;0,"R",IF(COUNTIFS('Policy Assignments'!$C$5:$C$868,$A182,'Policy Assignments'!$B$5:$B$868,D$4,'Policy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E182" s="94" t="str">
        <x:f>IF(COUNTIFS('Policy Assignments'!$C$5:$C$868,$A182,'Policy Assignments'!$B$5:$B$868,E$4,'Policy Assignments'!$E$5:$E$868,"Hold")&gt;0,"H",IF(COUNTIFS('Policy Assignments'!$C$5:$C$868,$A182,'Policy Assignments'!$B$5:$B$868,E$4,'Policy Assignments'!$E$5:$E$868,"Core")&gt;0,"R",IF(COUNTIFS('Policy Assignments'!$C$5:$C$868,$A182,'Policy Assignments'!$B$5:$B$868,E$4,'Policy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F182" s="94" t="str">
        <x:f>IF(COUNTIFS('Policy Assignments'!$C$5:$C$868,$A182,'Policy Assignments'!$B$5:$B$868,F$4,'Policy Assignments'!$E$5:$E$868,"Hold")&gt;0,"H",IF(COUNTIFS('Policy Assignments'!$C$5:$C$868,$A182,'Policy Assignments'!$B$5:$B$868,F$4,'Policy Assignments'!$E$5:$E$868,"Core")&gt;0,"R",IF(COUNTIFS('Policy Assignments'!$C$5:$C$868,$A182,'Policy Assignments'!$B$5:$B$868,F$4,'Policy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G182" s="94" t="str">
        <x:f>IF(COUNTIFS('Policy Assignments'!$C$5:$C$868,$A182,'Policy Assignments'!$B$5:$B$868,G$4,'Policy Assignments'!$E$5:$E$868,"Hold")&gt;0,"H",IF(COUNTIFS('Policy Assignments'!$C$5:$C$868,$A182,'Policy Assignments'!$B$5:$B$868,G$4,'Policy Assignments'!$E$5:$E$868,"Core")&gt;0,"R",IF(COUNTIFS('Policy Assignments'!$C$5:$C$868,$A182,'Policy Assignments'!$B$5:$B$868,G$4,'Policy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H182" s="94" t="str">
        <x:f>IF(COUNTIFS('Policy Assignments'!$C$5:$C$868,$A182,'Policy Assignments'!$B$5:$B$868,H$4,'Policy Assignments'!$E$5:$E$868,"Hold")&gt;0,"H",IF(COUNTIFS('Policy Assignments'!$C$5:$C$868,$A182,'Policy Assignments'!$B$5:$B$868,H$4,'Policy Assignments'!$E$5:$E$868,"Core")&gt;0,"R",IF(COUNTIFS('Policy Assignments'!$C$5:$C$868,$A182,'Policy Assignments'!$B$5:$B$868,H$4,'Policy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I182" s="94" t="str">
        <x:f>IF(COUNTIFS('Policy Assignments'!$C$5:$C$868,$A182,'Policy Assignments'!$B$5:$B$868,I$4,'Policy Assignments'!$E$5:$E$868,"Hold")&gt;0,"H",IF(COUNTIFS('Policy Assignments'!$C$5:$C$868,$A182,'Policy Assignments'!$B$5:$B$868,I$4,'Policy Assignments'!$E$5:$E$868,"Core")&gt;0,"R",IF(COUNTIFS('Policy Assignments'!$C$5:$C$868,$A182,'Policy Assignments'!$B$5:$B$868,I$4,'Policy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J182" s="94" t="str">
        <x:f>IF(COUNTIFS('Policy Assignments'!$C$5:$C$868,$A182,'Policy Assignments'!$B$5:$B$868,J$4,'Policy Assignments'!$E$5:$E$868,"Hold")&gt;0,"H",IF(COUNTIFS('Policy Assignments'!$C$5:$C$868,$A182,'Policy Assignments'!$B$5:$B$868,J$4,'Policy Assignments'!$E$5:$E$868,"Core")&gt;0,"R",IF(COUNTIFS('Policy Assignments'!$C$5:$C$868,$A182,'Policy Assignments'!$B$5:$B$868,J$4,'Policy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K182" s="94" t="str">
        <x:f>IF(COUNTIFS('Policy Assignments'!$C$5:$C$868,$A182,'Policy Assignments'!$B$5:$B$868,K$4,'Policy Assignments'!$E$5:$E$868,"Hold")&gt;0,"H",IF(COUNTIFS('Policy Assignments'!$C$5:$C$868,$A182,'Policy Assignments'!$B$5:$B$868,K$4,'Policy Assignments'!$E$5:$E$868,"Core")&gt;0,"R",IF(COUNTIFS('Policy Assignments'!$C$5:$C$868,$A182,'Policy Assignments'!$B$5:$B$868,K$4,'Policy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L182" s="94" t="str">
        <x:f>IF(COUNTIFS('Policy Assignments'!$C$5:$C$868,$A182,'Policy Assignments'!$B$5:$B$868,L$4,'Policy Assignments'!$E$5:$E$868,"Hold")&gt;0,"H",IF(COUNTIFS('Policy Assignments'!$C$5:$C$868,$A182,'Policy Assignments'!$B$5:$B$868,L$4,'Policy Assignments'!$E$5:$E$868,"Core")&gt;0,"R",IF(COUNTIFS('Policy Assignments'!$C$5:$C$868,$A182,'Policy Assignments'!$B$5:$B$868,L$4,'Policy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M182" s="94" t="str">
        <x:f>IF(COUNTIFS('Policy Assignments'!$C$5:$C$868,$A182,'Policy Assignments'!$B$5:$B$868,M$4,'Policy Assignments'!$E$5:$E$868,"Hold")&gt;0,"H",IF(COUNTIFS('Policy Assignments'!$C$5:$C$868,$A182,'Policy Assignments'!$B$5:$B$868,M$4,'Policy Assignments'!$E$5:$E$868,"Core")&gt;0,"R",IF(COUNTIFS('Policy Assignments'!$C$5:$C$868,$A182,'Policy Assignments'!$B$5:$B$868,M$4,'Policy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N182" s="94" t="str">
        <x:f>IF(COUNTIFS('Policy Assignments'!$C$5:$C$868,$A182,'Policy Assignments'!$B$5:$B$868,N$4,'Policy Assignments'!$E$5:$E$868,"Hold")&gt;0,"H",IF(COUNTIFS('Policy Assignments'!$C$5:$C$868,$A182,'Policy Assignments'!$B$5:$B$868,N$4,'Policy Assignments'!$E$5:$E$868,"Core")&gt;0,"R",IF(COUNTIFS('Policy Assignments'!$C$5:$C$868,$A182,'Policy Assignments'!$B$5:$B$868,N$4,'Policy Assignments'!$E$5:$E$868,"Conditional")&gt;0,"C",IF(COUNTIFS('Policy Assignments'!$C$5:$C$868,$A182,'Policy Assignments'!$B$5:$B$868,"General",'Policy Assignments'!$E$5:$E$868,"Hold")&gt;0,"H",IF(COUNTIFS('Policy Assignments'!$C$5:$C$868,$A182,'Policy Assignments'!$B$5:$B$868,"General",'Policy Assignments'!$E$5:$E$868,"Conditional")&gt;0,"C",IF(COUNTIFS('Policy Assignments'!$C$5:$C$868,$A182,'Policy Assignments'!$B$5:$B$868,"General")&gt;0,"G",""))))))</x:f>
        <x:v>G</x:v>
      </x:c>
      <x:c r="O182" s="94" t="str">
        <x:f>IF(COUNTIFS('Policy Assignments'!$C$5:$C$868,$A182,'Policy Assignments'!$B$5:$B$868,O$4,'Policy Assignments'!$E$5:$E$868,"Hold")&gt;0,"H",IF(COUNTIFS('Policy Assignments'!$C$5:$C$868,$A182,'Policy Assignments'!$B$5:$B$868,O$4,'Policy Assignments'!$E$5:$E$868,"Core")&gt;0,"R",IF(COUNTIFS('Policy Assignments'!$C$5:$C$868,$A182,'Policy Assignments'!$B$5:$B$868,O$4,'Policy Assignments'!$E$5:$E$868,"Conditional")&gt;0,"C","")))</x:f>
      </x:c>
      <x:c r="P182" s="90" t="str">
        <x:v>Mapped</x:v>
      </x:c>
    </x:row>
    <x:row r="183" ht="22" customHeight="1">
      <x:c r="A183" s="90" t="str">
        <x:v>QA-AE-002</x:v>
      </x:c>
      <x:c r="B183" s="90" t="str">
        <x:v>Root Cause Analysis Process</x:v>
      </x:c>
      <x:c r="C183" s="94" t="str">
        <x:f>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D183" s="94" t="str">
        <x:f>IF(COUNTIFS('Policy Assignments'!$C$5:$C$868,$A183,'Policy Assignments'!$B$5:$B$868,D$4,'Policy Assignments'!$E$5:$E$868,"Hold")&gt;0,"H",IF(COUNTIFS('Policy Assignments'!$C$5:$C$868,$A183,'Policy Assignments'!$B$5:$B$868,D$4,'Policy Assignments'!$E$5:$E$868,"Core")&gt;0,"R",IF(COUNTIFS('Policy Assignments'!$C$5:$C$868,$A183,'Policy Assignments'!$B$5:$B$868,D$4,'Policy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E183" s="94" t="str">
        <x:f>IF(COUNTIFS('Policy Assignments'!$C$5:$C$868,$A183,'Policy Assignments'!$B$5:$B$868,E$4,'Policy Assignments'!$E$5:$E$868,"Hold")&gt;0,"H",IF(COUNTIFS('Policy Assignments'!$C$5:$C$868,$A183,'Policy Assignments'!$B$5:$B$868,E$4,'Policy Assignments'!$E$5:$E$868,"Core")&gt;0,"R",IF(COUNTIFS('Policy Assignments'!$C$5:$C$868,$A183,'Policy Assignments'!$B$5:$B$868,E$4,'Policy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F183" s="94" t="str">
        <x:f>IF(COUNTIFS('Policy Assignments'!$C$5:$C$868,$A183,'Policy Assignments'!$B$5:$B$868,F$4,'Policy Assignments'!$E$5:$E$868,"Hold")&gt;0,"H",IF(COUNTIFS('Policy Assignments'!$C$5:$C$868,$A183,'Policy Assignments'!$B$5:$B$868,F$4,'Policy Assignments'!$E$5:$E$868,"Core")&gt;0,"R",IF(COUNTIFS('Policy Assignments'!$C$5:$C$868,$A183,'Policy Assignments'!$B$5:$B$868,F$4,'Policy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G183" s="94" t="str">
        <x:f>IF(COUNTIFS('Policy Assignments'!$C$5:$C$868,$A183,'Policy Assignments'!$B$5:$B$868,G$4,'Policy Assignments'!$E$5:$E$868,"Hold")&gt;0,"H",IF(COUNTIFS('Policy Assignments'!$C$5:$C$868,$A183,'Policy Assignments'!$B$5:$B$868,G$4,'Policy Assignments'!$E$5:$E$868,"Core")&gt;0,"R",IF(COUNTIFS('Policy Assignments'!$C$5:$C$868,$A183,'Policy Assignments'!$B$5:$B$868,G$4,'Policy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H183" s="94" t="str">
        <x:f>IF(COUNTIFS('Policy Assignments'!$C$5:$C$868,$A183,'Policy Assignments'!$B$5:$B$868,H$4,'Policy Assignments'!$E$5:$E$868,"Hold")&gt;0,"H",IF(COUNTIFS('Policy Assignments'!$C$5:$C$868,$A183,'Policy Assignments'!$B$5:$B$868,H$4,'Policy Assignments'!$E$5:$E$868,"Core")&gt;0,"R",IF(COUNTIFS('Policy Assignments'!$C$5:$C$868,$A183,'Policy Assignments'!$B$5:$B$868,H$4,'Policy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I183" s="94" t="str">
        <x:f>IF(COUNTIFS('Policy Assignments'!$C$5:$C$868,$A183,'Policy Assignments'!$B$5:$B$868,I$4,'Policy Assignments'!$E$5:$E$868,"Hold")&gt;0,"H",IF(COUNTIFS('Policy Assignments'!$C$5:$C$868,$A183,'Policy Assignments'!$B$5:$B$868,I$4,'Policy Assignments'!$E$5:$E$868,"Core")&gt;0,"R",IF(COUNTIFS('Policy Assignments'!$C$5:$C$868,$A183,'Policy Assignments'!$B$5:$B$868,I$4,'Policy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J183" s="94" t="str">
        <x:f>IF(COUNTIFS('Policy Assignments'!$C$5:$C$868,$A183,'Policy Assignments'!$B$5:$B$868,J$4,'Policy Assignments'!$E$5:$E$868,"Hold")&gt;0,"H",IF(COUNTIFS('Policy Assignments'!$C$5:$C$868,$A183,'Policy Assignments'!$B$5:$B$868,J$4,'Policy Assignments'!$E$5:$E$868,"Core")&gt;0,"R",IF(COUNTIFS('Policy Assignments'!$C$5:$C$868,$A183,'Policy Assignments'!$B$5:$B$868,J$4,'Policy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K183" s="94" t="str">
        <x:f>IF(COUNTIFS('Policy Assignments'!$C$5:$C$868,$A183,'Policy Assignments'!$B$5:$B$868,K$4,'Policy Assignments'!$E$5:$E$868,"Hold")&gt;0,"H",IF(COUNTIFS('Policy Assignments'!$C$5:$C$868,$A183,'Policy Assignments'!$B$5:$B$868,K$4,'Policy Assignments'!$E$5:$E$868,"Core")&gt;0,"R",IF(COUNTIFS('Policy Assignments'!$C$5:$C$868,$A183,'Policy Assignments'!$B$5:$B$868,K$4,'Policy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L183" s="94" t="str">
        <x:f>IF(COUNTIFS('Policy Assignments'!$C$5:$C$868,$A183,'Policy Assignments'!$B$5:$B$868,L$4,'Policy Assignments'!$E$5:$E$868,"Hold")&gt;0,"H",IF(COUNTIFS('Policy Assignments'!$C$5:$C$868,$A183,'Policy Assignments'!$B$5:$B$868,L$4,'Policy Assignments'!$E$5:$E$868,"Core")&gt;0,"R",IF(COUNTIFS('Policy Assignments'!$C$5:$C$868,$A183,'Policy Assignments'!$B$5:$B$868,L$4,'Policy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c>
      <x:c r="M183" s="94" t="str">
        <x:f>IF(COUNTIFS('Policy Assignments'!$C$5:$C$868,$A183,'Policy Assignments'!$B$5:$B$868,M$4,'Policy Assignments'!$E$5:$E$868,"Hold")&gt;0,"H",IF(COUNTIFS('Policy Assignments'!$C$5:$C$868,$A183,'Policy Assignments'!$B$5:$B$868,M$4,'Policy Assignments'!$E$5:$E$868,"Core")&gt;0,"R",IF(COUNTIFS('Policy Assignments'!$C$5:$C$868,$A183,'Policy Assignments'!$B$5:$B$868,M$4,'Policy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v>R</x:v>
      </x:c>
      <x:c r="N183" s="94" t="str">
        <x:f>IF(COUNTIFS('Policy Assignments'!$C$5:$C$868,$A183,'Policy Assignments'!$B$5:$B$868,N$4,'Policy Assignments'!$E$5:$E$868,"Hold")&gt;0,"H",IF(COUNTIFS('Policy Assignments'!$C$5:$C$868,$A183,'Policy Assignments'!$B$5:$B$868,N$4,'Policy Assignments'!$E$5:$E$868,"Core")&gt;0,"R",IF(COUNTIFS('Policy Assignments'!$C$5:$C$868,$A183,'Policy Assignments'!$B$5:$B$868,N$4,'Policy Assignments'!$E$5:$E$868,"Conditional")&gt;0,"C",IF(COUNTIFS('Policy Assignments'!$C$5:$C$868,$A183,'Policy Assignments'!$B$5:$B$868,"General",'Policy Assignments'!$E$5:$E$868,"Hold")&gt;0,"H",IF(COUNTIFS('Policy Assignments'!$C$5:$C$868,$A183,'Policy Assignments'!$B$5:$B$868,"General",'Policy Assignments'!$E$5:$E$868,"Conditional")&gt;0,"C",IF(COUNTIFS('Policy Assignments'!$C$5:$C$868,$A183,'Policy Assignments'!$B$5:$B$868,"General")&gt;0,"G",""))))))</x:f>
        <x:v>R</x:v>
      </x:c>
      <x:c r="O183" s="94" t="str">
        <x:f>IF(COUNTIFS('Policy Assignments'!$C$5:$C$868,$A183,'Policy Assignments'!$B$5:$B$868,O$4,'Policy Assignments'!$E$5:$E$868,"Hold")&gt;0,"H",IF(COUNTIFS('Policy Assignments'!$C$5:$C$868,$A183,'Policy Assignments'!$B$5:$B$868,O$4,'Policy Assignments'!$E$5:$E$868,"Core")&gt;0,"R",IF(COUNTIFS('Policy Assignments'!$C$5:$C$868,$A183,'Policy Assignments'!$B$5:$B$868,O$4,'Policy Assignments'!$E$5:$E$868,"Conditional")&gt;0,"C","")))</x:f>
      </x:c>
      <x:c r="P183" s="90" t="str">
        <x:v>Mapped</x:v>
      </x:c>
    </x:row>
    <x:row r="184" ht="22" customHeight="1">
      <x:c r="A184" s="90" t="str">
        <x:v>QA-AE-003</x:v>
      </x:c>
      <x:c r="B184" s="90" t="str">
        <x:v>Corrective Action Plan Development &amp; Tracking</x:v>
      </x:c>
      <x:c r="C184" s="94" t="str">
        <x:f>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D184" s="94" t="str">
        <x:f>IF(COUNTIFS('Policy Assignments'!$C$5:$C$868,$A184,'Policy Assignments'!$B$5:$B$868,D$4,'Policy Assignments'!$E$5:$E$868,"Hold")&gt;0,"H",IF(COUNTIFS('Policy Assignments'!$C$5:$C$868,$A184,'Policy Assignments'!$B$5:$B$868,D$4,'Policy Assignments'!$E$5:$E$868,"Core")&gt;0,"R",IF(COUNTIFS('Policy Assignments'!$C$5:$C$868,$A184,'Policy Assignments'!$B$5:$B$868,D$4,'Policy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E184" s="94" t="str">
        <x:f>IF(COUNTIFS('Policy Assignments'!$C$5:$C$868,$A184,'Policy Assignments'!$B$5:$B$868,E$4,'Policy Assignments'!$E$5:$E$868,"Hold")&gt;0,"H",IF(COUNTIFS('Policy Assignments'!$C$5:$C$868,$A184,'Policy Assignments'!$B$5:$B$868,E$4,'Policy Assignments'!$E$5:$E$868,"Core")&gt;0,"R",IF(COUNTIFS('Policy Assignments'!$C$5:$C$868,$A184,'Policy Assignments'!$B$5:$B$868,E$4,'Policy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F184" s="94" t="str">
        <x:f>IF(COUNTIFS('Policy Assignments'!$C$5:$C$868,$A184,'Policy Assignments'!$B$5:$B$868,F$4,'Policy Assignments'!$E$5:$E$868,"Hold")&gt;0,"H",IF(COUNTIFS('Policy Assignments'!$C$5:$C$868,$A184,'Policy Assignments'!$B$5:$B$868,F$4,'Policy Assignments'!$E$5:$E$868,"Core")&gt;0,"R",IF(COUNTIFS('Policy Assignments'!$C$5:$C$868,$A184,'Policy Assignments'!$B$5:$B$868,F$4,'Policy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G184" s="94" t="str">
        <x:f>IF(COUNTIFS('Policy Assignments'!$C$5:$C$868,$A184,'Policy Assignments'!$B$5:$B$868,G$4,'Policy Assignments'!$E$5:$E$868,"Hold")&gt;0,"H",IF(COUNTIFS('Policy Assignments'!$C$5:$C$868,$A184,'Policy Assignments'!$B$5:$B$868,G$4,'Policy Assignments'!$E$5:$E$868,"Core")&gt;0,"R",IF(COUNTIFS('Policy Assignments'!$C$5:$C$868,$A184,'Policy Assignments'!$B$5:$B$868,G$4,'Policy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H184" s="94" t="str">
        <x:f>IF(COUNTIFS('Policy Assignments'!$C$5:$C$868,$A184,'Policy Assignments'!$B$5:$B$868,H$4,'Policy Assignments'!$E$5:$E$868,"Hold")&gt;0,"H",IF(COUNTIFS('Policy Assignments'!$C$5:$C$868,$A184,'Policy Assignments'!$B$5:$B$868,H$4,'Policy Assignments'!$E$5:$E$868,"Core")&gt;0,"R",IF(COUNTIFS('Policy Assignments'!$C$5:$C$868,$A184,'Policy Assignments'!$B$5:$B$868,H$4,'Policy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I184" s="94" t="str">
        <x:f>IF(COUNTIFS('Policy Assignments'!$C$5:$C$868,$A184,'Policy Assignments'!$B$5:$B$868,I$4,'Policy Assignments'!$E$5:$E$868,"Hold")&gt;0,"H",IF(COUNTIFS('Policy Assignments'!$C$5:$C$868,$A184,'Policy Assignments'!$B$5:$B$868,I$4,'Policy Assignments'!$E$5:$E$868,"Core")&gt;0,"R",IF(COUNTIFS('Policy Assignments'!$C$5:$C$868,$A184,'Policy Assignments'!$B$5:$B$868,I$4,'Policy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J184" s="94" t="str">
        <x:f>IF(COUNTIFS('Policy Assignments'!$C$5:$C$868,$A184,'Policy Assignments'!$B$5:$B$868,J$4,'Policy Assignments'!$E$5:$E$868,"Hold")&gt;0,"H",IF(COUNTIFS('Policy Assignments'!$C$5:$C$868,$A184,'Policy Assignments'!$B$5:$B$868,J$4,'Policy Assignments'!$E$5:$E$868,"Core")&gt;0,"R",IF(COUNTIFS('Policy Assignments'!$C$5:$C$868,$A184,'Policy Assignments'!$B$5:$B$868,J$4,'Policy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K184" s="94" t="str">
        <x:f>IF(COUNTIFS('Policy Assignments'!$C$5:$C$868,$A184,'Policy Assignments'!$B$5:$B$868,K$4,'Policy Assignments'!$E$5:$E$868,"Hold")&gt;0,"H",IF(COUNTIFS('Policy Assignments'!$C$5:$C$868,$A184,'Policy Assignments'!$B$5:$B$868,K$4,'Policy Assignments'!$E$5:$E$868,"Core")&gt;0,"R",IF(COUNTIFS('Policy Assignments'!$C$5:$C$868,$A184,'Policy Assignments'!$B$5:$B$868,K$4,'Policy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L184" s="94" t="str">
        <x:f>IF(COUNTIFS('Policy Assignments'!$C$5:$C$868,$A184,'Policy Assignments'!$B$5:$B$868,L$4,'Policy Assignments'!$E$5:$E$868,"Hold")&gt;0,"H",IF(COUNTIFS('Policy Assignments'!$C$5:$C$868,$A184,'Policy Assignments'!$B$5:$B$868,L$4,'Policy Assignments'!$E$5:$E$868,"Core")&gt;0,"R",IF(COUNTIFS('Policy Assignments'!$C$5:$C$868,$A184,'Policy Assignments'!$B$5:$B$868,L$4,'Policy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c>
      <x:c r="M184" s="94" t="str">
        <x:f>IF(COUNTIFS('Policy Assignments'!$C$5:$C$868,$A184,'Policy Assignments'!$B$5:$B$868,M$4,'Policy Assignments'!$E$5:$E$868,"Hold")&gt;0,"H",IF(COUNTIFS('Policy Assignments'!$C$5:$C$868,$A184,'Policy Assignments'!$B$5:$B$868,M$4,'Policy Assignments'!$E$5:$E$868,"Core")&gt;0,"R",IF(COUNTIFS('Policy Assignments'!$C$5:$C$868,$A184,'Policy Assignments'!$B$5:$B$868,M$4,'Policy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v>R</x:v>
      </x:c>
      <x:c r="N184" s="94" t="str">
        <x:f>IF(COUNTIFS('Policy Assignments'!$C$5:$C$868,$A184,'Policy Assignments'!$B$5:$B$868,N$4,'Policy Assignments'!$E$5:$E$868,"Hold")&gt;0,"H",IF(COUNTIFS('Policy Assignments'!$C$5:$C$868,$A184,'Policy Assignments'!$B$5:$B$868,N$4,'Policy Assignments'!$E$5:$E$868,"Core")&gt;0,"R",IF(COUNTIFS('Policy Assignments'!$C$5:$C$868,$A184,'Policy Assignments'!$B$5:$B$868,N$4,'Policy Assignments'!$E$5:$E$868,"Conditional")&gt;0,"C",IF(COUNTIFS('Policy Assignments'!$C$5:$C$868,$A184,'Policy Assignments'!$B$5:$B$868,"General",'Policy Assignments'!$E$5:$E$868,"Hold")&gt;0,"H",IF(COUNTIFS('Policy Assignments'!$C$5:$C$868,$A184,'Policy Assignments'!$B$5:$B$868,"General",'Policy Assignments'!$E$5:$E$868,"Conditional")&gt;0,"C",IF(COUNTIFS('Policy Assignments'!$C$5:$C$868,$A184,'Policy Assignments'!$B$5:$B$868,"General")&gt;0,"G",""))))))</x:f>
        <x:v>R</x:v>
      </x:c>
      <x:c r="O184" s="94" t="str">
        <x:f>IF(COUNTIFS('Policy Assignments'!$C$5:$C$868,$A184,'Policy Assignments'!$B$5:$B$868,O$4,'Policy Assignments'!$E$5:$E$868,"Hold")&gt;0,"H",IF(COUNTIFS('Policy Assignments'!$C$5:$C$868,$A184,'Policy Assignments'!$B$5:$B$868,O$4,'Policy Assignments'!$E$5:$E$868,"Core")&gt;0,"R",IF(COUNTIFS('Policy Assignments'!$C$5:$C$868,$A184,'Policy Assignments'!$B$5:$B$868,O$4,'Policy Assignments'!$E$5:$E$868,"Conditional")&gt;0,"C","")))</x:f>
      </x:c>
      <x:c r="P184" s="90" t="str">
        <x:v>Mapped</x:v>
      </x:c>
    </x:row>
    <x:row r="185" ht="22" customHeight="1">
      <x:c r="A185" s="90" t="str">
        <x:v>QA-AE-004</x:v>
      </x:c>
      <x:c r="B185" s="90" t="str">
        <x:v>Patient Safety Program</x:v>
      </x:c>
      <x:c r="C185" s="94" t="str">
        <x:f>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D185" s="94" t="str">
        <x:f>IF(COUNTIFS('Policy Assignments'!$C$5:$C$868,$A185,'Policy Assignments'!$B$5:$B$868,D$4,'Policy Assignments'!$E$5:$E$868,"Hold")&gt;0,"H",IF(COUNTIFS('Policy Assignments'!$C$5:$C$868,$A185,'Policy Assignments'!$B$5:$B$868,D$4,'Policy Assignments'!$E$5:$E$868,"Core")&gt;0,"R",IF(COUNTIFS('Policy Assignments'!$C$5:$C$868,$A185,'Policy Assignments'!$B$5:$B$868,D$4,'Policy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E185" s="94" t="str">
        <x:f>IF(COUNTIFS('Policy Assignments'!$C$5:$C$868,$A185,'Policy Assignments'!$B$5:$B$868,E$4,'Policy Assignments'!$E$5:$E$868,"Hold")&gt;0,"H",IF(COUNTIFS('Policy Assignments'!$C$5:$C$868,$A185,'Policy Assignments'!$B$5:$B$868,E$4,'Policy Assignments'!$E$5:$E$868,"Core")&gt;0,"R",IF(COUNTIFS('Policy Assignments'!$C$5:$C$868,$A185,'Policy Assignments'!$B$5:$B$868,E$4,'Policy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F185" s="94" t="str">
        <x:f>IF(COUNTIFS('Policy Assignments'!$C$5:$C$868,$A185,'Policy Assignments'!$B$5:$B$868,F$4,'Policy Assignments'!$E$5:$E$868,"Hold")&gt;0,"H",IF(COUNTIFS('Policy Assignments'!$C$5:$C$868,$A185,'Policy Assignments'!$B$5:$B$868,F$4,'Policy Assignments'!$E$5:$E$868,"Core")&gt;0,"R",IF(COUNTIFS('Policy Assignments'!$C$5:$C$868,$A185,'Policy Assignments'!$B$5:$B$868,F$4,'Policy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G185" s="94" t="str">
        <x:f>IF(COUNTIFS('Policy Assignments'!$C$5:$C$868,$A185,'Policy Assignments'!$B$5:$B$868,G$4,'Policy Assignments'!$E$5:$E$868,"Hold")&gt;0,"H",IF(COUNTIFS('Policy Assignments'!$C$5:$C$868,$A185,'Policy Assignments'!$B$5:$B$868,G$4,'Policy Assignments'!$E$5:$E$868,"Core")&gt;0,"R",IF(COUNTIFS('Policy Assignments'!$C$5:$C$868,$A185,'Policy Assignments'!$B$5:$B$868,G$4,'Policy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H185" s="94" t="str">
        <x:f>IF(COUNTIFS('Policy Assignments'!$C$5:$C$868,$A185,'Policy Assignments'!$B$5:$B$868,H$4,'Policy Assignments'!$E$5:$E$868,"Hold")&gt;0,"H",IF(COUNTIFS('Policy Assignments'!$C$5:$C$868,$A185,'Policy Assignments'!$B$5:$B$868,H$4,'Policy Assignments'!$E$5:$E$868,"Core")&gt;0,"R",IF(COUNTIFS('Policy Assignments'!$C$5:$C$868,$A185,'Policy Assignments'!$B$5:$B$868,H$4,'Policy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I185" s="94" t="str">
        <x:f>IF(COUNTIFS('Policy Assignments'!$C$5:$C$868,$A185,'Policy Assignments'!$B$5:$B$868,I$4,'Policy Assignments'!$E$5:$E$868,"Hold")&gt;0,"H",IF(COUNTIFS('Policy Assignments'!$C$5:$C$868,$A185,'Policy Assignments'!$B$5:$B$868,I$4,'Policy Assignments'!$E$5:$E$868,"Core")&gt;0,"R",IF(COUNTIFS('Policy Assignments'!$C$5:$C$868,$A185,'Policy Assignments'!$B$5:$B$868,I$4,'Policy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J185" s="94" t="str">
        <x:f>IF(COUNTIFS('Policy Assignments'!$C$5:$C$868,$A185,'Policy Assignments'!$B$5:$B$868,J$4,'Policy Assignments'!$E$5:$E$868,"Hold")&gt;0,"H",IF(COUNTIFS('Policy Assignments'!$C$5:$C$868,$A185,'Policy Assignments'!$B$5:$B$868,J$4,'Policy Assignments'!$E$5:$E$868,"Core")&gt;0,"R",IF(COUNTIFS('Policy Assignments'!$C$5:$C$868,$A185,'Policy Assignments'!$B$5:$B$868,J$4,'Policy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K185" s="94" t="str">
        <x:f>IF(COUNTIFS('Policy Assignments'!$C$5:$C$868,$A185,'Policy Assignments'!$B$5:$B$868,K$4,'Policy Assignments'!$E$5:$E$868,"Hold")&gt;0,"H",IF(COUNTIFS('Policy Assignments'!$C$5:$C$868,$A185,'Policy Assignments'!$B$5:$B$868,K$4,'Policy Assignments'!$E$5:$E$868,"Core")&gt;0,"R",IF(COUNTIFS('Policy Assignments'!$C$5:$C$868,$A185,'Policy Assignments'!$B$5:$B$868,K$4,'Policy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L185" s="94" t="str">
        <x:f>IF(COUNTIFS('Policy Assignments'!$C$5:$C$868,$A185,'Policy Assignments'!$B$5:$B$868,L$4,'Policy Assignments'!$E$5:$E$868,"Hold")&gt;0,"H",IF(COUNTIFS('Policy Assignments'!$C$5:$C$868,$A185,'Policy Assignments'!$B$5:$B$868,L$4,'Policy Assignments'!$E$5:$E$868,"Core")&gt;0,"R",IF(COUNTIFS('Policy Assignments'!$C$5:$C$868,$A185,'Policy Assignments'!$B$5:$B$868,L$4,'Policy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G</x:v>
      </x:c>
      <x:c r="M185" s="94" t="str">
        <x:f>IF(COUNTIFS('Policy Assignments'!$C$5:$C$868,$A185,'Policy Assignments'!$B$5:$B$868,M$4,'Policy Assignments'!$E$5:$E$868,"Hold")&gt;0,"H",IF(COUNTIFS('Policy Assignments'!$C$5:$C$868,$A185,'Policy Assignments'!$B$5:$B$868,M$4,'Policy Assignments'!$E$5:$E$868,"Core")&gt;0,"R",IF(COUNTIFS('Policy Assignments'!$C$5:$C$868,$A185,'Policy Assignments'!$B$5:$B$868,M$4,'Policy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R</x:v>
      </x:c>
      <x:c r="N185" s="94" t="str">
        <x:f>IF(COUNTIFS('Policy Assignments'!$C$5:$C$868,$A185,'Policy Assignments'!$B$5:$B$868,N$4,'Policy Assignments'!$E$5:$E$868,"Hold")&gt;0,"H",IF(COUNTIFS('Policy Assignments'!$C$5:$C$868,$A185,'Policy Assignments'!$B$5:$B$868,N$4,'Policy Assignments'!$E$5:$E$868,"Core")&gt;0,"R",IF(COUNTIFS('Policy Assignments'!$C$5:$C$868,$A185,'Policy Assignments'!$B$5:$B$868,N$4,'Policy Assignments'!$E$5:$E$868,"Conditional")&gt;0,"C",IF(COUNTIFS('Policy Assignments'!$C$5:$C$868,$A185,'Policy Assignments'!$B$5:$B$868,"General",'Policy Assignments'!$E$5:$E$868,"Hold")&gt;0,"H",IF(COUNTIFS('Policy Assignments'!$C$5:$C$868,$A185,'Policy Assignments'!$B$5:$B$868,"General",'Policy Assignments'!$E$5:$E$868,"Conditional")&gt;0,"C",IF(COUNTIFS('Policy Assignments'!$C$5:$C$868,$A185,'Policy Assignments'!$B$5:$B$868,"General")&gt;0,"G",""))))))</x:f>
        <x:v>R</x:v>
      </x:c>
      <x:c r="O185" s="94" t="str">
        <x:f>IF(COUNTIFS('Policy Assignments'!$C$5:$C$868,$A185,'Policy Assignments'!$B$5:$B$868,O$4,'Policy Assignments'!$E$5:$E$868,"Hold")&gt;0,"H",IF(COUNTIFS('Policy Assignments'!$C$5:$C$868,$A185,'Policy Assignments'!$B$5:$B$868,O$4,'Policy Assignments'!$E$5:$E$868,"Core")&gt;0,"R",IF(COUNTIFS('Policy Assignments'!$C$5:$C$868,$A185,'Policy Assignments'!$B$5:$B$868,O$4,'Policy Assignments'!$E$5:$E$868,"Conditional")&gt;0,"C","")))</x:f>
      </x:c>
      <x:c r="P185" s="90" t="str">
        <x:v>Mapped</x:v>
      </x:c>
    </x:row>
    <x:row r="186" ht="22" customHeight="1">
      <x:c r="A186" s="90" t="str">
        <x:v>QA-PG-001</x:v>
      </x:c>
      <x:c r="B186" s="90" t="str">
        <x:v>QAPI Program Establishment &amp; Governance</x:v>
      </x:c>
      <x:c r="C186" s="94" t="str">
        <x:f>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D186" s="94" t="str">
        <x:f>IF(COUNTIFS('Policy Assignments'!$C$5:$C$868,$A186,'Policy Assignments'!$B$5:$B$868,D$4,'Policy Assignments'!$E$5:$E$868,"Hold")&gt;0,"H",IF(COUNTIFS('Policy Assignments'!$C$5:$C$868,$A186,'Policy Assignments'!$B$5:$B$868,D$4,'Policy Assignments'!$E$5:$E$868,"Core")&gt;0,"R",IF(COUNTIFS('Policy Assignments'!$C$5:$C$868,$A186,'Policy Assignments'!$B$5:$B$868,D$4,'Policy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E186" s="94" t="str">
        <x:f>IF(COUNTIFS('Policy Assignments'!$C$5:$C$868,$A186,'Policy Assignments'!$B$5:$B$868,E$4,'Policy Assignments'!$E$5:$E$868,"Hold")&gt;0,"H",IF(COUNTIFS('Policy Assignments'!$C$5:$C$868,$A186,'Policy Assignments'!$B$5:$B$868,E$4,'Policy Assignments'!$E$5:$E$868,"Core")&gt;0,"R",IF(COUNTIFS('Policy Assignments'!$C$5:$C$868,$A186,'Policy Assignments'!$B$5:$B$868,E$4,'Policy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F186" s="94" t="str">
        <x:f>IF(COUNTIFS('Policy Assignments'!$C$5:$C$868,$A186,'Policy Assignments'!$B$5:$B$868,F$4,'Policy Assignments'!$E$5:$E$868,"Hold")&gt;0,"H",IF(COUNTIFS('Policy Assignments'!$C$5:$C$868,$A186,'Policy Assignments'!$B$5:$B$868,F$4,'Policy Assignments'!$E$5:$E$868,"Core")&gt;0,"R",IF(COUNTIFS('Policy Assignments'!$C$5:$C$868,$A186,'Policy Assignments'!$B$5:$B$868,F$4,'Policy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G186" s="94" t="str">
        <x:f>IF(COUNTIFS('Policy Assignments'!$C$5:$C$868,$A186,'Policy Assignments'!$B$5:$B$868,G$4,'Policy Assignments'!$E$5:$E$868,"Hold")&gt;0,"H",IF(COUNTIFS('Policy Assignments'!$C$5:$C$868,$A186,'Policy Assignments'!$B$5:$B$868,G$4,'Policy Assignments'!$E$5:$E$868,"Core")&gt;0,"R",IF(COUNTIFS('Policy Assignments'!$C$5:$C$868,$A186,'Policy Assignments'!$B$5:$B$868,G$4,'Policy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H186" s="94" t="str">
        <x:f>IF(COUNTIFS('Policy Assignments'!$C$5:$C$868,$A186,'Policy Assignments'!$B$5:$B$868,H$4,'Policy Assignments'!$E$5:$E$868,"Hold")&gt;0,"H",IF(COUNTIFS('Policy Assignments'!$C$5:$C$868,$A186,'Policy Assignments'!$B$5:$B$868,H$4,'Policy Assignments'!$E$5:$E$868,"Core")&gt;0,"R",IF(COUNTIFS('Policy Assignments'!$C$5:$C$868,$A186,'Policy Assignments'!$B$5:$B$868,H$4,'Policy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I186" s="94" t="str">
        <x:f>IF(COUNTIFS('Policy Assignments'!$C$5:$C$868,$A186,'Policy Assignments'!$B$5:$B$868,I$4,'Policy Assignments'!$E$5:$E$868,"Hold")&gt;0,"H",IF(COUNTIFS('Policy Assignments'!$C$5:$C$868,$A186,'Policy Assignments'!$B$5:$B$868,I$4,'Policy Assignments'!$E$5:$E$868,"Core")&gt;0,"R",IF(COUNTIFS('Policy Assignments'!$C$5:$C$868,$A186,'Policy Assignments'!$B$5:$B$868,I$4,'Policy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J186" s="94" t="str">
        <x:f>IF(COUNTIFS('Policy Assignments'!$C$5:$C$868,$A186,'Policy Assignments'!$B$5:$B$868,J$4,'Policy Assignments'!$E$5:$E$868,"Hold")&gt;0,"H",IF(COUNTIFS('Policy Assignments'!$C$5:$C$868,$A186,'Policy Assignments'!$B$5:$B$868,J$4,'Policy Assignments'!$E$5:$E$868,"Core")&gt;0,"R",IF(COUNTIFS('Policy Assignments'!$C$5:$C$868,$A186,'Policy Assignments'!$B$5:$B$868,J$4,'Policy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K186" s="94" t="str">
        <x:f>IF(COUNTIFS('Policy Assignments'!$C$5:$C$868,$A186,'Policy Assignments'!$B$5:$B$868,K$4,'Policy Assignments'!$E$5:$E$868,"Hold")&gt;0,"H",IF(COUNTIFS('Policy Assignments'!$C$5:$C$868,$A186,'Policy Assignments'!$B$5:$B$868,K$4,'Policy Assignments'!$E$5:$E$868,"Core")&gt;0,"R",IF(COUNTIFS('Policy Assignments'!$C$5:$C$868,$A186,'Policy Assignments'!$B$5:$B$868,K$4,'Policy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L186" s="94" t="str">
        <x:f>IF(COUNTIFS('Policy Assignments'!$C$5:$C$868,$A186,'Policy Assignments'!$B$5:$B$868,L$4,'Policy Assignments'!$E$5:$E$868,"Hold")&gt;0,"H",IF(COUNTIFS('Policy Assignments'!$C$5:$C$868,$A186,'Policy Assignments'!$B$5:$B$868,L$4,'Policy Assignments'!$E$5:$E$868,"Core")&gt;0,"R",IF(COUNTIFS('Policy Assignments'!$C$5:$C$868,$A186,'Policy Assignments'!$B$5:$B$868,L$4,'Policy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G</x:v>
      </x:c>
      <x:c r="M186" s="94" t="str">
        <x:f>IF(COUNTIFS('Policy Assignments'!$C$5:$C$868,$A186,'Policy Assignments'!$B$5:$B$868,M$4,'Policy Assignments'!$E$5:$E$868,"Hold")&gt;0,"H",IF(COUNTIFS('Policy Assignments'!$C$5:$C$868,$A186,'Policy Assignments'!$B$5:$B$868,M$4,'Policy Assignments'!$E$5:$E$868,"Core")&gt;0,"R",IF(COUNTIFS('Policy Assignments'!$C$5:$C$868,$A186,'Policy Assignments'!$B$5:$B$868,M$4,'Policy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R</x:v>
      </x:c>
      <x:c r="N186" s="94" t="str">
        <x:f>IF(COUNTIFS('Policy Assignments'!$C$5:$C$868,$A186,'Policy Assignments'!$B$5:$B$868,N$4,'Policy Assignments'!$E$5:$E$868,"Hold")&gt;0,"H",IF(COUNTIFS('Policy Assignments'!$C$5:$C$868,$A186,'Policy Assignments'!$B$5:$B$868,N$4,'Policy Assignments'!$E$5:$E$868,"Core")&gt;0,"R",IF(COUNTIFS('Policy Assignments'!$C$5:$C$868,$A186,'Policy Assignments'!$B$5:$B$868,N$4,'Policy Assignments'!$E$5:$E$868,"Conditional")&gt;0,"C",IF(COUNTIFS('Policy Assignments'!$C$5:$C$868,$A186,'Policy Assignments'!$B$5:$B$868,"General",'Policy Assignments'!$E$5:$E$868,"Hold")&gt;0,"H",IF(COUNTIFS('Policy Assignments'!$C$5:$C$868,$A186,'Policy Assignments'!$B$5:$B$868,"General",'Policy Assignments'!$E$5:$E$868,"Conditional")&gt;0,"C",IF(COUNTIFS('Policy Assignments'!$C$5:$C$868,$A186,'Policy Assignments'!$B$5:$B$868,"General")&gt;0,"G",""))))))</x:f>
        <x:v>R</x:v>
      </x:c>
      <x:c r="O186" s="94" t="str">
        <x:f>IF(COUNTIFS('Policy Assignments'!$C$5:$C$868,$A186,'Policy Assignments'!$B$5:$B$868,O$4,'Policy Assignments'!$E$5:$E$868,"Hold")&gt;0,"H",IF(COUNTIFS('Policy Assignments'!$C$5:$C$868,$A186,'Policy Assignments'!$B$5:$B$868,O$4,'Policy Assignments'!$E$5:$E$868,"Core")&gt;0,"R",IF(COUNTIFS('Policy Assignments'!$C$5:$C$868,$A186,'Policy Assignments'!$B$5:$B$868,O$4,'Policy Assignments'!$E$5:$E$868,"Conditional")&gt;0,"C","")))</x:f>
        <x:v>R</x:v>
      </x:c>
      <x:c r="P186" s="90" t="str">
        <x:v>Mapped</x:v>
      </x:c>
    </x:row>
    <x:row r="187" ht="22" customHeight="1">
      <x:c r="A187" s="90" t="str">
        <x:v>QA-PG-002</x:v>
      </x:c>
      <x:c r="B187" s="90" t="str">
        <x:v>QAPI Plan Development &amp; Annual Review</x:v>
      </x:c>
      <x:c r="C187" s="94" t="str">
        <x:f>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D187" s="94" t="str">
        <x:f>IF(COUNTIFS('Policy Assignments'!$C$5:$C$868,$A187,'Policy Assignments'!$B$5:$B$868,D$4,'Policy Assignments'!$E$5:$E$868,"Hold")&gt;0,"H",IF(COUNTIFS('Policy Assignments'!$C$5:$C$868,$A187,'Policy Assignments'!$B$5:$B$868,D$4,'Policy Assignments'!$E$5:$E$868,"Core")&gt;0,"R",IF(COUNTIFS('Policy Assignments'!$C$5:$C$868,$A187,'Policy Assignments'!$B$5:$B$868,D$4,'Policy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E187" s="94" t="str">
        <x:f>IF(COUNTIFS('Policy Assignments'!$C$5:$C$868,$A187,'Policy Assignments'!$B$5:$B$868,E$4,'Policy Assignments'!$E$5:$E$868,"Hold")&gt;0,"H",IF(COUNTIFS('Policy Assignments'!$C$5:$C$868,$A187,'Policy Assignments'!$B$5:$B$868,E$4,'Policy Assignments'!$E$5:$E$868,"Core")&gt;0,"R",IF(COUNTIFS('Policy Assignments'!$C$5:$C$868,$A187,'Policy Assignments'!$B$5:$B$868,E$4,'Policy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F187" s="94" t="str">
        <x:f>IF(COUNTIFS('Policy Assignments'!$C$5:$C$868,$A187,'Policy Assignments'!$B$5:$B$868,F$4,'Policy Assignments'!$E$5:$E$868,"Hold")&gt;0,"H",IF(COUNTIFS('Policy Assignments'!$C$5:$C$868,$A187,'Policy Assignments'!$B$5:$B$868,F$4,'Policy Assignments'!$E$5:$E$868,"Core")&gt;0,"R",IF(COUNTIFS('Policy Assignments'!$C$5:$C$868,$A187,'Policy Assignments'!$B$5:$B$868,F$4,'Policy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G187" s="94" t="str">
        <x:f>IF(COUNTIFS('Policy Assignments'!$C$5:$C$868,$A187,'Policy Assignments'!$B$5:$B$868,G$4,'Policy Assignments'!$E$5:$E$868,"Hold")&gt;0,"H",IF(COUNTIFS('Policy Assignments'!$C$5:$C$868,$A187,'Policy Assignments'!$B$5:$B$868,G$4,'Policy Assignments'!$E$5:$E$868,"Core")&gt;0,"R",IF(COUNTIFS('Policy Assignments'!$C$5:$C$868,$A187,'Policy Assignments'!$B$5:$B$868,G$4,'Policy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H187" s="94" t="str">
        <x:f>IF(COUNTIFS('Policy Assignments'!$C$5:$C$868,$A187,'Policy Assignments'!$B$5:$B$868,H$4,'Policy Assignments'!$E$5:$E$868,"Hold")&gt;0,"H",IF(COUNTIFS('Policy Assignments'!$C$5:$C$868,$A187,'Policy Assignments'!$B$5:$B$868,H$4,'Policy Assignments'!$E$5:$E$868,"Core")&gt;0,"R",IF(COUNTIFS('Policy Assignments'!$C$5:$C$868,$A187,'Policy Assignments'!$B$5:$B$868,H$4,'Policy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I187" s="94" t="str">
        <x:f>IF(COUNTIFS('Policy Assignments'!$C$5:$C$868,$A187,'Policy Assignments'!$B$5:$B$868,I$4,'Policy Assignments'!$E$5:$E$868,"Hold")&gt;0,"H",IF(COUNTIFS('Policy Assignments'!$C$5:$C$868,$A187,'Policy Assignments'!$B$5:$B$868,I$4,'Policy Assignments'!$E$5:$E$868,"Core")&gt;0,"R",IF(COUNTIFS('Policy Assignments'!$C$5:$C$868,$A187,'Policy Assignments'!$B$5:$B$868,I$4,'Policy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J187" s="94" t="str">
        <x:f>IF(COUNTIFS('Policy Assignments'!$C$5:$C$868,$A187,'Policy Assignments'!$B$5:$B$868,J$4,'Policy Assignments'!$E$5:$E$868,"Hold")&gt;0,"H",IF(COUNTIFS('Policy Assignments'!$C$5:$C$868,$A187,'Policy Assignments'!$B$5:$B$868,J$4,'Policy Assignments'!$E$5:$E$868,"Core")&gt;0,"R",IF(COUNTIFS('Policy Assignments'!$C$5:$C$868,$A187,'Policy Assignments'!$B$5:$B$868,J$4,'Policy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K187" s="94" t="str">
        <x:f>IF(COUNTIFS('Policy Assignments'!$C$5:$C$868,$A187,'Policy Assignments'!$B$5:$B$868,K$4,'Policy Assignments'!$E$5:$E$868,"Hold")&gt;0,"H",IF(COUNTIFS('Policy Assignments'!$C$5:$C$868,$A187,'Policy Assignments'!$B$5:$B$868,K$4,'Policy Assignments'!$E$5:$E$868,"Core")&gt;0,"R",IF(COUNTIFS('Policy Assignments'!$C$5:$C$868,$A187,'Policy Assignments'!$B$5:$B$868,K$4,'Policy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L187" s="94" t="str">
        <x:f>IF(COUNTIFS('Policy Assignments'!$C$5:$C$868,$A187,'Policy Assignments'!$B$5:$B$868,L$4,'Policy Assignments'!$E$5:$E$868,"Hold")&gt;0,"H",IF(COUNTIFS('Policy Assignments'!$C$5:$C$868,$A187,'Policy Assignments'!$B$5:$B$868,L$4,'Policy Assignments'!$E$5:$E$868,"Core")&gt;0,"R",IF(COUNTIFS('Policy Assignments'!$C$5:$C$868,$A187,'Policy Assignments'!$B$5:$B$868,L$4,'Policy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c>
      <x:c r="M187" s="94" t="str">
        <x:f>IF(COUNTIFS('Policy Assignments'!$C$5:$C$868,$A187,'Policy Assignments'!$B$5:$B$868,M$4,'Policy Assignments'!$E$5:$E$868,"Hold")&gt;0,"H",IF(COUNTIFS('Policy Assignments'!$C$5:$C$868,$A187,'Policy Assignments'!$B$5:$B$868,M$4,'Policy Assignments'!$E$5:$E$868,"Core")&gt;0,"R",IF(COUNTIFS('Policy Assignments'!$C$5:$C$868,$A187,'Policy Assignments'!$B$5:$B$868,M$4,'Policy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v>R</x:v>
      </x:c>
      <x:c r="N187" s="94" t="str">
        <x:f>IF(COUNTIFS('Policy Assignments'!$C$5:$C$868,$A187,'Policy Assignments'!$B$5:$B$868,N$4,'Policy Assignments'!$E$5:$E$868,"Hold")&gt;0,"H",IF(COUNTIFS('Policy Assignments'!$C$5:$C$868,$A187,'Policy Assignments'!$B$5:$B$868,N$4,'Policy Assignments'!$E$5:$E$868,"Core")&gt;0,"R",IF(COUNTIFS('Policy Assignments'!$C$5:$C$868,$A187,'Policy Assignments'!$B$5:$B$868,N$4,'Policy Assignments'!$E$5:$E$868,"Conditional")&gt;0,"C",IF(COUNTIFS('Policy Assignments'!$C$5:$C$868,$A187,'Policy Assignments'!$B$5:$B$868,"General",'Policy Assignments'!$E$5:$E$868,"Hold")&gt;0,"H",IF(COUNTIFS('Policy Assignments'!$C$5:$C$868,$A187,'Policy Assignments'!$B$5:$B$868,"General",'Policy Assignments'!$E$5:$E$868,"Conditional")&gt;0,"C",IF(COUNTIFS('Policy Assignments'!$C$5:$C$868,$A187,'Policy Assignments'!$B$5:$B$868,"General")&gt;0,"G",""))))))</x:f>
        <x:v>R</x:v>
      </x:c>
      <x:c r="O187" s="94" t="str">
        <x:f>IF(COUNTIFS('Policy Assignments'!$C$5:$C$868,$A187,'Policy Assignments'!$B$5:$B$868,O$4,'Policy Assignments'!$E$5:$E$868,"Hold")&gt;0,"H",IF(COUNTIFS('Policy Assignments'!$C$5:$C$868,$A187,'Policy Assignments'!$B$5:$B$868,O$4,'Policy Assignments'!$E$5:$E$868,"Core")&gt;0,"R",IF(COUNTIFS('Policy Assignments'!$C$5:$C$868,$A187,'Policy Assignments'!$B$5:$B$868,O$4,'Policy Assignments'!$E$5:$E$868,"Conditional")&gt;0,"C","")))</x:f>
        <x:v>R</x:v>
      </x:c>
      <x:c r="P187" s="90" t="str">
        <x:v>Mapped</x:v>
      </x:c>
    </x:row>
    <x:row r="188" ht="22" customHeight="1">
      <x:c r="A188" s="90" t="str">
        <x:v>QA-PG-003</x:v>
      </x:c>
      <x:c r="B188" s="90" t="str">
        <x:v>QAPI Committee Structure &amp; Meeting Requirements</x:v>
      </x:c>
      <x:c r="C188" s="94" t="str">
        <x:f>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D188" s="94" t="str">
        <x:f>IF(COUNTIFS('Policy Assignments'!$C$5:$C$868,$A188,'Policy Assignments'!$B$5:$B$868,D$4,'Policy Assignments'!$E$5:$E$868,"Hold")&gt;0,"H",IF(COUNTIFS('Policy Assignments'!$C$5:$C$868,$A188,'Policy Assignments'!$B$5:$B$868,D$4,'Policy Assignments'!$E$5:$E$868,"Core")&gt;0,"R",IF(COUNTIFS('Policy Assignments'!$C$5:$C$868,$A188,'Policy Assignments'!$B$5:$B$868,D$4,'Policy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E188" s="94" t="str">
        <x:f>IF(COUNTIFS('Policy Assignments'!$C$5:$C$868,$A188,'Policy Assignments'!$B$5:$B$868,E$4,'Policy Assignments'!$E$5:$E$868,"Hold")&gt;0,"H",IF(COUNTIFS('Policy Assignments'!$C$5:$C$868,$A188,'Policy Assignments'!$B$5:$B$868,E$4,'Policy Assignments'!$E$5:$E$868,"Core")&gt;0,"R",IF(COUNTIFS('Policy Assignments'!$C$5:$C$868,$A188,'Policy Assignments'!$B$5:$B$868,E$4,'Policy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F188" s="94" t="str">
        <x:f>IF(COUNTIFS('Policy Assignments'!$C$5:$C$868,$A188,'Policy Assignments'!$B$5:$B$868,F$4,'Policy Assignments'!$E$5:$E$868,"Hold")&gt;0,"H",IF(COUNTIFS('Policy Assignments'!$C$5:$C$868,$A188,'Policy Assignments'!$B$5:$B$868,F$4,'Policy Assignments'!$E$5:$E$868,"Core")&gt;0,"R",IF(COUNTIFS('Policy Assignments'!$C$5:$C$868,$A188,'Policy Assignments'!$B$5:$B$868,F$4,'Policy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G188" s="94" t="str">
        <x:f>IF(COUNTIFS('Policy Assignments'!$C$5:$C$868,$A188,'Policy Assignments'!$B$5:$B$868,G$4,'Policy Assignments'!$E$5:$E$868,"Hold")&gt;0,"H",IF(COUNTIFS('Policy Assignments'!$C$5:$C$868,$A188,'Policy Assignments'!$B$5:$B$868,G$4,'Policy Assignments'!$E$5:$E$868,"Core")&gt;0,"R",IF(COUNTIFS('Policy Assignments'!$C$5:$C$868,$A188,'Policy Assignments'!$B$5:$B$868,G$4,'Policy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H188" s="94" t="str">
        <x:f>IF(COUNTIFS('Policy Assignments'!$C$5:$C$868,$A188,'Policy Assignments'!$B$5:$B$868,H$4,'Policy Assignments'!$E$5:$E$868,"Hold")&gt;0,"H",IF(COUNTIFS('Policy Assignments'!$C$5:$C$868,$A188,'Policy Assignments'!$B$5:$B$868,H$4,'Policy Assignments'!$E$5:$E$868,"Core")&gt;0,"R",IF(COUNTIFS('Policy Assignments'!$C$5:$C$868,$A188,'Policy Assignments'!$B$5:$B$868,H$4,'Policy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I188" s="94" t="str">
        <x:f>IF(COUNTIFS('Policy Assignments'!$C$5:$C$868,$A188,'Policy Assignments'!$B$5:$B$868,I$4,'Policy Assignments'!$E$5:$E$868,"Hold")&gt;0,"H",IF(COUNTIFS('Policy Assignments'!$C$5:$C$868,$A188,'Policy Assignments'!$B$5:$B$868,I$4,'Policy Assignments'!$E$5:$E$868,"Core")&gt;0,"R",IF(COUNTIFS('Policy Assignments'!$C$5:$C$868,$A188,'Policy Assignments'!$B$5:$B$868,I$4,'Policy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J188" s="94" t="str">
        <x:f>IF(COUNTIFS('Policy Assignments'!$C$5:$C$868,$A188,'Policy Assignments'!$B$5:$B$868,J$4,'Policy Assignments'!$E$5:$E$868,"Hold")&gt;0,"H",IF(COUNTIFS('Policy Assignments'!$C$5:$C$868,$A188,'Policy Assignments'!$B$5:$B$868,J$4,'Policy Assignments'!$E$5:$E$868,"Core")&gt;0,"R",IF(COUNTIFS('Policy Assignments'!$C$5:$C$868,$A188,'Policy Assignments'!$B$5:$B$868,J$4,'Policy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K188" s="94" t="str">
        <x:f>IF(COUNTIFS('Policy Assignments'!$C$5:$C$868,$A188,'Policy Assignments'!$B$5:$B$868,K$4,'Policy Assignments'!$E$5:$E$868,"Hold")&gt;0,"H",IF(COUNTIFS('Policy Assignments'!$C$5:$C$868,$A188,'Policy Assignments'!$B$5:$B$868,K$4,'Policy Assignments'!$E$5:$E$868,"Core")&gt;0,"R",IF(COUNTIFS('Policy Assignments'!$C$5:$C$868,$A188,'Policy Assignments'!$B$5:$B$868,K$4,'Policy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L188" s="94" t="str">
        <x:f>IF(COUNTIFS('Policy Assignments'!$C$5:$C$868,$A188,'Policy Assignments'!$B$5:$B$868,L$4,'Policy Assignments'!$E$5:$E$868,"Hold")&gt;0,"H",IF(COUNTIFS('Policy Assignments'!$C$5:$C$868,$A188,'Policy Assignments'!$B$5:$B$868,L$4,'Policy Assignments'!$E$5:$E$868,"Core")&gt;0,"R",IF(COUNTIFS('Policy Assignments'!$C$5:$C$868,$A188,'Policy Assignments'!$B$5:$B$868,L$4,'Policy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c>
      <x:c r="M188" s="94" t="str">
        <x:f>IF(COUNTIFS('Policy Assignments'!$C$5:$C$868,$A188,'Policy Assignments'!$B$5:$B$868,M$4,'Policy Assignments'!$E$5:$E$868,"Hold")&gt;0,"H",IF(COUNTIFS('Policy Assignments'!$C$5:$C$868,$A188,'Policy Assignments'!$B$5:$B$868,M$4,'Policy Assignments'!$E$5:$E$868,"Core")&gt;0,"R",IF(COUNTIFS('Policy Assignments'!$C$5:$C$868,$A188,'Policy Assignments'!$B$5:$B$868,M$4,'Policy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v>R</x:v>
      </x:c>
      <x:c r="N188" s="94" t="str">
        <x:f>IF(COUNTIFS('Policy Assignments'!$C$5:$C$868,$A188,'Policy Assignments'!$B$5:$B$868,N$4,'Policy Assignments'!$E$5:$E$868,"Hold")&gt;0,"H",IF(COUNTIFS('Policy Assignments'!$C$5:$C$868,$A188,'Policy Assignments'!$B$5:$B$868,N$4,'Policy Assignments'!$E$5:$E$868,"Core")&gt;0,"R",IF(COUNTIFS('Policy Assignments'!$C$5:$C$868,$A188,'Policy Assignments'!$B$5:$B$868,N$4,'Policy Assignments'!$E$5:$E$868,"Conditional")&gt;0,"C",IF(COUNTIFS('Policy Assignments'!$C$5:$C$868,$A188,'Policy Assignments'!$B$5:$B$868,"General",'Policy Assignments'!$E$5:$E$868,"Hold")&gt;0,"H",IF(COUNTIFS('Policy Assignments'!$C$5:$C$868,$A188,'Policy Assignments'!$B$5:$B$868,"General",'Policy Assignments'!$E$5:$E$868,"Conditional")&gt;0,"C",IF(COUNTIFS('Policy Assignments'!$C$5:$C$868,$A188,'Policy Assignments'!$B$5:$B$868,"General")&gt;0,"G",""))))))</x:f>
        <x:v>R</x:v>
      </x:c>
      <x:c r="O188" s="94" t="str">
        <x:f>IF(COUNTIFS('Policy Assignments'!$C$5:$C$868,$A188,'Policy Assignments'!$B$5:$B$868,O$4,'Policy Assignments'!$E$5:$E$868,"Hold")&gt;0,"H",IF(COUNTIFS('Policy Assignments'!$C$5:$C$868,$A188,'Policy Assignments'!$B$5:$B$868,O$4,'Policy Assignments'!$E$5:$E$868,"Core")&gt;0,"R",IF(COUNTIFS('Policy Assignments'!$C$5:$C$868,$A188,'Policy Assignments'!$B$5:$B$868,O$4,'Policy Assignments'!$E$5:$E$868,"Conditional")&gt;0,"C","")))</x:f>
        <x:v>R</x:v>
      </x:c>
      <x:c r="P188" s="90" t="str">
        <x:v>Mapped</x:v>
      </x:c>
    </x:row>
    <x:row r="189" ht="22" customHeight="1">
      <x:c r="A189" s="90" t="str">
        <x:v>QA-PI-001</x:v>
      </x:c>
      <x:c r="B189" s="90" t="str">
        <x:v>Performance Improvement Project Management</x:v>
      </x:c>
      <x:c r="C189" s="94" t="str">
        <x:f>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D189" s="94" t="str">
        <x:f>IF(COUNTIFS('Policy Assignments'!$C$5:$C$868,$A189,'Policy Assignments'!$B$5:$B$868,D$4,'Policy Assignments'!$E$5:$E$868,"Hold")&gt;0,"H",IF(COUNTIFS('Policy Assignments'!$C$5:$C$868,$A189,'Policy Assignments'!$B$5:$B$868,D$4,'Policy Assignments'!$E$5:$E$868,"Core")&gt;0,"R",IF(COUNTIFS('Policy Assignments'!$C$5:$C$868,$A189,'Policy Assignments'!$B$5:$B$868,D$4,'Policy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E189" s="94" t="str">
        <x:f>IF(COUNTIFS('Policy Assignments'!$C$5:$C$868,$A189,'Policy Assignments'!$B$5:$B$868,E$4,'Policy Assignments'!$E$5:$E$868,"Hold")&gt;0,"H",IF(COUNTIFS('Policy Assignments'!$C$5:$C$868,$A189,'Policy Assignments'!$B$5:$B$868,E$4,'Policy Assignments'!$E$5:$E$868,"Core")&gt;0,"R",IF(COUNTIFS('Policy Assignments'!$C$5:$C$868,$A189,'Policy Assignments'!$B$5:$B$868,E$4,'Policy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F189" s="94" t="str">
        <x:f>IF(COUNTIFS('Policy Assignments'!$C$5:$C$868,$A189,'Policy Assignments'!$B$5:$B$868,F$4,'Policy Assignments'!$E$5:$E$868,"Hold")&gt;0,"H",IF(COUNTIFS('Policy Assignments'!$C$5:$C$868,$A189,'Policy Assignments'!$B$5:$B$868,F$4,'Policy Assignments'!$E$5:$E$868,"Core")&gt;0,"R",IF(COUNTIFS('Policy Assignments'!$C$5:$C$868,$A189,'Policy Assignments'!$B$5:$B$868,F$4,'Policy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G189" s="94" t="str">
        <x:f>IF(COUNTIFS('Policy Assignments'!$C$5:$C$868,$A189,'Policy Assignments'!$B$5:$B$868,G$4,'Policy Assignments'!$E$5:$E$868,"Hold")&gt;0,"H",IF(COUNTIFS('Policy Assignments'!$C$5:$C$868,$A189,'Policy Assignments'!$B$5:$B$868,G$4,'Policy Assignments'!$E$5:$E$868,"Core")&gt;0,"R",IF(COUNTIFS('Policy Assignments'!$C$5:$C$868,$A189,'Policy Assignments'!$B$5:$B$868,G$4,'Policy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H189" s="94" t="str">
        <x:f>IF(COUNTIFS('Policy Assignments'!$C$5:$C$868,$A189,'Policy Assignments'!$B$5:$B$868,H$4,'Policy Assignments'!$E$5:$E$868,"Hold")&gt;0,"H",IF(COUNTIFS('Policy Assignments'!$C$5:$C$868,$A189,'Policy Assignments'!$B$5:$B$868,H$4,'Policy Assignments'!$E$5:$E$868,"Core")&gt;0,"R",IF(COUNTIFS('Policy Assignments'!$C$5:$C$868,$A189,'Policy Assignments'!$B$5:$B$868,H$4,'Policy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I189" s="94" t="str">
        <x:f>IF(COUNTIFS('Policy Assignments'!$C$5:$C$868,$A189,'Policy Assignments'!$B$5:$B$868,I$4,'Policy Assignments'!$E$5:$E$868,"Hold")&gt;0,"H",IF(COUNTIFS('Policy Assignments'!$C$5:$C$868,$A189,'Policy Assignments'!$B$5:$B$868,I$4,'Policy Assignments'!$E$5:$E$868,"Core")&gt;0,"R",IF(COUNTIFS('Policy Assignments'!$C$5:$C$868,$A189,'Policy Assignments'!$B$5:$B$868,I$4,'Policy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J189" s="94" t="str">
        <x:f>IF(COUNTIFS('Policy Assignments'!$C$5:$C$868,$A189,'Policy Assignments'!$B$5:$B$868,J$4,'Policy Assignments'!$E$5:$E$868,"Hold")&gt;0,"H",IF(COUNTIFS('Policy Assignments'!$C$5:$C$868,$A189,'Policy Assignments'!$B$5:$B$868,J$4,'Policy Assignments'!$E$5:$E$868,"Core")&gt;0,"R",IF(COUNTIFS('Policy Assignments'!$C$5:$C$868,$A189,'Policy Assignments'!$B$5:$B$868,J$4,'Policy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K189" s="94" t="str">
        <x:f>IF(COUNTIFS('Policy Assignments'!$C$5:$C$868,$A189,'Policy Assignments'!$B$5:$B$868,K$4,'Policy Assignments'!$E$5:$E$868,"Hold")&gt;0,"H",IF(COUNTIFS('Policy Assignments'!$C$5:$C$868,$A189,'Policy Assignments'!$B$5:$B$868,K$4,'Policy Assignments'!$E$5:$E$868,"Core")&gt;0,"R",IF(COUNTIFS('Policy Assignments'!$C$5:$C$868,$A189,'Policy Assignments'!$B$5:$B$868,K$4,'Policy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L189" s="94" t="str">
        <x:f>IF(COUNTIFS('Policy Assignments'!$C$5:$C$868,$A189,'Policy Assignments'!$B$5:$B$868,L$4,'Policy Assignments'!$E$5:$E$868,"Hold")&gt;0,"H",IF(COUNTIFS('Policy Assignments'!$C$5:$C$868,$A189,'Policy Assignments'!$B$5:$B$868,L$4,'Policy Assignments'!$E$5:$E$868,"Core")&gt;0,"R",IF(COUNTIFS('Policy Assignments'!$C$5:$C$868,$A189,'Policy Assignments'!$B$5:$B$868,L$4,'Policy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c>
      <x:c r="M189" s="94" t="str">
        <x:f>IF(COUNTIFS('Policy Assignments'!$C$5:$C$868,$A189,'Policy Assignments'!$B$5:$B$868,M$4,'Policy Assignments'!$E$5:$E$868,"Hold")&gt;0,"H",IF(COUNTIFS('Policy Assignments'!$C$5:$C$868,$A189,'Policy Assignments'!$B$5:$B$868,M$4,'Policy Assignments'!$E$5:$E$868,"Core")&gt;0,"R",IF(COUNTIFS('Policy Assignments'!$C$5:$C$868,$A189,'Policy Assignments'!$B$5:$B$868,M$4,'Policy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v>R</x:v>
      </x:c>
      <x:c r="N189" s="94" t="str">
        <x:f>IF(COUNTIFS('Policy Assignments'!$C$5:$C$868,$A189,'Policy Assignments'!$B$5:$B$868,N$4,'Policy Assignments'!$E$5:$E$868,"Hold")&gt;0,"H",IF(COUNTIFS('Policy Assignments'!$C$5:$C$868,$A189,'Policy Assignments'!$B$5:$B$868,N$4,'Policy Assignments'!$E$5:$E$868,"Core")&gt;0,"R",IF(COUNTIFS('Policy Assignments'!$C$5:$C$868,$A189,'Policy Assignments'!$B$5:$B$868,N$4,'Policy Assignments'!$E$5:$E$868,"Conditional")&gt;0,"C",IF(COUNTIFS('Policy Assignments'!$C$5:$C$868,$A189,'Policy Assignments'!$B$5:$B$868,"General",'Policy Assignments'!$E$5:$E$868,"Hold")&gt;0,"H",IF(COUNTIFS('Policy Assignments'!$C$5:$C$868,$A189,'Policy Assignments'!$B$5:$B$868,"General",'Policy Assignments'!$E$5:$E$868,"Conditional")&gt;0,"C",IF(COUNTIFS('Policy Assignments'!$C$5:$C$868,$A189,'Policy Assignments'!$B$5:$B$868,"General")&gt;0,"G",""))))))</x:f>
        <x:v>R</x:v>
      </x:c>
      <x:c r="O189" s="94" t="str">
        <x:f>IF(COUNTIFS('Policy Assignments'!$C$5:$C$868,$A189,'Policy Assignments'!$B$5:$B$868,O$4,'Policy Assignments'!$E$5:$E$868,"Hold")&gt;0,"H",IF(COUNTIFS('Policy Assignments'!$C$5:$C$868,$A189,'Policy Assignments'!$B$5:$B$868,O$4,'Policy Assignments'!$E$5:$E$868,"Core")&gt;0,"R",IF(COUNTIFS('Policy Assignments'!$C$5:$C$868,$A189,'Policy Assignments'!$B$5:$B$868,O$4,'Policy Assignments'!$E$5:$E$868,"Conditional")&gt;0,"C","")))</x:f>
        <x:v>R</x:v>
      </x:c>
      <x:c r="P189" s="90" t="str">
        <x:v>Mapped</x:v>
      </x:c>
    </x:row>
    <x:row r="190" ht="22" customHeight="1">
      <x:c r="A190" s="90" t="str">
        <x:v>QA-PI-002</x:v>
      </x:c>
      <x:c r="B190" s="90" t="str">
        <x:v>Quality Indicator Monitoring &amp; Reporting</x:v>
      </x:c>
      <x:c r="C190" s="94" t="str">
        <x:f>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D190" s="94" t="str">
        <x:f>IF(COUNTIFS('Policy Assignments'!$C$5:$C$868,$A190,'Policy Assignments'!$B$5:$B$868,D$4,'Policy Assignments'!$E$5:$E$868,"Hold")&gt;0,"H",IF(COUNTIFS('Policy Assignments'!$C$5:$C$868,$A190,'Policy Assignments'!$B$5:$B$868,D$4,'Policy Assignments'!$E$5:$E$868,"Core")&gt;0,"R",IF(COUNTIFS('Policy Assignments'!$C$5:$C$868,$A190,'Policy Assignments'!$B$5:$B$868,D$4,'Policy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E190" s="94" t="str">
        <x:f>IF(COUNTIFS('Policy Assignments'!$C$5:$C$868,$A190,'Policy Assignments'!$B$5:$B$868,E$4,'Policy Assignments'!$E$5:$E$868,"Hold")&gt;0,"H",IF(COUNTIFS('Policy Assignments'!$C$5:$C$868,$A190,'Policy Assignments'!$B$5:$B$868,E$4,'Policy Assignments'!$E$5:$E$868,"Core")&gt;0,"R",IF(COUNTIFS('Policy Assignments'!$C$5:$C$868,$A190,'Policy Assignments'!$B$5:$B$868,E$4,'Policy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F190" s="94" t="str">
        <x:f>IF(COUNTIFS('Policy Assignments'!$C$5:$C$868,$A190,'Policy Assignments'!$B$5:$B$868,F$4,'Policy Assignments'!$E$5:$E$868,"Hold")&gt;0,"H",IF(COUNTIFS('Policy Assignments'!$C$5:$C$868,$A190,'Policy Assignments'!$B$5:$B$868,F$4,'Policy Assignments'!$E$5:$E$868,"Core")&gt;0,"R",IF(COUNTIFS('Policy Assignments'!$C$5:$C$868,$A190,'Policy Assignments'!$B$5:$B$868,F$4,'Policy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G190" s="94" t="str">
        <x:f>IF(COUNTIFS('Policy Assignments'!$C$5:$C$868,$A190,'Policy Assignments'!$B$5:$B$868,G$4,'Policy Assignments'!$E$5:$E$868,"Hold")&gt;0,"H",IF(COUNTIFS('Policy Assignments'!$C$5:$C$868,$A190,'Policy Assignments'!$B$5:$B$868,G$4,'Policy Assignments'!$E$5:$E$868,"Core")&gt;0,"R",IF(COUNTIFS('Policy Assignments'!$C$5:$C$868,$A190,'Policy Assignments'!$B$5:$B$868,G$4,'Policy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H190" s="94" t="str">
        <x:f>IF(COUNTIFS('Policy Assignments'!$C$5:$C$868,$A190,'Policy Assignments'!$B$5:$B$868,H$4,'Policy Assignments'!$E$5:$E$868,"Hold")&gt;0,"H",IF(COUNTIFS('Policy Assignments'!$C$5:$C$868,$A190,'Policy Assignments'!$B$5:$B$868,H$4,'Policy Assignments'!$E$5:$E$868,"Core")&gt;0,"R",IF(COUNTIFS('Policy Assignments'!$C$5:$C$868,$A190,'Policy Assignments'!$B$5:$B$868,H$4,'Policy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I190" s="94" t="str">
        <x:f>IF(COUNTIFS('Policy Assignments'!$C$5:$C$868,$A190,'Policy Assignments'!$B$5:$B$868,I$4,'Policy Assignments'!$E$5:$E$868,"Hold")&gt;0,"H",IF(COUNTIFS('Policy Assignments'!$C$5:$C$868,$A190,'Policy Assignments'!$B$5:$B$868,I$4,'Policy Assignments'!$E$5:$E$868,"Core")&gt;0,"R",IF(COUNTIFS('Policy Assignments'!$C$5:$C$868,$A190,'Policy Assignments'!$B$5:$B$868,I$4,'Policy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J190" s="94" t="str">
        <x:f>IF(COUNTIFS('Policy Assignments'!$C$5:$C$868,$A190,'Policy Assignments'!$B$5:$B$868,J$4,'Policy Assignments'!$E$5:$E$868,"Hold")&gt;0,"H",IF(COUNTIFS('Policy Assignments'!$C$5:$C$868,$A190,'Policy Assignments'!$B$5:$B$868,J$4,'Policy Assignments'!$E$5:$E$868,"Core")&gt;0,"R",IF(COUNTIFS('Policy Assignments'!$C$5:$C$868,$A190,'Policy Assignments'!$B$5:$B$868,J$4,'Policy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K190" s="94" t="str">
        <x:f>IF(COUNTIFS('Policy Assignments'!$C$5:$C$868,$A190,'Policy Assignments'!$B$5:$B$868,K$4,'Policy Assignments'!$E$5:$E$868,"Hold")&gt;0,"H",IF(COUNTIFS('Policy Assignments'!$C$5:$C$868,$A190,'Policy Assignments'!$B$5:$B$868,K$4,'Policy Assignments'!$E$5:$E$868,"Core")&gt;0,"R",IF(COUNTIFS('Policy Assignments'!$C$5:$C$868,$A190,'Policy Assignments'!$B$5:$B$868,K$4,'Policy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L190" s="94" t="str">
        <x:f>IF(COUNTIFS('Policy Assignments'!$C$5:$C$868,$A190,'Policy Assignments'!$B$5:$B$868,L$4,'Policy Assignments'!$E$5:$E$868,"Hold")&gt;0,"H",IF(COUNTIFS('Policy Assignments'!$C$5:$C$868,$A190,'Policy Assignments'!$B$5:$B$868,L$4,'Policy Assignments'!$E$5:$E$868,"Core")&gt;0,"R",IF(COUNTIFS('Policy Assignments'!$C$5:$C$868,$A190,'Policy Assignments'!$B$5:$B$868,L$4,'Policy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c>
      <x:c r="M190" s="94" t="str">
        <x:f>IF(COUNTIFS('Policy Assignments'!$C$5:$C$868,$A190,'Policy Assignments'!$B$5:$B$868,M$4,'Policy Assignments'!$E$5:$E$868,"Hold")&gt;0,"H",IF(COUNTIFS('Policy Assignments'!$C$5:$C$868,$A190,'Policy Assignments'!$B$5:$B$868,M$4,'Policy Assignments'!$E$5:$E$868,"Core")&gt;0,"R",IF(COUNTIFS('Policy Assignments'!$C$5:$C$868,$A190,'Policy Assignments'!$B$5:$B$868,M$4,'Policy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v>R</x:v>
      </x:c>
      <x:c r="N190" s="94" t="str">
        <x:f>IF(COUNTIFS('Policy Assignments'!$C$5:$C$868,$A190,'Policy Assignments'!$B$5:$B$868,N$4,'Policy Assignments'!$E$5:$E$868,"Hold")&gt;0,"H",IF(COUNTIFS('Policy Assignments'!$C$5:$C$868,$A190,'Policy Assignments'!$B$5:$B$868,N$4,'Policy Assignments'!$E$5:$E$868,"Core")&gt;0,"R",IF(COUNTIFS('Policy Assignments'!$C$5:$C$868,$A190,'Policy Assignments'!$B$5:$B$868,N$4,'Policy Assignments'!$E$5:$E$868,"Conditional")&gt;0,"C",IF(COUNTIFS('Policy Assignments'!$C$5:$C$868,$A190,'Policy Assignments'!$B$5:$B$868,"General",'Policy Assignments'!$E$5:$E$868,"Hold")&gt;0,"H",IF(COUNTIFS('Policy Assignments'!$C$5:$C$868,$A190,'Policy Assignments'!$B$5:$B$868,"General",'Policy Assignments'!$E$5:$E$868,"Conditional")&gt;0,"C",IF(COUNTIFS('Policy Assignments'!$C$5:$C$868,$A190,'Policy Assignments'!$B$5:$B$868,"General")&gt;0,"G",""))))))</x:f>
        <x:v>R</x:v>
      </x:c>
      <x:c r="O190" s="94" t="str">
        <x:f>IF(COUNTIFS('Policy Assignments'!$C$5:$C$868,$A190,'Policy Assignments'!$B$5:$B$868,O$4,'Policy Assignments'!$E$5:$E$868,"Hold")&gt;0,"H",IF(COUNTIFS('Policy Assignments'!$C$5:$C$868,$A190,'Policy Assignments'!$B$5:$B$868,O$4,'Policy Assignments'!$E$5:$E$868,"Core")&gt;0,"R",IF(COUNTIFS('Policy Assignments'!$C$5:$C$868,$A190,'Policy Assignments'!$B$5:$B$868,O$4,'Policy Assignments'!$E$5:$E$868,"Conditional")&gt;0,"C","")))</x:f>
        <x:v>R</x:v>
      </x:c>
      <x:c r="P190" s="90" t="str">
        <x:v>Mapped</x:v>
      </x:c>
    </x:row>
    <x:row r="191" ht="22" customHeight="1">
      <x:c r="A191" s="90" t="str">
        <x:v>QA-PI-003</x:v>
      </x:c>
      <x:c r="B191" s="90" t="str">
        <x:v>Clinical Outcome Benchmarking</x:v>
      </x:c>
      <x:c r="C191" s="94" t="str">
        <x:f>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D191" s="94" t="str">
        <x:f>IF(COUNTIFS('Policy Assignments'!$C$5:$C$868,$A191,'Policy Assignments'!$B$5:$B$868,D$4,'Policy Assignments'!$E$5:$E$868,"Hold")&gt;0,"H",IF(COUNTIFS('Policy Assignments'!$C$5:$C$868,$A191,'Policy Assignments'!$B$5:$B$868,D$4,'Policy Assignments'!$E$5:$E$868,"Core")&gt;0,"R",IF(COUNTIFS('Policy Assignments'!$C$5:$C$868,$A191,'Policy Assignments'!$B$5:$B$868,D$4,'Policy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E191" s="94" t="str">
        <x:f>IF(COUNTIFS('Policy Assignments'!$C$5:$C$868,$A191,'Policy Assignments'!$B$5:$B$868,E$4,'Policy Assignments'!$E$5:$E$868,"Hold")&gt;0,"H",IF(COUNTIFS('Policy Assignments'!$C$5:$C$868,$A191,'Policy Assignments'!$B$5:$B$868,E$4,'Policy Assignments'!$E$5:$E$868,"Core")&gt;0,"R",IF(COUNTIFS('Policy Assignments'!$C$5:$C$868,$A191,'Policy Assignments'!$B$5:$B$868,E$4,'Policy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F191" s="94" t="str">
        <x:f>IF(COUNTIFS('Policy Assignments'!$C$5:$C$868,$A191,'Policy Assignments'!$B$5:$B$868,F$4,'Policy Assignments'!$E$5:$E$868,"Hold")&gt;0,"H",IF(COUNTIFS('Policy Assignments'!$C$5:$C$868,$A191,'Policy Assignments'!$B$5:$B$868,F$4,'Policy Assignments'!$E$5:$E$868,"Core")&gt;0,"R",IF(COUNTIFS('Policy Assignments'!$C$5:$C$868,$A191,'Policy Assignments'!$B$5:$B$868,F$4,'Policy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G191" s="94" t="str">
        <x:f>IF(COUNTIFS('Policy Assignments'!$C$5:$C$868,$A191,'Policy Assignments'!$B$5:$B$868,G$4,'Policy Assignments'!$E$5:$E$868,"Hold")&gt;0,"H",IF(COUNTIFS('Policy Assignments'!$C$5:$C$868,$A191,'Policy Assignments'!$B$5:$B$868,G$4,'Policy Assignments'!$E$5:$E$868,"Core")&gt;0,"R",IF(COUNTIFS('Policy Assignments'!$C$5:$C$868,$A191,'Policy Assignments'!$B$5:$B$868,G$4,'Policy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H191" s="94" t="str">
        <x:f>IF(COUNTIFS('Policy Assignments'!$C$5:$C$868,$A191,'Policy Assignments'!$B$5:$B$868,H$4,'Policy Assignments'!$E$5:$E$868,"Hold")&gt;0,"H",IF(COUNTIFS('Policy Assignments'!$C$5:$C$868,$A191,'Policy Assignments'!$B$5:$B$868,H$4,'Policy Assignments'!$E$5:$E$868,"Core")&gt;0,"R",IF(COUNTIFS('Policy Assignments'!$C$5:$C$868,$A191,'Policy Assignments'!$B$5:$B$868,H$4,'Policy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I191" s="94" t="str">
        <x:f>IF(COUNTIFS('Policy Assignments'!$C$5:$C$868,$A191,'Policy Assignments'!$B$5:$B$868,I$4,'Policy Assignments'!$E$5:$E$868,"Hold")&gt;0,"H",IF(COUNTIFS('Policy Assignments'!$C$5:$C$868,$A191,'Policy Assignments'!$B$5:$B$868,I$4,'Policy Assignments'!$E$5:$E$868,"Core")&gt;0,"R",IF(COUNTIFS('Policy Assignments'!$C$5:$C$868,$A191,'Policy Assignments'!$B$5:$B$868,I$4,'Policy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J191" s="94" t="str">
        <x:f>IF(COUNTIFS('Policy Assignments'!$C$5:$C$868,$A191,'Policy Assignments'!$B$5:$B$868,J$4,'Policy Assignments'!$E$5:$E$868,"Hold")&gt;0,"H",IF(COUNTIFS('Policy Assignments'!$C$5:$C$868,$A191,'Policy Assignments'!$B$5:$B$868,J$4,'Policy Assignments'!$E$5:$E$868,"Core")&gt;0,"R",IF(COUNTIFS('Policy Assignments'!$C$5:$C$868,$A191,'Policy Assignments'!$B$5:$B$868,J$4,'Policy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K191" s="94" t="str">
        <x:f>IF(COUNTIFS('Policy Assignments'!$C$5:$C$868,$A191,'Policy Assignments'!$B$5:$B$868,K$4,'Policy Assignments'!$E$5:$E$868,"Hold")&gt;0,"H",IF(COUNTIFS('Policy Assignments'!$C$5:$C$868,$A191,'Policy Assignments'!$B$5:$B$868,K$4,'Policy Assignments'!$E$5:$E$868,"Core")&gt;0,"R",IF(COUNTIFS('Policy Assignments'!$C$5:$C$868,$A191,'Policy Assignments'!$B$5:$B$868,K$4,'Policy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L191" s="94" t="str">
        <x:f>IF(COUNTIFS('Policy Assignments'!$C$5:$C$868,$A191,'Policy Assignments'!$B$5:$B$868,L$4,'Policy Assignments'!$E$5:$E$868,"Hold")&gt;0,"H",IF(COUNTIFS('Policy Assignments'!$C$5:$C$868,$A191,'Policy Assignments'!$B$5:$B$868,L$4,'Policy Assignments'!$E$5:$E$868,"Core")&gt;0,"R",IF(COUNTIFS('Policy Assignments'!$C$5:$C$868,$A191,'Policy Assignments'!$B$5:$B$868,L$4,'Policy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c>
      <x:c r="M191" s="94" t="str">
        <x:f>IF(COUNTIFS('Policy Assignments'!$C$5:$C$868,$A191,'Policy Assignments'!$B$5:$B$868,M$4,'Policy Assignments'!$E$5:$E$868,"Hold")&gt;0,"H",IF(COUNTIFS('Policy Assignments'!$C$5:$C$868,$A191,'Policy Assignments'!$B$5:$B$868,M$4,'Policy Assignments'!$E$5:$E$868,"Core")&gt;0,"R",IF(COUNTIFS('Policy Assignments'!$C$5:$C$868,$A191,'Policy Assignments'!$B$5:$B$868,M$4,'Policy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v>R</x:v>
      </x:c>
      <x:c r="N191" s="94" t="str">
        <x:f>IF(COUNTIFS('Policy Assignments'!$C$5:$C$868,$A191,'Policy Assignments'!$B$5:$B$868,N$4,'Policy Assignments'!$E$5:$E$868,"Hold")&gt;0,"H",IF(COUNTIFS('Policy Assignments'!$C$5:$C$868,$A191,'Policy Assignments'!$B$5:$B$868,N$4,'Policy Assignments'!$E$5:$E$868,"Core")&gt;0,"R",IF(COUNTIFS('Policy Assignments'!$C$5:$C$868,$A191,'Policy Assignments'!$B$5:$B$868,N$4,'Policy Assignments'!$E$5:$E$868,"Conditional")&gt;0,"C",IF(COUNTIFS('Policy Assignments'!$C$5:$C$868,$A191,'Policy Assignments'!$B$5:$B$868,"General",'Policy Assignments'!$E$5:$E$868,"Hold")&gt;0,"H",IF(COUNTIFS('Policy Assignments'!$C$5:$C$868,$A191,'Policy Assignments'!$B$5:$B$868,"General",'Policy Assignments'!$E$5:$E$868,"Conditional")&gt;0,"C",IF(COUNTIFS('Policy Assignments'!$C$5:$C$868,$A191,'Policy Assignments'!$B$5:$B$868,"General")&gt;0,"G",""))))))</x:f>
        <x:v>R</x:v>
      </x:c>
      <x:c r="O191" s="94" t="str">
        <x:f>IF(COUNTIFS('Policy Assignments'!$C$5:$C$868,$A191,'Policy Assignments'!$B$5:$B$868,O$4,'Policy Assignments'!$E$5:$E$868,"Hold")&gt;0,"H",IF(COUNTIFS('Policy Assignments'!$C$5:$C$868,$A191,'Policy Assignments'!$B$5:$B$868,O$4,'Policy Assignments'!$E$5:$E$868,"Core")&gt;0,"R",IF(COUNTIFS('Policy Assignments'!$C$5:$C$868,$A191,'Policy Assignments'!$B$5:$B$868,O$4,'Policy Assignments'!$E$5:$E$868,"Conditional")&gt;0,"C","")))</x:f>
      </x:c>
      <x:c r="P191" s="90" t="str">
        <x:v>Mapped</x:v>
      </x:c>
    </x:row>
    <x:row r="192" ht="22" customHeight="1">
      <x:c r="A192" s="90" t="str">
        <x:v>QA-PI-004</x:v>
      </x:c>
      <x:c r="B192" s="90" t="str">
        <x:v>Data-Driven Decision Making</x:v>
      </x:c>
      <x:c r="C192" s="94" t="str">
        <x:f>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D192" s="94" t="str">
        <x:f>IF(COUNTIFS('Policy Assignments'!$C$5:$C$868,$A192,'Policy Assignments'!$B$5:$B$868,D$4,'Policy Assignments'!$E$5:$E$868,"Hold")&gt;0,"H",IF(COUNTIFS('Policy Assignments'!$C$5:$C$868,$A192,'Policy Assignments'!$B$5:$B$868,D$4,'Policy Assignments'!$E$5:$E$868,"Core")&gt;0,"R",IF(COUNTIFS('Policy Assignments'!$C$5:$C$868,$A192,'Policy Assignments'!$B$5:$B$868,D$4,'Policy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E192" s="94" t="str">
        <x:f>IF(COUNTIFS('Policy Assignments'!$C$5:$C$868,$A192,'Policy Assignments'!$B$5:$B$868,E$4,'Policy Assignments'!$E$5:$E$868,"Hold")&gt;0,"H",IF(COUNTIFS('Policy Assignments'!$C$5:$C$868,$A192,'Policy Assignments'!$B$5:$B$868,E$4,'Policy Assignments'!$E$5:$E$868,"Core")&gt;0,"R",IF(COUNTIFS('Policy Assignments'!$C$5:$C$868,$A192,'Policy Assignments'!$B$5:$B$868,E$4,'Policy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F192" s="94" t="str">
        <x:f>IF(COUNTIFS('Policy Assignments'!$C$5:$C$868,$A192,'Policy Assignments'!$B$5:$B$868,F$4,'Policy Assignments'!$E$5:$E$868,"Hold")&gt;0,"H",IF(COUNTIFS('Policy Assignments'!$C$5:$C$868,$A192,'Policy Assignments'!$B$5:$B$868,F$4,'Policy Assignments'!$E$5:$E$868,"Core")&gt;0,"R",IF(COUNTIFS('Policy Assignments'!$C$5:$C$868,$A192,'Policy Assignments'!$B$5:$B$868,F$4,'Policy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G192" s="94" t="str">
        <x:f>IF(COUNTIFS('Policy Assignments'!$C$5:$C$868,$A192,'Policy Assignments'!$B$5:$B$868,G$4,'Policy Assignments'!$E$5:$E$868,"Hold")&gt;0,"H",IF(COUNTIFS('Policy Assignments'!$C$5:$C$868,$A192,'Policy Assignments'!$B$5:$B$868,G$4,'Policy Assignments'!$E$5:$E$868,"Core")&gt;0,"R",IF(COUNTIFS('Policy Assignments'!$C$5:$C$868,$A192,'Policy Assignments'!$B$5:$B$868,G$4,'Policy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H192" s="94" t="str">
        <x:f>IF(COUNTIFS('Policy Assignments'!$C$5:$C$868,$A192,'Policy Assignments'!$B$5:$B$868,H$4,'Policy Assignments'!$E$5:$E$868,"Hold")&gt;0,"H",IF(COUNTIFS('Policy Assignments'!$C$5:$C$868,$A192,'Policy Assignments'!$B$5:$B$868,H$4,'Policy Assignments'!$E$5:$E$868,"Core")&gt;0,"R",IF(COUNTIFS('Policy Assignments'!$C$5:$C$868,$A192,'Policy Assignments'!$B$5:$B$868,H$4,'Policy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I192" s="94" t="str">
        <x:f>IF(COUNTIFS('Policy Assignments'!$C$5:$C$868,$A192,'Policy Assignments'!$B$5:$B$868,I$4,'Policy Assignments'!$E$5:$E$868,"Hold")&gt;0,"H",IF(COUNTIFS('Policy Assignments'!$C$5:$C$868,$A192,'Policy Assignments'!$B$5:$B$868,I$4,'Policy Assignments'!$E$5:$E$868,"Core")&gt;0,"R",IF(COUNTIFS('Policy Assignments'!$C$5:$C$868,$A192,'Policy Assignments'!$B$5:$B$868,I$4,'Policy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J192" s="94" t="str">
        <x:f>IF(COUNTIFS('Policy Assignments'!$C$5:$C$868,$A192,'Policy Assignments'!$B$5:$B$868,J$4,'Policy Assignments'!$E$5:$E$868,"Hold")&gt;0,"H",IF(COUNTIFS('Policy Assignments'!$C$5:$C$868,$A192,'Policy Assignments'!$B$5:$B$868,J$4,'Policy Assignments'!$E$5:$E$868,"Core")&gt;0,"R",IF(COUNTIFS('Policy Assignments'!$C$5:$C$868,$A192,'Policy Assignments'!$B$5:$B$868,J$4,'Policy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K192" s="94" t="str">
        <x:f>IF(COUNTIFS('Policy Assignments'!$C$5:$C$868,$A192,'Policy Assignments'!$B$5:$B$868,K$4,'Policy Assignments'!$E$5:$E$868,"Hold")&gt;0,"H",IF(COUNTIFS('Policy Assignments'!$C$5:$C$868,$A192,'Policy Assignments'!$B$5:$B$868,K$4,'Policy Assignments'!$E$5:$E$868,"Core")&gt;0,"R",IF(COUNTIFS('Policy Assignments'!$C$5:$C$868,$A192,'Policy Assignments'!$B$5:$B$868,K$4,'Policy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L192" s="94" t="str">
        <x:f>IF(COUNTIFS('Policy Assignments'!$C$5:$C$868,$A192,'Policy Assignments'!$B$5:$B$868,L$4,'Policy Assignments'!$E$5:$E$868,"Hold")&gt;0,"H",IF(COUNTIFS('Policy Assignments'!$C$5:$C$868,$A192,'Policy Assignments'!$B$5:$B$868,L$4,'Policy Assignments'!$E$5:$E$868,"Core")&gt;0,"R",IF(COUNTIFS('Policy Assignments'!$C$5:$C$868,$A192,'Policy Assignments'!$B$5:$B$868,L$4,'Policy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G</x:v>
      </x:c>
      <x:c r="M192" s="94" t="str">
        <x:f>IF(COUNTIFS('Policy Assignments'!$C$5:$C$868,$A192,'Policy Assignments'!$B$5:$B$868,M$4,'Policy Assignments'!$E$5:$E$868,"Hold")&gt;0,"H",IF(COUNTIFS('Policy Assignments'!$C$5:$C$868,$A192,'Policy Assignments'!$B$5:$B$868,M$4,'Policy Assignments'!$E$5:$E$868,"Core")&gt;0,"R",IF(COUNTIFS('Policy Assignments'!$C$5:$C$868,$A192,'Policy Assignments'!$B$5:$B$868,M$4,'Policy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R</x:v>
      </x:c>
      <x:c r="N192" s="94" t="str">
        <x:f>IF(COUNTIFS('Policy Assignments'!$C$5:$C$868,$A192,'Policy Assignments'!$B$5:$B$868,N$4,'Policy Assignments'!$E$5:$E$868,"Hold")&gt;0,"H",IF(COUNTIFS('Policy Assignments'!$C$5:$C$868,$A192,'Policy Assignments'!$B$5:$B$868,N$4,'Policy Assignments'!$E$5:$E$868,"Core")&gt;0,"R",IF(COUNTIFS('Policy Assignments'!$C$5:$C$868,$A192,'Policy Assignments'!$B$5:$B$868,N$4,'Policy Assignments'!$E$5:$E$868,"Conditional")&gt;0,"C",IF(COUNTIFS('Policy Assignments'!$C$5:$C$868,$A192,'Policy Assignments'!$B$5:$B$868,"General",'Policy Assignments'!$E$5:$E$868,"Hold")&gt;0,"H",IF(COUNTIFS('Policy Assignments'!$C$5:$C$868,$A192,'Policy Assignments'!$B$5:$B$868,"General",'Policy Assignments'!$E$5:$E$868,"Conditional")&gt;0,"C",IF(COUNTIFS('Policy Assignments'!$C$5:$C$868,$A192,'Policy Assignments'!$B$5:$B$868,"General")&gt;0,"G",""))))))</x:f>
        <x:v>R</x:v>
      </x:c>
      <x:c r="O192" s="94" t="str">
        <x:f>IF(COUNTIFS('Policy Assignments'!$C$5:$C$868,$A192,'Policy Assignments'!$B$5:$B$868,O$4,'Policy Assignments'!$E$5:$E$868,"Hold")&gt;0,"H",IF(COUNTIFS('Policy Assignments'!$C$5:$C$868,$A192,'Policy Assignments'!$B$5:$B$868,O$4,'Policy Assignments'!$E$5:$E$868,"Core")&gt;0,"R",IF(COUNTIFS('Policy Assignments'!$C$5:$C$868,$A192,'Policy Assignments'!$B$5:$B$868,O$4,'Policy Assignments'!$E$5:$E$868,"Conditional")&gt;0,"C","")))</x:f>
        <x:v>R</x:v>
      </x:c>
      <x:c r="P192" s="90" t="str">
        <x:v>Mapped</x:v>
      </x:c>
    </x:row>
    <x:row r="193" ht="22" customHeight="1">
      <x:c r="A193" s="90" t="str">
        <x:v>QA-PI-005</x:v>
      </x:c>
      <x:c r="B193" s="90" t="str">
        <x:v>Staff Competency Integration with QAPI</x:v>
      </x:c>
      <x:c r="C193" s="94" t="str">
        <x:f>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D193" s="94" t="str">
        <x:f>IF(COUNTIFS('Policy Assignments'!$C$5:$C$868,$A193,'Policy Assignments'!$B$5:$B$868,D$4,'Policy Assignments'!$E$5:$E$868,"Hold")&gt;0,"H",IF(COUNTIFS('Policy Assignments'!$C$5:$C$868,$A193,'Policy Assignments'!$B$5:$B$868,D$4,'Policy Assignments'!$E$5:$E$868,"Core")&gt;0,"R",IF(COUNTIFS('Policy Assignments'!$C$5:$C$868,$A193,'Policy Assignments'!$B$5:$B$868,D$4,'Policy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E193" s="94" t="str">
        <x:f>IF(COUNTIFS('Policy Assignments'!$C$5:$C$868,$A193,'Policy Assignments'!$B$5:$B$868,E$4,'Policy Assignments'!$E$5:$E$868,"Hold")&gt;0,"H",IF(COUNTIFS('Policy Assignments'!$C$5:$C$868,$A193,'Policy Assignments'!$B$5:$B$868,E$4,'Policy Assignments'!$E$5:$E$868,"Core")&gt;0,"R",IF(COUNTIFS('Policy Assignments'!$C$5:$C$868,$A193,'Policy Assignments'!$B$5:$B$868,E$4,'Policy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v>R</x:v>
      </x:c>
      <x:c r="F193" s="94" t="str">
        <x:f>IF(COUNTIFS('Policy Assignments'!$C$5:$C$868,$A193,'Policy Assignments'!$B$5:$B$868,F$4,'Policy Assignments'!$E$5:$E$868,"Hold")&gt;0,"H",IF(COUNTIFS('Policy Assignments'!$C$5:$C$868,$A193,'Policy Assignments'!$B$5:$B$868,F$4,'Policy Assignments'!$E$5:$E$868,"Core")&gt;0,"R",IF(COUNTIFS('Policy Assignments'!$C$5:$C$868,$A193,'Policy Assignments'!$B$5:$B$868,F$4,'Policy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G193" s="94" t="str">
        <x:f>IF(COUNTIFS('Policy Assignments'!$C$5:$C$868,$A193,'Policy Assignments'!$B$5:$B$868,G$4,'Policy Assignments'!$E$5:$E$868,"Hold")&gt;0,"H",IF(COUNTIFS('Policy Assignments'!$C$5:$C$868,$A193,'Policy Assignments'!$B$5:$B$868,G$4,'Policy Assignments'!$E$5:$E$868,"Core")&gt;0,"R",IF(COUNTIFS('Policy Assignments'!$C$5:$C$868,$A193,'Policy Assignments'!$B$5:$B$868,G$4,'Policy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H193" s="94" t="str">
        <x:f>IF(COUNTIFS('Policy Assignments'!$C$5:$C$868,$A193,'Policy Assignments'!$B$5:$B$868,H$4,'Policy Assignments'!$E$5:$E$868,"Hold")&gt;0,"H",IF(COUNTIFS('Policy Assignments'!$C$5:$C$868,$A193,'Policy Assignments'!$B$5:$B$868,H$4,'Policy Assignments'!$E$5:$E$868,"Core")&gt;0,"R",IF(COUNTIFS('Policy Assignments'!$C$5:$C$868,$A193,'Policy Assignments'!$B$5:$B$868,H$4,'Policy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I193" s="94" t="str">
        <x:f>IF(COUNTIFS('Policy Assignments'!$C$5:$C$868,$A193,'Policy Assignments'!$B$5:$B$868,I$4,'Policy Assignments'!$E$5:$E$868,"Hold")&gt;0,"H",IF(COUNTIFS('Policy Assignments'!$C$5:$C$868,$A193,'Policy Assignments'!$B$5:$B$868,I$4,'Policy Assignments'!$E$5:$E$868,"Core")&gt;0,"R",IF(COUNTIFS('Policy Assignments'!$C$5:$C$868,$A193,'Policy Assignments'!$B$5:$B$868,I$4,'Policy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J193" s="94" t="str">
        <x:f>IF(COUNTIFS('Policy Assignments'!$C$5:$C$868,$A193,'Policy Assignments'!$B$5:$B$868,J$4,'Policy Assignments'!$E$5:$E$868,"Hold")&gt;0,"H",IF(COUNTIFS('Policy Assignments'!$C$5:$C$868,$A193,'Policy Assignments'!$B$5:$B$868,J$4,'Policy Assignments'!$E$5:$E$868,"Core")&gt;0,"R",IF(COUNTIFS('Policy Assignments'!$C$5:$C$868,$A193,'Policy Assignments'!$B$5:$B$868,J$4,'Policy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K193" s="94" t="str">
        <x:f>IF(COUNTIFS('Policy Assignments'!$C$5:$C$868,$A193,'Policy Assignments'!$B$5:$B$868,K$4,'Policy Assignments'!$E$5:$E$868,"Hold")&gt;0,"H",IF(COUNTIFS('Policy Assignments'!$C$5:$C$868,$A193,'Policy Assignments'!$B$5:$B$868,K$4,'Policy Assignments'!$E$5:$E$868,"Core")&gt;0,"R",IF(COUNTIFS('Policy Assignments'!$C$5:$C$868,$A193,'Policy Assignments'!$B$5:$B$868,K$4,'Policy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L193" s="94" t="str">
        <x:f>IF(COUNTIFS('Policy Assignments'!$C$5:$C$868,$A193,'Policy Assignments'!$B$5:$B$868,L$4,'Policy Assignments'!$E$5:$E$868,"Hold")&gt;0,"H",IF(COUNTIFS('Policy Assignments'!$C$5:$C$868,$A193,'Policy Assignments'!$B$5:$B$868,L$4,'Policy Assignments'!$E$5:$E$868,"Core")&gt;0,"R",IF(COUNTIFS('Policy Assignments'!$C$5:$C$868,$A193,'Policy Assignments'!$B$5:$B$868,L$4,'Policy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c>
      <x:c r="M193" s="94" t="str">
        <x:f>IF(COUNTIFS('Policy Assignments'!$C$5:$C$868,$A193,'Policy Assignments'!$B$5:$B$868,M$4,'Policy Assignments'!$E$5:$E$868,"Hold")&gt;0,"H",IF(COUNTIFS('Policy Assignments'!$C$5:$C$868,$A193,'Policy Assignments'!$B$5:$B$868,M$4,'Policy Assignments'!$E$5:$E$868,"Core")&gt;0,"R",IF(COUNTIFS('Policy Assignments'!$C$5:$C$868,$A193,'Policy Assignments'!$B$5:$B$868,M$4,'Policy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v>R</x:v>
      </x:c>
      <x:c r="N193" s="94" t="str">
        <x:f>IF(COUNTIFS('Policy Assignments'!$C$5:$C$868,$A193,'Policy Assignments'!$B$5:$B$868,N$4,'Policy Assignments'!$E$5:$E$868,"Hold")&gt;0,"H",IF(COUNTIFS('Policy Assignments'!$C$5:$C$868,$A193,'Policy Assignments'!$B$5:$B$868,N$4,'Policy Assignments'!$E$5:$E$868,"Core")&gt;0,"R",IF(COUNTIFS('Policy Assignments'!$C$5:$C$868,$A193,'Policy Assignments'!$B$5:$B$868,N$4,'Policy Assignments'!$E$5:$E$868,"Conditional")&gt;0,"C",IF(COUNTIFS('Policy Assignments'!$C$5:$C$868,$A193,'Policy Assignments'!$B$5:$B$868,"General",'Policy Assignments'!$E$5:$E$868,"Hold")&gt;0,"H",IF(COUNTIFS('Policy Assignments'!$C$5:$C$868,$A193,'Policy Assignments'!$B$5:$B$868,"General",'Policy Assignments'!$E$5:$E$868,"Conditional")&gt;0,"C",IF(COUNTIFS('Policy Assignments'!$C$5:$C$868,$A193,'Policy Assignments'!$B$5:$B$868,"General")&gt;0,"G",""))))))</x:f>
        <x:v>R</x:v>
      </x:c>
      <x:c r="O193" s="94" t="str">
        <x:f>IF(COUNTIFS('Policy Assignments'!$C$5:$C$868,$A193,'Policy Assignments'!$B$5:$B$868,O$4,'Policy Assignments'!$E$5:$E$868,"Hold")&gt;0,"H",IF(COUNTIFS('Policy Assignments'!$C$5:$C$868,$A193,'Policy Assignments'!$B$5:$B$868,O$4,'Policy Assignments'!$E$5:$E$868,"Core")&gt;0,"R",IF(COUNTIFS('Policy Assignments'!$C$5:$C$868,$A193,'Policy Assignments'!$B$5:$B$868,O$4,'Policy Assignments'!$E$5:$E$868,"Conditional")&gt;0,"C","")))</x:f>
      </x:c>
      <x:c r="P193" s="90" t="str">
        <x:v>Mapped</x:v>
      </x:c>
    </x:row>
    <x:row r="194" ht="22" customHeight="1">
      <x:c r="A194" s="90" t="str">
        <x:v>QA-PI-006</x:v>
      </x:c>
      <x:c r="B194" s="90" t="str">
        <x:v>Visit Utilization &amp; LUPA Risk Management Program</x:v>
      </x:c>
      <x:c r="C194" s="94" t="str">
        <x:f>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D194" s="94" t="str">
        <x:f>IF(COUNTIFS('Policy Assignments'!$C$5:$C$868,$A194,'Policy Assignments'!$B$5:$B$868,D$4,'Policy Assignments'!$E$5:$E$868,"Hold")&gt;0,"H",IF(COUNTIFS('Policy Assignments'!$C$5:$C$868,$A194,'Policy Assignments'!$B$5:$B$868,D$4,'Policy Assignments'!$E$5:$E$868,"Core")&gt;0,"R",IF(COUNTIFS('Policy Assignments'!$C$5:$C$868,$A194,'Policy Assignments'!$B$5:$B$868,D$4,'Policy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E194" s="94" t="str">
        <x:f>IF(COUNTIFS('Policy Assignments'!$C$5:$C$868,$A194,'Policy Assignments'!$B$5:$B$868,E$4,'Policy Assignments'!$E$5:$E$868,"Hold")&gt;0,"H",IF(COUNTIFS('Policy Assignments'!$C$5:$C$868,$A194,'Policy Assignments'!$B$5:$B$868,E$4,'Policy Assignments'!$E$5:$E$868,"Core")&gt;0,"R",IF(COUNTIFS('Policy Assignments'!$C$5:$C$868,$A194,'Policy Assignments'!$B$5:$B$868,E$4,'Policy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v>R</x:v>
      </x:c>
      <x:c r="F194" s="94" t="str">
        <x:f>IF(COUNTIFS('Policy Assignments'!$C$5:$C$868,$A194,'Policy Assignments'!$B$5:$B$868,F$4,'Policy Assignments'!$E$5:$E$868,"Hold")&gt;0,"H",IF(COUNTIFS('Policy Assignments'!$C$5:$C$868,$A194,'Policy Assignments'!$B$5:$B$868,F$4,'Policy Assignments'!$E$5:$E$868,"Core")&gt;0,"R",IF(COUNTIFS('Policy Assignments'!$C$5:$C$868,$A194,'Policy Assignments'!$B$5:$B$868,F$4,'Policy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G194" s="94" t="str">
        <x:f>IF(COUNTIFS('Policy Assignments'!$C$5:$C$868,$A194,'Policy Assignments'!$B$5:$B$868,G$4,'Policy Assignments'!$E$5:$E$868,"Hold")&gt;0,"H",IF(COUNTIFS('Policy Assignments'!$C$5:$C$868,$A194,'Policy Assignments'!$B$5:$B$868,G$4,'Policy Assignments'!$E$5:$E$868,"Core")&gt;0,"R",IF(COUNTIFS('Policy Assignments'!$C$5:$C$868,$A194,'Policy Assignments'!$B$5:$B$868,G$4,'Policy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H194" s="94" t="str">
        <x:f>IF(COUNTIFS('Policy Assignments'!$C$5:$C$868,$A194,'Policy Assignments'!$B$5:$B$868,H$4,'Policy Assignments'!$E$5:$E$868,"Hold")&gt;0,"H",IF(COUNTIFS('Policy Assignments'!$C$5:$C$868,$A194,'Policy Assignments'!$B$5:$B$868,H$4,'Policy Assignments'!$E$5:$E$868,"Core")&gt;0,"R",IF(COUNTIFS('Policy Assignments'!$C$5:$C$868,$A194,'Policy Assignments'!$B$5:$B$868,H$4,'Policy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I194" s="94" t="str">
        <x:f>IF(COUNTIFS('Policy Assignments'!$C$5:$C$868,$A194,'Policy Assignments'!$B$5:$B$868,I$4,'Policy Assignments'!$E$5:$E$868,"Hold")&gt;0,"H",IF(COUNTIFS('Policy Assignments'!$C$5:$C$868,$A194,'Policy Assignments'!$B$5:$B$868,I$4,'Policy Assignments'!$E$5:$E$868,"Core")&gt;0,"R",IF(COUNTIFS('Policy Assignments'!$C$5:$C$868,$A194,'Policy Assignments'!$B$5:$B$868,I$4,'Policy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J194" s="94" t="str">
        <x:f>IF(COUNTIFS('Policy Assignments'!$C$5:$C$868,$A194,'Policy Assignments'!$B$5:$B$868,J$4,'Policy Assignments'!$E$5:$E$868,"Hold")&gt;0,"H",IF(COUNTIFS('Policy Assignments'!$C$5:$C$868,$A194,'Policy Assignments'!$B$5:$B$868,J$4,'Policy Assignments'!$E$5:$E$868,"Core")&gt;0,"R",IF(COUNTIFS('Policy Assignments'!$C$5:$C$868,$A194,'Policy Assignments'!$B$5:$B$868,J$4,'Policy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K194" s="94" t="str">
        <x:f>IF(COUNTIFS('Policy Assignments'!$C$5:$C$868,$A194,'Policy Assignments'!$B$5:$B$868,K$4,'Policy Assignments'!$E$5:$E$868,"Hold")&gt;0,"H",IF(COUNTIFS('Policy Assignments'!$C$5:$C$868,$A194,'Policy Assignments'!$B$5:$B$868,K$4,'Policy Assignments'!$E$5:$E$868,"Core")&gt;0,"R",IF(COUNTIFS('Policy Assignments'!$C$5:$C$868,$A194,'Policy Assignments'!$B$5:$B$868,K$4,'Policy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L194" s="94" t="str">
        <x:f>IF(COUNTIFS('Policy Assignments'!$C$5:$C$868,$A194,'Policy Assignments'!$B$5:$B$868,L$4,'Policy Assignments'!$E$5:$E$868,"Hold")&gt;0,"H",IF(COUNTIFS('Policy Assignments'!$C$5:$C$868,$A194,'Policy Assignments'!$B$5:$B$868,L$4,'Policy Assignments'!$E$5:$E$868,"Core")&gt;0,"R",IF(COUNTIFS('Policy Assignments'!$C$5:$C$868,$A194,'Policy Assignments'!$B$5:$B$868,L$4,'Policy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M194" s="94" t="str">
        <x:f>IF(COUNTIFS('Policy Assignments'!$C$5:$C$868,$A194,'Policy Assignments'!$B$5:$B$868,M$4,'Policy Assignments'!$E$5:$E$868,"Hold")&gt;0,"H",IF(COUNTIFS('Policy Assignments'!$C$5:$C$868,$A194,'Policy Assignments'!$B$5:$B$868,M$4,'Policy Assignments'!$E$5:$E$868,"Core")&gt;0,"R",IF(COUNTIFS('Policy Assignments'!$C$5:$C$868,$A194,'Policy Assignments'!$B$5:$B$868,M$4,'Policy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c>
      <x:c r="N194" s="94" t="str">
        <x:f>IF(COUNTIFS('Policy Assignments'!$C$5:$C$868,$A194,'Policy Assignments'!$B$5:$B$868,N$4,'Policy Assignments'!$E$5:$E$868,"Hold")&gt;0,"H",IF(COUNTIFS('Policy Assignments'!$C$5:$C$868,$A194,'Policy Assignments'!$B$5:$B$868,N$4,'Policy Assignments'!$E$5:$E$868,"Core")&gt;0,"R",IF(COUNTIFS('Policy Assignments'!$C$5:$C$868,$A194,'Policy Assignments'!$B$5:$B$868,N$4,'Policy Assignments'!$E$5:$E$868,"Conditional")&gt;0,"C",IF(COUNTIFS('Policy Assignments'!$C$5:$C$868,$A194,'Policy Assignments'!$B$5:$B$868,"General",'Policy Assignments'!$E$5:$E$868,"Hold")&gt;0,"H",IF(COUNTIFS('Policy Assignments'!$C$5:$C$868,$A194,'Policy Assignments'!$B$5:$B$868,"General",'Policy Assignments'!$E$5:$E$868,"Conditional")&gt;0,"C",IF(COUNTIFS('Policy Assignments'!$C$5:$C$868,$A194,'Policy Assignments'!$B$5:$B$868,"General")&gt;0,"G",""))))))</x:f>
        <x:v>R</x:v>
      </x:c>
      <x:c r="O194" s="94" t="str">
        <x:f>IF(COUNTIFS('Policy Assignments'!$C$5:$C$868,$A194,'Policy Assignments'!$B$5:$B$868,O$4,'Policy Assignments'!$E$5:$E$868,"Hold")&gt;0,"H",IF(COUNTIFS('Policy Assignments'!$C$5:$C$868,$A194,'Policy Assignments'!$B$5:$B$868,O$4,'Policy Assignments'!$E$5:$E$868,"Core")&gt;0,"R",IF(COUNTIFS('Policy Assignments'!$C$5:$C$868,$A194,'Policy Assignments'!$B$5:$B$868,O$4,'Policy Assignments'!$E$5:$E$868,"Conditional")&gt;0,"C","")))</x:f>
      </x:c>
      <x:c r="P194" s="90" t="str">
        <x:v>Mapped</x:v>
      </x:c>
    </x:row>
    <x:row r="195" ht="22" customHeight="1">
      <x:c r="A195" s="90" t="str">
        <x:v>QA-PI-007</x:v>
      </x:c>
      <x:c r="B195" s="90" t="str">
        <x:v>Staff Competency Impact on Patient Outcomes</x:v>
      </x:c>
      <x:c r="C195" s="94" t="str">
        <x:f>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D195" s="94" t="str">
        <x:f>IF(COUNTIFS('Policy Assignments'!$C$5:$C$868,$A195,'Policy Assignments'!$B$5:$B$868,D$4,'Policy Assignments'!$E$5:$E$868,"Hold")&gt;0,"H",IF(COUNTIFS('Policy Assignments'!$C$5:$C$868,$A195,'Policy Assignments'!$B$5:$B$868,D$4,'Policy Assignments'!$E$5:$E$868,"Core")&gt;0,"R",IF(COUNTIFS('Policy Assignments'!$C$5:$C$868,$A195,'Policy Assignments'!$B$5:$B$868,D$4,'Policy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E195" s="94" t="str">
        <x:f>IF(COUNTIFS('Policy Assignments'!$C$5:$C$868,$A195,'Policy Assignments'!$B$5:$B$868,E$4,'Policy Assignments'!$E$5:$E$868,"Hold")&gt;0,"H",IF(COUNTIFS('Policy Assignments'!$C$5:$C$868,$A195,'Policy Assignments'!$B$5:$B$868,E$4,'Policy Assignments'!$E$5:$E$868,"Core")&gt;0,"R",IF(COUNTIFS('Policy Assignments'!$C$5:$C$868,$A195,'Policy Assignments'!$B$5:$B$868,E$4,'Policy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v>R</x:v>
      </x:c>
      <x:c r="F195" s="94" t="str">
        <x:f>IF(COUNTIFS('Policy Assignments'!$C$5:$C$868,$A195,'Policy Assignments'!$B$5:$B$868,F$4,'Policy Assignments'!$E$5:$E$868,"Hold")&gt;0,"H",IF(COUNTIFS('Policy Assignments'!$C$5:$C$868,$A195,'Policy Assignments'!$B$5:$B$868,F$4,'Policy Assignments'!$E$5:$E$868,"Core")&gt;0,"R",IF(COUNTIFS('Policy Assignments'!$C$5:$C$868,$A195,'Policy Assignments'!$B$5:$B$868,F$4,'Policy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G195" s="94" t="str">
        <x:f>IF(COUNTIFS('Policy Assignments'!$C$5:$C$868,$A195,'Policy Assignments'!$B$5:$B$868,G$4,'Policy Assignments'!$E$5:$E$868,"Hold")&gt;0,"H",IF(COUNTIFS('Policy Assignments'!$C$5:$C$868,$A195,'Policy Assignments'!$B$5:$B$868,G$4,'Policy Assignments'!$E$5:$E$868,"Core")&gt;0,"R",IF(COUNTIFS('Policy Assignments'!$C$5:$C$868,$A195,'Policy Assignments'!$B$5:$B$868,G$4,'Policy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H195" s="94" t="str">
        <x:f>IF(COUNTIFS('Policy Assignments'!$C$5:$C$868,$A195,'Policy Assignments'!$B$5:$B$868,H$4,'Policy Assignments'!$E$5:$E$868,"Hold")&gt;0,"H",IF(COUNTIFS('Policy Assignments'!$C$5:$C$868,$A195,'Policy Assignments'!$B$5:$B$868,H$4,'Policy Assignments'!$E$5:$E$868,"Core")&gt;0,"R",IF(COUNTIFS('Policy Assignments'!$C$5:$C$868,$A195,'Policy Assignments'!$B$5:$B$868,H$4,'Policy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I195" s="94" t="str">
        <x:f>IF(COUNTIFS('Policy Assignments'!$C$5:$C$868,$A195,'Policy Assignments'!$B$5:$B$868,I$4,'Policy Assignments'!$E$5:$E$868,"Hold")&gt;0,"H",IF(COUNTIFS('Policy Assignments'!$C$5:$C$868,$A195,'Policy Assignments'!$B$5:$B$868,I$4,'Policy Assignments'!$E$5:$E$868,"Core")&gt;0,"R",IF(COUNTIFS('Policy Assignments'!$C$5:$C$868,$A195,'Policy Assignments'!$B$5:$B$868,I$4,'Policy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J195" s="94" t="str">
        <x:f>IF(COUNTIFS('Policy Assignments'!$C$5:$C$868,$A195,'Policy Assignments'!$B$5:$B$868,J$4,'Policy Assignments'!$E$5:$E$868,"Hold")&gt;0,"H",IF(COUNTIFS('Policy Assignments'!$C$5:$C$868,$A195,'Policy Assignments'!$B$5:$B$868,J$4,'Policy Assignments'!$E$5:$E$868,"Core")&gt;0,"R",IF(COUNTIFS('Policy Assignments'!$C$5:$C$868,$A195,'Policy Assignments'!$B$5:$B$868,J$4,'Policy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K195" s="94" t="str">
        <x:f>IF(COUNTIFS('Policy Assignments'!$C$5:$C$868,$A195,'Policy Assignments'!$B$5:$B$868,K$4,'Policy Assignments'!$E$5:$E$868,"Hold")&gt;0,"H",IF(COUNTIFS('Policy Assignments'!$C$5:$C$868,$A195,'Policy Assignments'!$B$5:$B$868,K$4,'Policy Assignments'!$E$5:$E$868,"Core")&gt;0,"R",IF(COUNTIFS('Policy Assignments'!$C$5:$C$868,$A195,'Policy Assignments'!$B$5:$B$868,K$4,'Policy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L195" s="94" t="str">
        <x:f>IF(COUNTIFS('Policy Assignments'!$C$5:$C$868,$A195,'Policy Assignments'!$B$5:$B$868,L$4,'Policy Assignments'!$E$5:$E$868,"Hold")&gt;0,"H",IF(COUNTIFS('Policy Assignments'!$C$5:$C$868,$A195,'Policy Assignments'!$B$5:$B$868,L$4,'Policy Assignments'!$E$5:$E$868,"Core")&gt;0,"R",IF(COUNTIFS('Policy Assignments'!$C$5:$C$868,$A195,'Policy Assignments'!$B$5:$B$868,L$4,'Policy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M195" s="94" t="str">
        <x:f>IF(COUNTIFS('Policy Assignments'!$C$5:$C$868,$A195,'Policy Assignments'!$B$5:$B$868,M$4,'Policy Assignments'!$E$5:$E$868,"Hold")&gt;0,"H",IF(COUNTIFS('Policy Assignments'!$C$5:$C$868,$A195,'Policy Assignments'!$B$5:$B$868,M$4,'Policy Assignments'!$E$5:$E$868,"Core")&gt;0,"R",IF(COUNTIFS('Policy Assignments'!$C$5:$C$868,$A195,'Policy Assignments'!$B$5:$B$868,M$4,'Policy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c>
      <x:c r="N195" s="94" t="str">
        <x:f>IF(COUNTIFS('Policy Assignments'!$C$5:$C$868,$A195,'Policy Assignments'!$B$5:$B$868,N$4,'Policy Assignments'!$E$5:$E$868,"Hold")&gt;0,"H",IF(COUNTIFS('Policy Assignments'!$C$5:$C$868,$A195,'Policy Assignments'!$B$5:$B$868,N$4,'Policy Assignments'!$E$5:$E$868,"Core")&gt;0,"R",IF(COUNTIFS('Policy Assignments'!$C$5:$C$868,$A195,'Policy Assignments'!$B$5:$B$868,N$4,'Policy Assignments'!$E$5:$E$868,"Conditional")&gt;0,"C",IF(COUNTIFS('Policy Assignments'!$C$5:$C$868,$A195,'Policy Assignments'!$B$5:$B$868,"General",'Policy Assignments'!$E$5:$E$868,"Hold")&gt;0,"H",IF(COUNTIFS('Policy Assignments'!$C$5:$C$868,$A195,'Policy Assignments'!$B$5:$B$868,"General",'Policy Assignments'!$E$5:$E$868,"Conditional")&gt;0,"C",IF(COUNTIFS('Policy Assignments'!$C$5:$C$868,$A195,'Policy Assignments'!$B$5:$B$868,"General")&gt;0,"G",""))))))</x:f>
        <x:v>R</x:v>
      </x:c>
      <x:c r="O195" s="94" t="str">
        <x:f>IF(COUNTIFS('Policy Assignments'!$C$5:$C$868,$A195,'Policy Assignments'!$B$5:$B$868,O$4,'Policy Assignments'!$E$5:$E$868,"Hold")&gt;0,"H",IF(COUNTIFS('Policy Assignments'!$C$5:$C$868,$A195,'Policy Assignments'!$B$5:$B$868,O$4,'Policy Assignments'!$E$5:$E$868,"Core")&gt;0,"R",IF(COUNTIFS('Policy Assignments'!$C$5:$C$868,$A195,'Policy Assignments'!$B$5:$B$868,O$4,'Policy Assignments'!$E$5:$E$868,"Conditional")&gt;0,"C","")))</x:f>
      </x:c>
      <x:c r="P195" s="90" t="str">
        <x:v>Mapped</x:v>
      </x:c>
    </x:row>
    <x:row r="196" ht="22" customHeight="1">
      <x:c r="A196" s="90" t="str">
        <x:v>QA-SM-001</x:v>
      </x:c>
      <x:c r="B196" s="90" t="str">
        <x:v>Utilization Review &amp; Management</x:v>
      </x:c>
      <x:c r="C196" s="94" t="str">
        <x:f>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D196" s="94" t="str">
        <x:f>IF(COUNTIFS('Policy Assignments'!$C$5:$C$868,$A196,'Policy Assignments'!$B$5:$B$868,D$4,'Policy Assignments'!$E$5:$E$868,"Hold")&gt;0,"H",IF(COUNTIFS('Policy Assignments'!$C$5:$C$868,$A196,'Policy Assignments'!$B$5:$B$868,D$4,'Policy Assignments'!$E$5:$E$868,"Core")&gt;0,"R",IF(COUNTIFS('Policy Assignments'!$C$5:$C$868,$A196,'Policy Assignments'!$B$5:$B$868,D$4,'Policy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E196" s="94" t="str">
        <x:f>IF(COUNTIFS('Policy Assignments'!$C$5:$C$868,$A196,'Policy Assignments'!$B$5:$B$868,E$4,'Policy Assignments'!$E$5:$E$868,"Hold")&gt;0,"H",IF(COUNTIFS('Policy Assignments'!$C$5:$C$868,$A196,'Policy Assignments'!$B$5:$B$868,E$4,'Policy Assignments'!$E$5:$E$868,"Core")&gt;0,"R",IF(COUNTIFS('Policy Assignments'!$C$5:$C$868,$A196,'Policy Assignments'!$B$5:$B$868,E$4,'Policy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F196" s="94" t="str">
        <x:f>IF(COUNTIFS('Policy Assignments'!$C$5:$C$868,$A196,'Policy Assignments'!$B$5:$B$868,F$4,'Policy Assignments'!$E$5:$E$868,"Hold")&gt;0,"H",IF(COUNTIFS('Policy Assignments'!$C$5:$C$868,$A196,'Policy Assignments'!$B$5:$B$868,F$4,'Policy Assignments'!$E$5:$E$868,"Core")&gt;0,"R",IF(COUNTIFS('Policy Assignments'!$C$5:$C$868,$A196,'Policy Assignments'!$B$5:$B$868,F$4,'Policy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G196" s="94" t="str">
        <x:f>IF(COUNTIFS('Policy Assignments'!$C$5:$C$868,$A196,'Policy Assignments'!$B$5:$B$868,G$4,'Policy Assignments'!$E$5:$E$868,"Hold")&gt;0,"H",IF(COUNTIFS('Policy Assignments'!$C$5:$C$868,$A196,'Policy Assignments'!$B$5:$B$868,G$4,'Policy Assignments'!$E$5:$E$868,"Core")&gt;0,"R",IF(COUNTIFS('Policy Assignments'!$C$5:$C$868,$A196,'Policy Assignments'!$B$5:$B$868,G$4,'Policy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H196" s="94" t="str">
        <x:f>IF(COUNTIFS('Policy Assignments'!$C$5:$C$868,$A196,'Policy Assignments'!$B$5:$B$868,H$4,'Policy Assignments'!$E$5:$E$868,"Hold")&gt;0,"H",IF(COUNTIFS('Policy Assignments'!$C$5:$C$868,$A196,'Policy Assignments'!$B$5:$B$868,H$4,'Policy Assignments'!$E$5:$E$868,"Core")&gt;0,"R",IF(COUNTIFS('Policy Assignments'!$C$5:$C$868,$A196,'Policy Assignments'!$B$5:$B$868,H$4,'Policy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I196" s="94" t="str">
        <x:f>IF(COUNTIFS('Policy Assignments'!$C$5:$C$868,$A196,'Policy Assignments'!$B$5:$B$868,I$4,'Policy Assignments'!$E$5:$E$868,"Hold")&gt;0,"H",IF(COUNTIFS('Policy Assignments'!$C$5:$C$868,$A196,'Policy Assignments'!$B$5:$B$868,I$4,'Policy Assignments'!$E$5:$E$868,"Core")&gt;0,"R",IF(COUNTIFS('Policy Assignments'!$C$5:$C$868,$A196,'Policy Assignments'!$B$5:$B$868,I$4,'Policy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J196" s="94" t="str">
        <x:f>IF(COUNTIFS('Policy Assignments'!$C$5:$C$868,$A196,'Policy Assignments'!$B$5:$B$868,J$4,'Policy Assignments'!$E$5:$E$868,"Hold")&gt;0,"H",IF(COUNTIFS('Policy Assignments'!$C$5:$C$868,$A196,'Policy Assignments'!$B$5:$B$868,J$4,'Policy Assignments'!$E$5:$E$868,"Core")&gt;0,"R",IF(COUNTIFS('Policy Assignments'!$C$5:$C$868,$A196,'Policy Assignments'!$B$5:$B$868,J$4,'Policy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K196" s="94" t="str">
        <x:f>IF(COUNTIFS('Policy Assignments'!$C$5:$C$868,$A196,'Policy Assignments'!$B$5:$B$868,K$4,'Policy Assignments'!$E$5:$E$868,"Hold")&gt;0,"H",IF(COUNTIFS('Policy Assignments'!$C$5:$C$868,$A196,'Policy Assignments'!$B$5:$B$868,K$4,'Policy Assignments'!$E$5:$E$868,"Core")&gt;0,"R",IF(COUNTIFS('Policy Assignments'!$C$5:$C$868,$A196,'Policy Assignments'!$B$5:$B$868,K$4,'Policy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L196" s="94" t="str">
        <x:f>IF(COUNTIFS('Policy Assignments'!$C$5:$C$868,$A196,'Policy Assignments'!$B$5:$B$868,L$4,'Policy Assignments'!$E$5:$E$868,"Hold")&gt;0,"H",IF(COUNTIFS('Policy Assignments'!$C$5:$C$868,$A196,'Policy Assignments'!$B$5:$B$868,L$4,'Policy Assignments'!$E$5:$E$868,"Core")&gt;0,"R",IF(COUNTIFS('Policy Assignments'!$C$5:$C$868,$A196,'Policy Assignments'!$B$5:$B$868,L$4,'Policy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c>
      <x:c r="M196" s="94" t="str">
        <x:f>IF(COUNTIFS('Policy Assignments'!$C$5:$C$868,$A196,'Policy Assignments'!$B$5:$B$868,M$4,'Policy Assignments'!$E$5:$E$868,"Hold")&gt;0,"H",IF(COUNTIFS('Policy Assignments'!$C$5:$C$868,$A196,'Policy Assignments'!$B$5:$B$868,M$4,'Policy Assignments'!$E$5:$E$868,"Core")&gt;0,"R",IF(COUNTIFS('Policy Assignments'!$C$5:$C$868,$A196,'Policy Assignments'!$B$5:$B$868,M$4,'Policy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v>R</x:v>
      </x:c>
      <x:c r="N196" s="94" t="str">
        <x:f>IF(COUNTIFS('Policy Assignments'!$C$5:$C$868,$A196,'Policy Assignments'!$B$5:$B$868,N$4,'Policy Assignments'!$E$5:$E$868,"Hold")&gt;0,"H",IF(COUNTIFS('Policy Assignments'!$C$5:$C$868,$A196,'Policy Assignments'!$B$5:$B$868,N$4,'Policy Assignments'!$E$5:$E$868,"Core")&gt;0,"R",IF(COUNTIFS('Policy Assignments'!$C$5:$C$868,$A196,'Policy Assignments'!$B$5:$B$868,N$4,'Policy Assignments'!$E$5:$E$868,"Conditional")&gt;0,"C",IF(COUNTIFS('Policy Assignments'!$C$5:$C$868,$A196,'Policy Assignments'!$B$5:$B$868,"General",'Policy Assignments'!$E$5:$E$868,"Hold")&gt;0,"H",IF(COUNTIFS('Policy Assignments'!$C$5:$C$868,$A196,'Policy Assignments'!$B$5:$B$868,"General",'Policy Assignments'!$E$5:$E$868,"Conditional")&gt;0,"C",IF(COUNTIFS('Policy Assignments'!$C$5:$C$868,$A196,'Policy Assignments'!$B$5:$B$868,"General")&gt;0,"G",""))))))</x:f>
        <x:v>R</x:v>
      </x:c>
      <x:c r="O196" s="94" t="str">
        <x:f>IF(COUNTIFS('Policy Assignments'!$C$5:$C$868,$A196,'Policy Assignments'!$B$5:$B$868,O$4,'Policy Assignments'!$E$5:$E$868,"Hold")&gt;0,"H",IF(COUNTIFS('Policy Assignments'!$C$5:$C$868,$A196,'Policy Assignments'!$B$5:$B$868,O$4,'Policy Assignments'!$E$5:$E$868,"Core")&gt;0,"R",IF(COUNTIFS('Policy Assignments'!$C$5:$C$868,$A196,'Policy Assignments'!$B$5:$B$868,O$4,'Policy Assignments'!$E$5:$E$868,"Conditional")&gt;0,"C","")))</x:f>
      </x:c>
      <x:c r="P196" s="90" t="str">
        <x:v>Mapped</x:v>
      </x:c>
    </x:row>
    <x:row r="197" ht="22" customHeight="1">
      <x:c r="A197" s="90" t="str">
        <x:v>QA-SM-002</x:v>
      </x:c>
      <x:c r="B197" s="90" t="str">
        <x:v>Infection Surveillance &amp; Trending</x:v>
      </x:c>
      <x:c r="C197" s="94" t="str">
        <x:f>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D197" s="94" t="str">
        <x:f>IF(COUNTIFS('Policy Assignments'!$C$5:$C$868,$A197,'Policy Assignments'!$B$5:$B$868,D$4,'Policy Assignments'!$E$5:$E$868,"Hold")&gt;0,"H",IF(COUNTIFS('Policy Assignments'!$C$5:$C$868,$A197,'Policy Assignments'!$B$5:$B$868,D$4,'Policy Assignments'!$E$5:$E$868,"Core")&gt;0,"R",IF(COUNTIFS('Policy Assignments'!$C$5:$C$868,$A197,'Policy Assignments'!$B$5:$B$868,D$4,'Policy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E197" s="94" t="str">
        <x:f>IF(COUNTIFS('Policy Assignments'!$C$5:$C$868,$A197,'Policy Assignments'!$B$5:$B$868,E$4,'Policy Assignments'!$E$5:$E$868,"Hold")&gt;0,"H",IF(COUNTIFS('Policy Assignments'!$C$5:$C$868,$A197,'Policy Assignments'!$B$5:$B$868,E$4,'Policy Assignments'!$E$5:$E$868,"Core")&gt;0,"R",IF(COUNTIFS('Policy Assignments'!$C$5:$C$868,$A197,'Policy Assignments'!$B$5:$B$868,E$4,'Policy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v>R</x:v>
      </x:c>
      <x:c r="F197" s="94" t="str">
        <x:f>IF(COUNTIFS('Policy Assignments'!$C$5:$C$868,$A197,'Policy Assignments'!$B$5:$B$868,F$4,'Policy Assignments'!$E$5:$E$868,"Hold")&gt;0,"H",IF(COUNTIFS('Policy Assignments'!$C$5:$C$868,$A197,'Policy Assignments'!$B$5:$B$868,F$4,'Policy Assignments'!$E$5:$E$868,"Core")&gt;0,"R",IF(COUNTIFS('Policy Assignments'!$C$5:$C$868,$A197,'Policy Assignments'!$B$5:$B$868,F$4,'Policy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G197" s="94" t="str">
        <x:f>IF(COUNTIFS('Policy Assignments'!$C$5:$C$868,$A197,'Policy Assignments'!$B$5:$B$868,G$4,'Policy Assignments'!$E$5:$E$868,"Hold")&gt;0,"H",IF(COUNTIFS('Policy Assignments'!$C$5:$C$868,$A197,'Policy Assignments'!$B$5:$B$868,G$4,'Policy Assignments'!$E$5:$E$868,"Core")&gt;0,"R",IF(COUNTIFS('Policy Assignments'!$C$5:$C$868,$A197,'Policy Assignments'!$B$5:$B$868,G$4,'Policy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H197" s="94" t="str">
        <x:f>IF(COUNTIFS('Policy Assignments'!$C$5:$C$868,$A197,'Policy Assignments'!$B$5:$B$868,H$4,'Policy Assignments'!$E$5:$E$868,"Hold")&gt;0,"H",IF(COUNTIFS('Policy Assignments'!$C$5:$C$868,$A197,'Policy Assignments'!$B$5:$B$868,H$4,'Policy Assignments'!$E$5:$E$868,"Core")&gt;0,"R",IF(COUNTIFS('Policy Assignments'!$C$5:$C$868,$A197,'Policy Assignments'!$B$5:$B$868,H$4,'Policy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I197" s="94" t="str">
        <x:f>IF(COUNTIFS('Policy Assignments'!$C$5:$C$868,$A197,'Policy Assignments'!$B$5:$B$868,I$4,'Policy Assignments'!$E$5:$E$868,"Hold")&gt;0,"H",IF(COUNTIFS('Policy Assignments'!$C$5:$C$868,$A197,'Policy Assignments'!$B$5:$B$868,I$4,'Policy Assignments'!$E$5:$E$868,"Core")&gt;0,"R",IF(COUNTIFS('Policy Assignments'!$C$5:$C$868,$A197,'Policy Assignments'!$B$5:$B$868,I$4,'Policy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J197" s="94" t="str">
        <x:f>IF(COUNTIFS('Policy Assignments'!$C$5:$C$868,$A197,'Policy Assignments'!$B$5:$B$868,J$4,'Policy Assignments'!$E$5:$E$868,"Hold")&gt;0,"H",IF(COUNTIFS('Policy Assignments'!$C$5:$C$868,$A197,'Policy Assignments'!$B$5:$B$868,J$4,'Policy Assignments'!$E$5:$E$868,"Core")&gt;0,"R",IF(COUNTIFS('Policy Assignments'!$C$5:$C$868,$A197,'Policy Assignments'!$B$5:$B$868,J$4,'Policy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K197" s="94" t="str">
        <x:f>IF(COUNTIFS('Policy Assignments'!$C$5:$C$868,$A197,'Policy Assignments'!$B$5:$B$868,K$4,'Policy Assignments'!$E$5:$E$868,"Hold")&gt;0,"H",IF(COUNTIFS('Policy Assignments'!$C$5:$C$868,$A197,'Policy Assignments'!$B$5:$B$868,K$4,'Policy Assignments'!$E$5:$E$868,"Core")&gt;0,"R",IF(COUNTIFS('Policy Assignments'!$C$5:$C$868,$A197,'Policy Assignments'!$B$5:$B$868,K$4,'Policy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L197" s="94" t="str">
        <x:f>IF(COUNTIFS('Policy Assignments'!$C$5:$C$868,$A197,'Policy Assignments'!$B$5:$B$868,L$4,'Policy Assignments'!$E$5:$E$868,"Hold")&gt;0,"H",IF(COUNTIFS('Policy Assignments'!$C$5:$C$868,$A197,'Policy Assignments'!$B$5:$B$868,L$4,'Policy Assignments'!$E$5:$E$868,"Core")&gt;0,"R",IF(COUNTIFS('Policy Assignments'!$C$5:$C$868,$A197,'Policy Assignments'!$B$5:$B$868,L$4,'Policy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M197" s="94" t="str">
        <x:f>IF(COUNTIFS('Policy Assignments'!$C$5:$C$868,$A197,'Policy Assignments'!$B$5:$B$868,M$4,'Policy Assignments'!$E$5:$E$868,"Hold")&gt;0,"H",IF(COUNTIFS('Policy Assignments'!$C$5:$C$868,$A197,'Policy Assignments'!$B$5:$B$868,M$4,'Policy Assignments'!$E$5:$E$868,"Core")&gt;0,"R",IF(COUNTIFS('Policy Assignments'!$C$5:$C$868,$A197,'Policy Assignments'!$B$5:$B$868,M$4,'Policy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c>
      <x:c r="N197" s="94" t="str">
        <x:f>IF(COUNTIFS('Policy Assignments'!$C$5:$C$868,$A197,'Policy Assignments'!$B$5:$B$868,N$4,'Policy Assignments'!$E$5:$E$868,"Hold")&gt;0,"H",IF(COUNTIFS('Policy Assignments'!$C$5:$C$868,$A197,'Policy Assignments'!$B$5:$B$868,N$4,'Policy Assignments'!$E$5:$E$868,"Core")&gt;0,"R",IF(COUNTIFS('Policy Assignments'!$C$5:$C$868,$A197,'Policy Assignments'!$B$5:$B$868,N$4,'Policy Assignments'!$E$5:$E$868,"Conditional")&gt;0,"C",IF(COUNTIFS('Policy Assignments'!$C$5:$C$868,$A197,'Policy Assignments'!$B$5:$B$868,"General",'Policy Assignments'!$E$5:$E$868,"Hold")&gt;0,"H",IF(COUNTIFS('Policy Assignments'!$C$5:$C$868,$A197,'Policy Assignments'!$B$5:$B$868,"General",'Policy Assignments'!$E$5:$E$868,"Conditional")&gt;0,"C",IF(COUNTIFS('Policy Assignments'!$C$5:$C$868,$A197,'Policy Assignments'!$B$5:$B$868,"General")&gt;0,"G",""))))))</x:f>
        <x:v>R</x:v>
      </x:c>
      <x:c r="O197" s="94" t="str">
        <x:f>IF(COUNTIFS('Policy Assignments'!$C$5:$C$868,$A197,'Policy Assignments'!$B$5:$B$868,O$4,'Policy Assignments'!$E$5:$E$868,"Hold")&gt;0,"H",IF(COUNTIFS('Policy Assignments'!$C$5:$C$868,$A197,'Policy Assignments'!$B$5:$B$868,O$4,'Policy Assignments'!$E$5:$E$868,"Core")&gt;0,"R",IF(COUNTIFS('Policy Assignments'!$C$5:$C$868,$A197,'Policy Assignments'!$B$5:$B$868,O$4,'Policy Assignments'!$E$5:$E$868,"Conditional")&gt;0,"C","")))</x:f>
      </x:c>
      <x:c r="P197" s="90" t="str">
        <x:v>Mapped</x:v>
      </x:c>
    </x:row>
    <x:row r="198" ht="22" customHeight="1">
      <x:c r="A198" s="90" t="str">
        <x:v>QA-SM-003</x:v>
      </x:c>
      <x:c r="B198" s="90" t="str">
        <x:v>Patient Satisfaction Survey &amp; Analysis</x:v>
      </x:c>
      <x:c r="C198" s="94" t="str">
        <x:f>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D198" s="94" t="str">
        <x:f>IF(COUNTIFS('Policy Assignments'!$C$5:$C$868,$A198,'Policy Assignments'!$B$5:$B$868,D$4,'Policy Assignments'!$E$5:$E$868,"Hold")&gt;0,"H",IF(COUNTIFS('Policy Assignments'!$C$5:$C$868,$A198,'Policy Assignments'!$B$5:$B$868,D$4,'Policy Assignments'!$E$5:$E$868,"Core")&gt;0,"R",IF(COUNTIFS('Policy Assignments'!$C$5:$C$868,$A198,'Policy Assignments'!$B$5:$B$868,D$4,'Policy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E198" s="94" t="str">
        <x:f>IF(COUNTIFS('Policy Assignments'!$C$5:$C$868,$A198,'Policy Assignments'!$B$5:$B$868,E$4,'Policy Assignments'!$E$5:$E$868,"Hold")&gt;0,"H",IF(COUNTIFS('Policy Assignments'!$C$5:$C$868,$A198,'Policy Assignments'!$B$5:$B$868,E$4,'Policy Assignments'!$E$5:$E$868,"Core")&gt;0,"R",IF(COUNTIFS('Policy Assignments'!$C$5:$C$868,$A198,'Policy Assignments'!$B$5:$B$868,E$4,'Policy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R</x:v>
      </x:c>
      <x:c r="F198" s="94" t="str">
        <x:f>IF(COUNTIFS('Policy Assignments'!$C$5:$C$868,$A198,'Policy Assignments'!$B$5:$B$868,F$4,'Policy Assignments'!$E$5:$E$868,"Hold")&gt;0,"H",IF(COUNTIFS('Policy Assignments'!$C$5:$C$868,$A198,'Policy Assignments'!$B$5:$B$868,F$4,'Policy Assignments'!$E$5:$E$868,"Core")&gt;0,"R",IF(COUNTIFS('Policy Assignments'!$C$5:$C$868,$A198,'Policy Assignments'!$B$5:$B$868,F$4,'Policy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G198" s="94" t="str">
        <x:f>IF(COUNTIFS('Policy Assignments'!$C$5:$C$868,$A198,'Policy Assignments'!$B$5:$B$868,G$4,'Policy Assignments'!$E$5:$E$868,"Hold")&gt;0,"H",IF(COUNTIFS('Policy Assignments'!$C$5:$C$868,$A198,'Policy Assignments'!$B$5:$B$868,G$4,'Policy Assignments'!$E$5:$E$868,"Core")&gt;0,"R",IF(COUNTIFS('Policy Assignments'!$C$5:$C$868,$A198,'Policy Assignments'!$B$5:$B$868,G$4,'Policy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H198" s="94" t="str">
        <x:f>IF(COUNTIFS('Policy Assignments'!$C$5:$C$868,$A198,'Policy Assignments'!$B$5:$B$868,H$4,'Policy Assignments'!$E$5:$E$868,"Hold")&gt;0,"H",IF(COUNTIFS('Policy Assignments'!$C$5:$C$868,$A198,'Policy Assignments'!$B$5:$B$868,H$4,'Policy Assignments'!$E$5:$E$868,"Core")&gt;0,"R",IF(COUNTIFS('Policy Assignments'!$C$5:$C$868,$A198,'Policy Assignments'!$B$5:$B$868,H$4,'Policy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I198" s="94" t="str">
        <x:f>IF(COUNTIFS('Policy Assignments'!$C$5:$C$868,$A198,'Policy Assignments'!$B$5:$B$868,I$4,'Policy Assignments'!$E$5:$E$868,"Hold")&gt;0,"H",IF(COUNTIFS('Policy Assignments'!$C$5:$C$868,$A198,'Policy Assignments'!$B$5:$B$868,I$4,'Policy Assignments'!$E$5:$E$868,"Core")&gt;0,"R",IF(COUNTIFS('Policy Assignments'!$C$5:$C$868,$A198,'Policy Assignments'!$B$5:$B$868,I$4,'Policy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J198" s="94" t="str">
        <x:f>IF(COUNTIFS('Policy Assignments'!$C$5:$C$868,$A198,'Policy Assignments'!$B$5:$B$868,J$4,'Policy Assignments'!$E$5:$E$868,"Hold")&gt;0,"H",IF(COUNTIFS('Policy Assignments'!$C$5:$C$868,$A198,'Policy Assignments'!$B$5:$B$868,J$4,'Policy Assignments'!$E$5:$E$868,"Core")&gt;0,"R",IF(COUNTIFS('Policy Assignments'!$C$5:$C$868,$A198,'Policy Assignments'!$B$5:$B$868,J$4,'Policy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K198" s="94" t="str">
        <x:f>IF(COUNTIFS('Policy Assignments'!$C$5:$C$868,$A198,'Policy Assignments'!$B$5:$B$868,K$4,'Policy Assignments'!$E$5:$E$868,"Hold")&gt;0,"H",IF(COUNTIFS('Policy Assignments'!$C$5:$C$868,$A198,'Policy Assignments'!$B$5:$B$868,K$4,'Policy Assignments'!$E$5:$E$868,"Core")&gt;0,"R",IF(COUNTIFS('Policy Assignments'!$C$5:$C$868,$A198,'Policy Assignments'!$B$5:$B$868,K$4,'Policy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L198" s="94" t="str">
        <x:f>IF(COUNTIFS('Policy Assignments'!$C$5:$C$868,$A198,'Policy Assignments'!$B$5:$B$868,L$4,'Policy Assignments'!$E$5:$E$868,"Hold")&gt;0,"H",IF(COUNTIFS('Policy Assignments'!$C$5:$C$868,$A198,'Policy Assignments'!$B$5:$B$868,L$4,'Policy Assignments'!$E$5:$E$868,"Core")&gt;0,"R",IF(COUNTIFS('Policy Assignments'!$C$5:$C$868,$A198,'Policy Assignments'!$B$5:$B$868,L$4,'Policy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G</x:v>
      </x:c>
      <x:c r="M198" s="94" t="str">
        <x:f>IF(COUNTIFS('Policy Assignments'!$C$5:$C$868,$A198,'Policy Assignments'!$B$5:$B$868,M$4,'Policy Assignments'!$E$5:$E$868,"Hold")&gt;0,"H",IF(COUNTIFS('Policy Assignments'!$C$5:$C$868,$A198,'Policy Assignments'!$B$5:$B$868,M$4,'Policy Assignments'!$E$5:$E$868,"Core")&gt;0,"R",IF(COUNTIFS('Policy Assignments'!$C$5:$C$868,$A198,'Policy Assignments'!$B$5:$B$868,M$4,'Policy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R</x:v>
      </x:c>
      <x:c r="N198" s="94" t="str">
        <x:f>IF(COUNTIFS('Policy Assignments'!$C$5:$C$868,$A198,'Policy Assignments'!$B$5:$B$868,N$4,'Policy Assignments'!$E$5:$E$868,"Hold")&gt;0,"H",IF(COUNTIFS('Policy Assignments'!$C$5:$C$868,$A198,'Policy Assignments'!$B$5:$B$868,N$4,'Policy Assignments'!$E$5:$E$868,"Core")&gt;0,"R",IF(COUNTIFS('Policy Assignments'!$C$5:$C$868,$A198,'Policy Assignments'!$B$5:$B$868,N$4,'Policy Assignments'!$E$5:$E$868,"Conditional")&gt;0,"C",IF(COUNTIFS('Policy Assignments'!$C$5:$C$868,$A198,'Policy Assignments'!$B$5:$B$868,"General",'Policy Assignments'!$E$5:$E$868,"Hold")&gt;0,"H",IF(COUNTIFS('Policy Assignments'!$C$5:$C$868,$A198,'Policy Assignments'!$B$5:$B$868,"General",'Policy Assignments'!$E$5:$E$868,"Conditional")&gt;0,"C",IF(COUNTIFS('Policy Assignments'!$C$5:$C$868,$A198,'Policy Assignments'!$B$5:$B$868,"General")&gt;0,"G",""))))))</x:f>
        <x:v>R</x:v>
      </x:c>
      <x:c r="O198" s="94" t="str">
        <x:f>IF(COUNTIFS('Policy Assignments'!$C$5:$C$868,$A198,'Policy Assignments'!$B$5:$B$868,O$4,'Policy Assignments'!$E$5:$E$868,"Hold")&gt;0,"H",IF(COUNTIFS('Policy Assignments'!$C$5:$C$868,$A198,'Policy Assignments'!$B$5:$B$868,O$4,'Policy Assignments'!$E$5:$E$868,"Core")&gt;0,"R",IF(COUNTIFS('Policy Assignments'!$C$5:$C$868,$A198,'Policy Assignments'!$B$5:$B$868,O$4,'Policy Assignments'!$E$5:$E$868,"Conditional")&gt;0,"C","")))</x:f>
      </x:c>
      <x:c r="P198" s="90" t="str">
        <x:v>Mapped</x:v>
      </x:c>
    </x:row>
    <x:row r="199" ht="22" customHeight="1">
      <x:c r="A199" s="90" t="str">
        <x:v>QA-SM-004</x:v>
      </x:c>
      <x:c r="B199" s="90" t="str">
        <x:v>Home Health Compare &amp; Star Rating Monitoring</x:v>
      </x:c>
      <x:c r="C199" s="94" t="str">
        <x:f>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D199" s="94" t="str">
        <x:f>IF(COUNTIFS('Policy Assignments'!$C$5:$C$868,$A199,'Policy Assignments'!$B$5:$B$868,D$4,'Policy Assignments'!$E$5:$E$868,"Hold")&gt;0,"H",IF(COUNTIFS('Policy Assignments'!$C$5:$C$868,$A199,'Policy Assignments'!$B$5:$B$868,D$4,'Policy Assignments'!$E$5:$E$868,"Core")&gt;0,"R",IF(COUNTIFS('Policy Assignments'!$C$5:$C$868,$A199,'Policy Assignments'!$B$5:$B$868,D$4,'Policy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E199" s="94" t="str">
        <x:f>IF(COUNTIFS('Policy Assignments'!$C$5:$C$868,$A199,'Policy Assignments'!$B$5:$B$868,E$4,'Policy Assignments'!$E$5:$E$868,"Hold")&gt;0,"H",IF(COUNTIFS('Policy Assignments'!$C$5:$C$868,$A199,'Policy Assignments'!$B$5:$B$868,E$4,'Policy Assignments'!$E$5:$E$868,"Core")&gt;0,"R",IF(COUNTIFS('Policy Assignments'!$C$5:$C$868,$A199,'Policy Assignments'!$B$5:$B$868,E$4,'Policy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F199" s="94" t="str">
        <x:f>IF(COUNTIFS('Policy Assignments'!$C$5:$C$868,$A199,'Policy Assignments'!$B$5:$B$868,F$4,'Policy Assignments'!$E$5:$E$868,"Hold")&gt;0,"H",IF(COUNTIFS('Policy Assignments'!$C$5:$C$868,$A199,'Policy Assignments'!$B$5:$B$868,F$4,'Policy Assignments'!$E$5:$E$868,"Core")&gt;0,"R",IF(COUNTIFS('Policy Assignments'!$C$5:$C$868,$A199,'Policy Assignments'!$B$5:$B$868,F$4,'Policy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G199" s="94" t="str">
        <x:f>IF(COUNTIFS('Policy Assignments'!$C$5:$C$868,$A199,'Policy Assignments'!$B$5:$B$868,G$4,'Policy Assignments'!$E$5:$E$868,"Hold")&gt;0,"H",IF(COUNTIFS('Policy Assignments'!$C$5:$C$868,$A199,'Policy Assignments'!$B$5:$B$868,G$4,'Policy Assignments'!$E$5:$E$868,"Core")&gt;0,"R",IF(COUNTIFS('Policy Assignments'!$C$5:$C$868,$A199,'Policy Assignments'!$B$5:$B$868,G$4,'Policy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H199" s="94" t="str">
        <x:f>IF(COUNTIFS('Policy Assignments'!$C$5:$C$868,$A199,'Policy Assignments'!$B$5:$B$868,H$4,'Policy Assignments'!$E$5:$E$868,"Hold")&gt;0,"H",IF(COUNTIFS('Policy Assignments'!$C$5:$C$868,$A199,'Policy Assignments'!$B$5:$B$868,H$4,'Policy Assignments'!$E$5:$E$868,"Core")&gt;0,"R",IF(COUNTIFS('Policy Assignments'!$C$5:$C$868,$A199,'Policy Assignments'!$B$5:$B$868,H$4,'Policy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I199" s="94" t="str">
        <x:f>IF(COUNTIFS('Policy Assignments'!$C$5:$C$868,$A199,'Policy Assignments'!$B$5:$B$868,I$4,'Policy Assignments'!$E$5:$E$868,"Hold")&gt;0,"H",IF(COUNTIFS('Policy Assignments'!$C$5:$C$868,$A199,'Policy Assignments'!$B$5:$B$868,I$4,'Policy Assignments'!$E$5:$E$868,"Core")&gt;0,"R",IF(COUNTIFS('Policy Assignments'!$C$5:$C$868,$A199,'Policy Assignments'!$B$5:$B$868,I$4,'Policy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J199" s="94" t="str">
        <x:f>IF(COUNTIFS('Policy Assignments'!$C$5:$C$868,$A199,'Policy Assignments'!$B$5:$B$868,J$4,'Policy Assignments'!$E$5:$E$868,"Hold")&gt;0,"H",IF(COUNTIFS('Policy Assignments'!$C$5:$C$868,$A199,'Policy Assignments'!$B$5:$B$868,J$4,'Policy Assignments'!$E$5:$E$868,"Core")&gt;0,"R",IF(COUNTIFS('Policy Assignments'!$C$5:$C$868,$A199,'Policy Assignments'!$B$5:$B$868,J$4,'Policy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K199" s="94" t="str">
        <x:f>IF(COUNTIFS('Policy Assignments'!$C$5:$C$868,$A199,'Policy Assignments'!$B$5:$B$868,K$4,'Policy Assignments'!$E$5:$E$868,"Hold")&gt;0,"H",IF(COUNTIFS('Policy Assignments'!$C$5:$C$868,$A199,'Policy Assignments'!$B$5:$B$868,K$4,'Policy Assignments'!$E$5:$E$868,"Core")&gt;0,"R",IF(COUNTIFS('Policy Assignments'!$C$5:$C$868,$A199,'Policy Assignments'!$B$5:$B$868,K$4,'Policy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L199" s="94" t="str">
        <x:f>IF(COUNTIFS('Policy Assignments'!$C$5:$C$868,$A199,'Policy Assignments'!$B$5:$B$868,L$4,'Policy Assignments'!$E$5:$E$868,"Hold")&gt;0,"H",IF(COUNTIFS('Policy Assignments'!$C$5:$C$868,$A199,'Policy Assignments'!$B$5:$B$868,L$4,'Policy Assignments'!$E$5:$E$868,"Core")&gt;0,"R",IF(COUNTIFS('Policy Assignments'!$C$5:$C$868,$A199,'Policy Assignments'!$B$5:$B$868,L$4,'Policy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c>
      <x:c r="M199" s="94" t="str">
        <x:f>IF(COUNTIFS('Policy Assignments'!$C$5:$C$868,$A199,'Policy Assignments'!$B$5:$B$868,M$4,'Policy Assignments'!$E$5:$E$868,"Hold")&gt;0,"H",IF(COUNTIFS('Policy Assignments'!$C$5:$C$868,$A199,'Policy Assignments'!$B$5:$B$868,M$4,'Policy Assignments'!$E$5:$E$868,"Core")&gt;0,"R",IF(COUNTIFS('Policy Assignments'!$C$5:$C$868,$A199,'Policy Assignments'!$B$5:$B$868,M$4,'Policy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v>R</x:v>
      </x:c>
      <x:c r="N199" s="94" t="str">
        <x:f>IF(COUNTIFS('Policy Assignments'!$C$5:$C$868,$A199,'Policy Assignments'!$B$5:$B$868,N$4,'Policy Assignments'!$E$5:$E$868,"Hold")&gt;0,"H",IF(COUNTIFS('Policy Assignments'!$C$5:$C$868,$A199,'Policy Assignments'!$B$5:$B$868,N$4,'Policy Assignments'!$E$5:$E$868,"Core")&gt;0,"R",IF(COUNTIFS('Policy Assignments'!$C$5:$C$868,$A199,'Policy Assignments'!$B$5:$B$868,N$4,'Policy Assignments'!$E$5:$E$868,"Conditional")&gt;0,"C",IF(COUNTIFS('Policy Assignments'!$C$5:$C$868,$A199,'Policy Assignments'!$B$5:$B$868,"General",'Policy Assignments'!$E$5:$E$868,"Hold")&gt;0,"H",IF(COUNTIFS('Policy Assignments'!$C$5:$C$868,$A199,'Policy Assignments'!$B$5:$B$868,"General",'Policy Assignments'!$E$5:$E$868,"Conditional")&gt;0,"C",IF(COUNTIFS('Policy Assignments'!$C$5:$C$868,$A199,'Policy Assignments'!$B$5:$B$868,"General")&gt;0,"G",""))))))</x:f>
        <x:v>R</x:v>
      </x:c>
      <x:c r="O199" s="94" t="str">
        <x:f>IF(COUNTIFS('Policy Assignments'!$C$5:$C$868,$A199,'Policy Assignments'!$B$5:$B$868,O$4,'Policy Assignments'!$E$5:$E$868,"Hold")&gt;0,"H",IF(COUNTIFS('Policy Assignments'!$C$5:$C$868,$A199,'Policy Assignments'!$B$5:$B$868,O$4,'Policy Assignments'!$E$5:$E$868,"Core")&gt;0,"R",IF(COUNTIFS('Policy Assignments'!$C$5:$C$868,$A199,'Policy Assignments'!$B$5:$B$868,O$4,'Policy Assignments'!$E$5:$E$868,"Conditional")&gt;0,"C","")))</x:f>
      </x:c>
      <x:c r="P199" s="90" t="str">
        <x:v>Mapped</x:v>
      </x:c>
    </x:row>
    <x:row r="200" ht="22" customHeight="1">
      <x:c r="A200" s="90" t="str">
        <x:v>QA-SM-005</x:v>
      </x:c>
      <x:c r="B200" s="90" t="str">
        <x:v>Policy Effectiveness Monitoring and Outcome Validation</x:v>
      </x:c>
      <x:c r="C200" s="94" t="str">
        <x:f>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D200" s="94" t="str">
        <x:f>IF(COUNTIFS('Policy Assignments'!$C$5:$C$868,$A200,'Policy Assignments'!$B$5:$B$868,D$4,'Policy Assignments'!$E$5:$E$868,"Hold")&gt;0,"H",IF(COUNTIFS('Policy Assignments'!$C$5:$C$868,$A200,'Policy Assignments'!$B$5:$B$868,D$4,'Policy Assignments'!$E$5:$E$868,"Core")&gt;0,"R",IF(COUNTIFS('Policy Assignments'!$C$5:$C$868,$A200,'Policy Assignments'!$B$5:$B$868,D$4,'Policy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E200" s="94" t="str">
        <x:f>IF(COUNTIFS('Policy Assignments'!$C$5:$C$868,$A200,'Policy Assignments'!$B$5:$B$868,E$4,'Policy Assignments'!$E$5:$E$868,"Hold")&gt;0,"H",IF(COUNTIFS('Policy Assignments'!$C$5:$C$868,$A200,'Policy Assignments'!$B$5:$B$868,E$4,'Policy Assignments'!$E$5:$E$868,"Core")&gt;0,"R",IF(COUNTIFS('Policy Assignments'!$C$5:$C$868,$A200,'Policy Assignments'!$B$5:$B$868,E$4,'Policy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F200" s="94" t="str">
        <x:f>IF(COUNTIFS('Policy Assignments'!$C$5:$C$868,$A200,'Policy Assignments'!$B$5:$B$868,F$4,'Policy Assignments'!$E$5:$E$868,"Hold")&gt;0,"H",IF(COUNTIFS('Policy Assignments'!$C$5:$C$868,$A200,'Policy Assignments'!$B$5:$B$868,F$4,'Policy Assignments'!$E$5:$E$868,"Core")&gt;0,"R",IF(COUNTIFS('Policy Assignments'!$C$5:$C$868,$A200,'Policy Assignments'!$B$5:$B$868,F$4,'Policy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G200" s="94" t="str">
        <x:f>IF(COUNTIFS('Policy Assignments'!$C$5:$C$868,$A200,'Policy Assignments'!$B$5:$B$868,G$4,'Policy Assignments'!$E$5:$E$868,"Hold")&gt;0,"H",IF(COUNTIFS('Policy Assignments'!$C$5:$C$868,$A200,'Policy Assignments'!$B$5:$B$868,G$4,'Policy Assignments'!$E$5:$E$868,"Core")&gt;0,"R",IF(COUNTIFS('Policy Assignments'!$C$5:$C$868,$A200,'Policy Assignments'!$B$5:$B$868,G$4,'Policy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H200" s="94" t="str">
        <x:f>IF(COUNTIFS('Policy Assignments'!$C$5:$C$868,$A200,'Policy Assignments'!$B$5:$B$868,H$4,'Policy Assignments'!$E$5:$E$868,"Hold")&gt;0,"H",IF(COUNTIFS('Policy Assignments'!$C$5:$C$868,$A200,'Policy Assignments'!$B$5:$B$868,H$4,'Policy Assignments'!$E$5:$E$868,"Core")&gt;0,"R",IF(COUNTIFS('Policy Assignments'!$C$5:$C$868,$A200,'Policy Assignments'!$B$5:$B$868,H$4,'Policy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I200" s="94" t="str">
        <x:f>IF(COUNTIFS('Policy Assignments'!$C$5:$C$868,$A200,'Policy Assignments'!$B$5:$B$868,I$4,'Policy Assignments'!$E$5:$E$868,"Hold")&gt;0,"H",IF(COUNTIFS('Policy Assignments'!$C$5:$C$868,$A200,'Policy Assignments'!$B$5:$B$868,I$4,'Policy Assignments'!$E$5:$E$868,"Core")&gt;0,"R",IF(COUNTIFS('Policy Assignments'!$C$5:$C$868,$A200,'Policy Assignments'!$B$5:$B$868,I$4,'Policy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J200" s="94" t="str">
        <x:f>IF(COUNTIFS('Policy Assignments'!$C$5:$C$868,$A200,'Policy Assignments'!$B$5:$B$868,J$4,'Policy Assignments'!$E$5:$E$868,"Hold")&gt;0,"H",IF(COUNTIFS('Policy Assignments'!$C$5:$C$868,$A200,'Policy Assignments'!$B$5:$B$868,J$4,'Policy Assignments'!$E$5:$E$868,"Core")&gt;0,"R",IF(COUNTIFS('Policy Assignments'!$C$5:$C$868,$A200,'Policy Assignments'!$B$5:$B$868,J$4,'Policy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K200" s="94" t="str">
        <x:f>IF(COUNTIFS('Policy Assignments'!$C$5:$C$868,$A200,'Policy Assignments'!$B$5:$B$868,K$4,'Policy Assignments'!$E$5:$E$868,"Hold")&gt;0,"H",IF(COUNTIFS('Policy Assignments'!$C$5:$C$868,$A200,'Policy Assignments'!$B$5:$B$868,K$4,'Policy Assignments'!$E$5:$E$868,"Core")&gt;0,"R",IF(COUNTIFS('Policy Assignments'!$C$5:$C$868,$A200,'Policy Assignments'!$B$5:$B$868,K$4,'Policy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L200" s="94" t="str">
        <x:f>IF(COUNTIFS('Policy Assignments'!$C$5:$C$868,$A200,'Policy Assignments'!$B$5:$B$868,L$4,'Policy Assignments'!$E$5:$E$868,"Hold")&gt;0,"H",IF(COUNTIFS('Policy Assignments'!$C$5:$C$868,$A200,'Policy Assignments'!$B$5:$B$868,L$4,'Policy Assignments'!$E$5:$E$868,"Core")&gt;0,"R",IF(COUNTIFS('Policy Assignments'!$C$5:$C$868,$A200,'Policy Assignments'!$B$5:$B$868,L$4,'Policy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c>
      <x:c r="M200" s="94" t="str">
        <x:f>IF(COUNTIFS('Policy Assignments'!$C$5:$C$868,$A200,'Policy Assignments'!$B$5:$B$868,M$4,'Policy Assignments'!$E$5:$E$868,"Hold")&gt;0,"H",IF(COUNTIFS('Policy Assignments'!$C$5:$C$868,$A200,'Policy Assignments'!$B$5:$B$868,M$4,'Policy Assignments'!$E$5:$E$868,"Core")&gt;0,"R",IF(COUNTIFS('Policy Assignments'!$C$5:$C$868,$A200,'Policy Assignments'!$B$5:$B$868,M$4,'Policy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v>R</x:v>
      </x:c>
      <x:c r="N200" s="94" t="str">
        <x:f>IF(COUNTIFS('Policy Assignments'!$C$5:$C$868,$A200,'Policy Assignments'!$B$5:$B$868,N$4,'Policy Assignments'!$E$5:$E$868,"Hold")&gt;0,"H",IF(COUNTIFS('Policy Assignments'!$C$5:$C$868,$A200,'Policy Assignments'!$B$5:$B$868,N$4,'Policy Assignments'!$E$5:$E$868,"Core")&gt;0,"R",IF(COUNTIFS('Policy Assignments'!$C$5:$C$868,$A200,'Policy Assignments'!$B$5:$B$868,N$4,'Policy Assignments'!$E$5:$E$868,"Conditional")&gt;0,"C",IF(COUNTIFS('Policy Assignments'!$C$5:$C$868,$A200,'Policy Assignments'!$B$5:$B$868,"General",'Policy Assignments'!$E$5:$E$868,"Hold")&gt;0,"H",IF(COUNTIFS('Policy Assignments'!$C$5:$C$868,$A200,'Policy Assignments'!$B$5:$B$868,"General",'Policy Assignments'!$E$5:$E$868,"Conditional")&gt;0,"C",IF(COUNTIFS('Policy Assignments'!$C$5:$C$868,$A200,'Policy Assignments'!$B$5:$B$868,"General")&gt;0,"G",""))))))</x:f>
        <x:v>R</x:v>
      </x:c>
      <x:c r="O200" s="94" t="str">
        <x:f>IF(COUNTIFS('Policy Assignments'!$C$5:$C$868,$A200,'Policy Assignments'!$B$5:$B$868,O$4,'Policy Assignments'!$E$5:$E$868,"Hold")&gt;0,"H",IF(COUNTIFS('Policy Assignments'!$C$5:$C$868,$A200,'Policy Assignments'!$B$5:$B$868,O$4,'Policy Assignments'!$E$5:$E$868,"Core")&gt;0,"R",IF(COUNTIFS('Policy Assignments'!$C$5:$C$868,$A200,'Policy Assignments'!$B$5:$B$868,O$4,'Policy Assignments'!$E$5:$E$868,"Conditional")&gt;0,"C","")))</x:f>
      </x:c>
      <x:c r="P200" s="90" t="str">
        <x:v>Mapped</x:v>
      </x:c>
    </x:row>
    <x:row r="201" ht="22" customHeight="1">
      <x:c r="A201" s="90" t="str">
        <x:v>QA-VBP-101</x:v>
      </x:c>
      <x:c r="B201" s="90" t="str">
        <x:v>HHVBP Performance &amp; Outcomes Management</x:v>
      </x:c>
      <x:c r="C201" s="94" t="str">
        <x:f>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D201" s="94" t="str">
        <x:f>IF(COUNTIFS('Policy Assignments'!$C$5:$C$868,$A201,'Policy Assignments'!$B$5:$B$868,D$4,'Policy Assignments'!$E$5:$E$868,"Hold")&gt;0,"H",IF(COUNTIFS('Policy Assignments'!$C$5:$C$868,$A201,'Policy Assignments'!$B$5:$B$868,D$4,'Policy Assignments'!$E$5:$E$868,"Core")&gt;0,"R",IF(COUNTIFS('Policy Assignments'!$C$5:$C$868,$A201,'Policy Assignments'!$B$5:$B$868,D$4,'Policy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E201" s="94" t="str">
        <x:f>IF(COUNTIFS('Policy Assignments'!$C$5:$C$868,$A201,'Policy Assignments'!$B$5:$B$868,E$4,'Policy Assignments'!$E$5:$E$868,"Hold")&gt;0,"H",IF(COUNTIFS('Policy Assignments'!$C$5:$C$868,$A201,'Policy Assignments'!$B$5:$B$868,E$4,'Policy Assignments'!$E$5:$E$868,"Core")&gt;0,"R",IF(COUNTIFS('Policy Assignments'!$C$5:$C$868,$A201,'Policy Assignments'!$B$5:$B$868,E$4,'Policy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F201" s="94" t="str">
        <x:f>IF(COUNTIFS('Policy Assignments'!$C$5:$C$868,$A201,'Policy Assignments'!$B$5:$B$868,F$4,'Policy Assignments'!$E$5:$E$868,"Hold")&gt;0,"H",IF(COUNTIFS('Policy Assignments'!$C$5:$C$868,$A201,'Policy Assignments'!$B$5:$B$868,F$4,'Policy Assignments'!$E$5:$E$868,"Core")&gt;0,"R",IF(COUNTIFS('Policy Assignments'!$C$5:$C$868,$A201,'Policy Assignments'!$B$5:$B$868,F$4,'Policy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G201" s="94" t="str">
        <x:f>IF(COUNTIFS('Policy Assignments'!$C$5:$C$868,$A201,'Policy Assignments'!$B$5:$B$868,G$4,'Policy Assignments'!$E$5:$E$868,"Hold")&gt;0,"H",IF(COUNTIFS('Policy Assignments'!$C$5:$C$868,$A201,'Policy Assignments'!$B$5:$B$868,G$4,'Policy Assignments'!$E$5:$E$868,"Core")&gt;0,"R",IF(COUNTIFS('Policy Assignments'!$C$5:$C$868,$A201,'Policy Assignments'!$B$5:$B$868,G$4,'Policy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H201" s="94" t="str">
        <x:f>IF(COUNTIFS('Policy Assignments'!$C$5:$C$868,$A201,'Policy Assignments'!$B$5:$B$868,H$4,'Policy Assignments'!$E$5:$E$868,"Hold")&gt;0,"H",IF(COUNTIFS('Policy Assignments'!$C$5:$C$868,$A201,'Policy Assignments'!$B$5:$B$868,H$4,'Policy Assignments'!$E$5:$E$868,"Core")&gt;0,"R",IF(COUNTIFS('Policy Assignments'!$C$5:$C$868,$A201,'Policy Assignments'!$B$5:$B$868,H$4,'Policy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I201" s="94" t="str">
        <x:f>IF(COUNTIFS('Policy Assignments'!$C$5:$C$868,$A201,'Policy Assignments'!$B$5:$B$868,I$4,'Policy Assignments'!$E$5:$E$868,"Hold")&gt;0,"H",IF(COUNTIFS('Policy Assignments'!$C$5:$C$868,$A201,'Policy Assignments'!$B$5:$B$868,I$4,'Policy Assignments'!$E$5:$E$868,"Core")&gt;0,"R",IF(COUNTIFS('Policy Assignments'!$C$5:$C$868,$A201,'Policy Assignments'!$B$5:$B$868,I$4,'Policy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J201" s="94" t="str">
        <x:f>IF(COUNTIFS('Policy Assignments'!$C$5:$C$868,$A201,'Policy Assignments'!$B$5:$B$868,J$4,'Policy Assignments'!$E$5:$E$868,"Hold")&gt;0,"H",IF(COUNTIFS('Policy Assignments'!$C$5:$C$868,$A201,'Policy Assignments'!$B$5:$B$868,J$4,'Policy Assignments'!$E$5:$E$868,"Core")&gt;0,"R",IF(COUNTIFS('Policy Assignments'!$C$5:$C$868,$A201,'Policy Assignments'!$B$5:$B$868,J$4,'Policy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K201" s="94" t="str">
        <x:f>IF(COUNTIFS('Policy Assignments'!$C$5:$C$868,$A201,'Policy Assignments'!$B$5:$B$868,K$4,'Policy Assignments'!$E$5:$E$868,"Hold")&gt;0,"H",IF(COUNTIFS('Policy Assignments'!$C$5:$C$868,$A201,'Policy Assignments'!$B$5:$B$868,K$4,'Policy Assignments'!$E$5:$E$868,"Core")&gt;0,"R",IF(COUNTIFS('Policy Assignments'!$C$5:$C$868,$A201,'Policy Assignments'!$B$5:$B$868,K$4,'Policy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L201" s="94" t="str">
        <x:f>IF(COUNTIFS('Policy Assignments'!$C$5:$C$868,$A201,'Policy Assignments'!$B$5:$B$868,L$4,'Policy Assignments'!$E$5:$E$868,"Hold")&gt;0,"H",IF(COUNTIFS('Policy Assignments'!$C$5:$C$868,$A201,'Policy Assignments'!$B$5:$B$868,L$4,'Policy Assignments'!$E$5:$E$868,"Core")&gt;0,"R",IF(COUNTIFS('Policy Assignments'!$C$5:$C$868,$A201,'Policy Assignments'!$B$5:$B$868,L$4,'Policy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c>
      <x:c r="M201" s="94" t="str">
        <x:f>IF(COUNTIFS('Policy Assignments'!$C$5:$C$868,$A201,'Policy Assignments'!$B$5:$B$868,M$4,'Policy Assignments'!$E$5:$E$868,"Hold")&gt;0,"H",IF(COUNTIFS('Policy Assignments'!$C$5:$C$868,$A201,'Policy Assignments'!$B$5:$B$868,M$4,'Policy Assignments'!$E$5:$E$868,"Core")&gt;0,"R",IF(COUNTIFS('Policy Assignments'!$C$5:$C$868,$A201,'Policy Assignments'!$B$5:$B$868,M$4,'Policy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v>R</x:v>
      </x:c>
      <x:c r="N201" s="94" t="str">
        <x:f>IF(COUNTIFS('Policy Assignments'!$C$5:$C$868,$A201,'Policy Assignments'!$B$5:$B$868,N$4,'Policy Assignments'!$E$5:$E$868,"Hold")&gt;0,"H",IF(COUNTIFS('Policy Assignments'!$C$5:$C$868,$A201,'Policy Assignments'!$B$5:$B$868,N$4,'Policy Assignments'!$E$5:$E$868,"Core")&gt;0,"R",IF(COUNTIFS('Policy Assignments'!$C$5:$C$868,$A201,'Policy Assignments'!$B$5:$B$868,N$4,'Policy Assignments'!$E$5:$E$868,"Conditional")&gt;0,"C",IF(COUNTIFS('Policy Assignments'!$C$5:$C$868,$A201,'Policy Assignments'!$B$5:$B$868,"General",'Policy Assignments'!$E$5:$E$868,"Hold")&gt;0,"H",IF(COUNTIFS('Policy Assignments'!$C$5:$C$868,$A201,'Policy Assignments'!$B$5:$B$868,"General",'Policy Assignments'!$E$5:$E$868,"Conditional")&gt;0,"C",IF(COUNTIFS('Policy Assignments'!$C$5:$C$868,$A201,'Policy Assignments'!$B$5:$B$868,"General")&gt;0,"G",""))))))</x:f>
        <x:v>R</x:v>
      </x:c>
      <x:c r="O201" s="94" t="str">
        <x:f>IF(COUNTIFS('Policy Assignments'!$C$5:$C$868,$A201,'Policy Assignments'!$B$5:$B$868,O$4,'Policy Assignments'!$E$5:$E$868,"Hold")&gt;0,"H",IF(COUNTIFS('Policy Assignments'!$C$5:$C$868,$A201,'Policy Assignments'!$B$5:$B$868,O$4,'Policy Assignments'!$E$5:$E$868,"Core")&gt;0,"R",IF(COUNTIFS('Policy Assignments'!$C$5:$C$868,$A201,'Policy Assignments'!$B$5:$B$868,O$4,'Policy Assignments'!$E$5:$E$868,"Conditional")&gt;0,"C","")))</x:f>
      </x:c>
      <x:c r="P201" s="90" t="str">
        <x:v>Mapped</x:v>
      </x:c>
    </x:row>
    <x:row r="202" ht="22" customHeight="1">
      <x:c r="A202" s="90" t="str">
        <x:v>RM-EP-001</x:v>
      </x:c>
      <x:c r="B202" s="90" t="str">
        <x:v>Emergency Preparedness Program</x:v>
      </x:c>
      <x:c r="C202" s="94" t="str">
        <x:f>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D202" s="94" t="str">
        <x:f>IF(COUNTIFS('Policy Assignments'!$C$5:$C$868,$A202,'Policy Assignments'!$B$5:$B$868,D$4,'Policy Assignments'!$E$5:$E$868,"Hold")&gt;0,"H",IF(COUNTIFS('Policy Assignments'!$C$5:$C$868,$A202,'Policy Assignments'!$B$5:$B$868,D$4,'Policy Assignments'!$E$5:$E$868,"Core")&gt;0,"R",IF(COUNTIFS('Policy Assignments'!$C$5:$C$868,$A202,'Policy Assignments'!$B$5:$B$868,D$4,'Policy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E202" s="94" t="str">
        <x:f>IF(COUNTIFS('Policy Assignments'!$C$5:$C$868,$A202,'Policy Assignments'!$B$5:$B$868,E$4,'Policy Assignments'!$E$5:$E$868,"Hold")&gt;0,"H",IF(COUNTIFS('Policy Assignments'!$C$5:$C$868,$A202,'Policy Assignments'!$B$5:$B$868,E$4,'Policy Assignments'!$E$5:$E$868,"Core")&gt;0,"R",IF(COUNTIFS('Policy Assignments'!$C$5:$C$868,$A202,'Policy Assignments'!$B$5:$B$868,E$4,'Policy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F202" s="94" t="str">
        <x:f>IF(COUNTIFS('Policy Assignments'!$C$5:$C$868,$A202,'Policy Assignments'!$B$5:$B$868,F$4,'Policy Assignments'!$E$5:$E$868,"Hold")&gt;0,"H",IF(COUNTIFS('Policy Assignments'!$C$5:$C$868,$A202,'Policy Assignments'!$B$5:$B$868,F$4,'Policy Assignments'!$E$5:$E$868,"Core")&gt;0,"R",IF(COUNTIFS('Policy Assignments'!$C$5:$C$868,$A202,'Policy Assignments'!$B$5:$B$868,F$4,'Policy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G202" s="94" t="str">
        <x:f>IF(COUNTIFS('Policy Assignments'!$C$5:$C$868,$A202,'Policy Assignments'!$B$5:$B$868,G$4,'Policy Assignments'!$E$5:$E$868,"Hold")&gt;0,"H",IF(COUNTIFS('Policy Assignments'!$C$5:$C$868,$A202,'Policy Assignments'!$B$5:$B$868,G$4,'Policy Assignments'!$E$5:$E$868,"Core")&gt;0,"R",IF(COUNTIFS('Policy Assignments'!$C$5:$C$868,$A202,'Policy Assignments'!$B$5:$B$868,G$4,'Policy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H202" s="94" t="str">
        <x:f>IF(COUNTIFS('Policy Assignments'!$C$5:$C$868,$A202,'Policy Assignments'!$B$5:$B$868,H$4,'Policy Assignments'!$E$5:$E$868,"Hold")&gt;0,"H",IF(COUNTIFS('Policy Assignments'!$C$5:$C$868,$A202,'Policy Assignments'!$B$5:$B$868,H$4,'Policy Assignments'!$E$5:$E$868,"Core")&gt;0,"R",IF(COUNTIFS('Policy Assignments'!$C$5:$C$868,$A202,'Policy Assignments'!$B$5:$B$868,H$4,'Policy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I202" s="94" t="str">
        <x:f>IF(COUNTIFS('Policy Assignments'!$C$5:$C$868,$A202,'Policy Assignments'!$B$5:$B$868,I$4,'Policy Assignments'!$E$5:$E$868,"Hold")&gt;0,"H",IF(COUNTIFS('Policy Assignments'!$C$5:$C$868,$A202,'Policy Assignments'!$B$5:$B$868,I$4,'Policy Assignments'!$E$5:$E$868,"Core")&gt;0,"R",IF(COUNTIFS('Policy Assignments'!$C$5:$C$868,$A202,'Policy Assignments'!$B$5:$B$868,I$4,'Policy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J202" s="94" t="str">
        <x:f>IF(COUNTIFS('Policy Assignments'!$C$5:$C$868,$A202,'Policy Assignments'!$B$5:$B$868,J$4,'Policy Assignments'!$E$5:$E$868,"Hold")&gt;0,"H",IF(COUNTIFS('Policy Assignments'!$C$5:$C$868,$A202,'Policy Assignments'!$B$5:$B$868,J$4,'Policy Assignments'!$E$5:$E$868,"Core")&gt;0,"R",IF(COUNTIFS('Policy Assignments'!$C$5:$C$868,$A202,'Policy Assignments'!$B$5:$B$868,J$4,'Policy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K202" s="94" t="str">
        <x:f>IF(COUNTIFS('Policy Assignments'!$C$5:$C$868,$A202,'Policy Assignments'!$B$5:$B$868,K$4,'Policy Assignments'!$E$5:$E$868,"Hold")&gt;0,"H",IF(COUNTIFS('Policy Assignments'!$C$5:$C$868,$A202,'Policy Assignments'!$B$5:$B$868,K$4,'Policy Assignments'!$E$5:$E$868,"Core")&gt;0,"R",IF(COUNTIFS('Policy Assignments'!$C$5:$C$868,$A202,'Policy Assignments'!$B$5:$B$868,K$4,'Policy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L202" s="94" t="str">
        <x:f>IF(COUNTIFS('Policy Assignments'!$C$5:$C$868,$A202,'Policy Assignments'!$B$5:$B$868,L$4,'Policy Assignments'!$E$5:$E$868,"Hold")&gt;0,"H",IF(COUNTIFS('Policy Assignments'!$C$5:$C$868,$A202,'Policy Assignments'!$B$5:$B$868,L$4,'Policy Assignments'!$E$5:$E$868,"Core")&gt;0,"R",IF(COUNTIFS('Policy Assignments'!$C$5:$C$868,$A202,'Policy Assignments'!$B$5:$B$868,L$4,'Policy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G</x:v>
      </x:c>
      <x:c r="M202" s="94" t="str">
        <x:f>IF(COUNTIFS('Policy Assignments'!$C$5:$C$868,$A202,'Policy Assignments'!$B$5:$B$868,M$4,'Policy Assignments'!$E$5:$E$868,"Hold")&gt;0,"H",IF(COUNTIFS('Policy Assignments'!$C$5:$C$868,$A202,'Policy Assignments'!$B$5:$B$868,M$4,'Policy Assignments'!$E$5:$E$868,"Core")&gt;0,"R",IF(COUNTIFS('Policy Assignments'!$C$5:$C$868,$A202,'Policy Assignments'!$B$5:$B$868,M$4,'Policy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R</x:v>
      </x:c>
      <x:c r="N202" s="94" t="str">
        <x:f>IF(COUNTIFS('Policy Assignments'!$C$5:$C$868,$A202,'Policy Assignments'!$B$5:$B$868,N$4,'Policy Assignments'!$E$5:$E$868,"Hold")&gt;0,"H",IF(COUNTIFS('Policy Assignments'!$C$5:$C$868,$A202,'Policy Assignments'!$B$5:$B$868,N$4,'Policy Assignments'!$E$5:$E$868,"Core")&gt;0,"R",IF(COUNTIFS('Policy Assignments'!$C$5:$C$868,$A202,'Policy Assignments'!$B$5:$B$868,N$4,'Policy Assignments'!$E$5:$E$868,"Conditional")&gt;0,"C",IF(COUNTIFS('Policy Assignments'!$C$5:$C$868,$A202,'Policy Assignments'!$B$5:$B$868,"General",'Policy Assignments'!$E$5:$E$868,"Hold")&gt;0,"H",IF(COUNTIFS('Policy Assignments'!$C$5:$C$868,$A202,'Policy Assignments'!$B$5:$B$868,"General",'Policy Assignments'!$E$5:$E$868,"Conditional")&gt;0,"C",IF(COUNTIFS('Policy Assignments'!$C$5:$C$868,$A202,'Policy Assignments'!$B$5:$B$868,"General")&gt;0,"G",""))))))</x:f>
        <x:v>R</x:v>
      </x:c>
      <x:c r="O202" s="94" t="str">
        <x:f>IF(COUNTIFS('Policy Assignments'!$C$5:$C$868,$A202,'Policy Assignments'!$B$5:$B$868,O$4,'Policy Assignments'!$E$5:$E$868,"Hold")&gt;0,"H",IF(COUNTIFS('Policy Assignments'!$C$5:$C$868,$A202,'Policy Assignments'!$B$5:$B$868,O$4,'Policy Assignments'!$E$5:$E$868,"Core")&gt;0,"R",IF(COUNTIFS('Policy Assignments'!$C$5:$C$868,$A202,'Policy Assignments'!$B$5:$B$868,O$4,'Policy Assignments'!$E$5:$E$868,"Conditional")&gt;0,"C","")))</x:f>
        <x:v>R</x:v>
      </x:c>
      <x:c r="P202" s="90" t="str">
        <x:v>Mapped</x:v>
      </x:c>
    </x:row>
    <x:row r="203" ht="22" customHeight="1">
      <x:c r="A203" s="90" t="str">
        <x:v>RM-EP-002</x:v>
      </x:c>
      <x:c r="B203" s="90" t="str">
        <x:v>Emergency Preparedness Training &amp; Testing Program</x:v>
      </x:c>
      <x:c r="C203" s="94" t="str">
        <x:f>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D203" s="94" t="str">
        <x:f>IF(COUNTIFS('Policy Assignments'!$C$5:$C$868,$A203,'Policy Assignments'!$B$5:$B$868,D$4,'Policy Assignments'!$E$5:$E$868,"Hold")&gt;0,"H",IF(COUNTIFS('Policy Assignments'!$C$5:$C$868,$A203,'Policy Assignments'!$B$5:$B$868,D$4,'Policy Assignments'!$E$5:$E$868,"Core")&gt;0,"R",IF(COUNTIFS('Policy Assignments'!$C$5:$C$868,$A203,'Policy Assignments'!$B$5:$B$868,D$4,'Policy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E203" s="94" t="str">
        <x:f>IF(COUNTIFS('Policy Assignments'!$C$5:$C$868,$A203,'Policy Assignments'!$B$5:$B$868,E$4,'Policy Assignments'!$E$5:$E$868,"Hold")&gt;0,"H",IF(COUNTIFS('Policy Assignments'!$C$5:$C$868,$A203,'Policy Assignments'!$B$5:$B$868,E$4,'Policy Assignments'!$E$5:$E$868,"Core")&gt;0,"R",IF(COUNTIFS('Policy Assignments'!$C$5:$C$868,$A203,'Policy Assignments'!$B$5:$B$868,E$4,'Policy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F203" s="94" t="str">
        <x:f>IF(COUNTIFS('Policy Assignments'!$C$5:$C$868,$A203,'Policy Assignments'!$B$5:$B$868,F$4,'Policy Assignments'!$E$5:$E$868,"Hold")&gt;0,"H",IF(COUNTIFS('Policy Assignments'!$C$5:$C$868,$A203,'Policy Assignments'!$B$5:$B$868,F$4,'Policy Assignments'!$E$5:$E$868,"Core")&gt;0,"R",IF(COUNTIFS('Policy Assignments'!$C$5:$C$868,$A203,'Policy Assignments'!$B$5:$B$868,F$4,'Policy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G203" s="94" t="str">
        <x:f>IF(COUNTIFS('Policy Assignments'!$C$5:$C$868,$A203,'Policy Assignments'!$B$5:$B$868,G$4,'Policy Assignments'!$E$5:$E$868,"Hold")&gt;0,"H",IF(COUNTIFS('Policy Assignments'!$C$5:$C$868,$A203,'Policy Assignments'!$B$5:$B$868,G$4,'Policy Assignments'!$E$5:$E$868,"Core")&gt;0,"R",IF(COUNTIFS('Policy Assignments'!$C$5:$C$868,$A203,'Policy Assignments'!$B$5:$B$868,G$4,'Policy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H203" s="94" t="str">
        <x:f>IF(COUNTIFS('Policy Assignments'!$C$5:$C$868,$A203,'Policy Assignments'!$B$5:$B$868,H$4,'Policy Assignments'!$E$5:$E$868,"Hold")&gt;0,"H",IF(COUNTIFS('Policy Assignments'!$C$5:$C$868,$A203,'Policy Assignments'!$B$5:$B$868,H$4,'Policy Assignments'!$E$5:$E$868,"Core")&gt;0,"R",IF(COUNTIFS('Policy Assignments'!$C$5:$C$868,$A203,'Policy Assignments'!$B$5:$B$868,H$4,'Policy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I203" s="94" t="str">
        <x:f>IF(COUNTIFS('Policy Assignments'!$C$5:$C$868,$A203,'Policy Assignments'!$B$5:$B$868,I$4,'Policy Assignments'!$E$5:$E$868,"Hold")&gt;0,"H",IF(COUNTIFS('Policy Assignments'!$C$5:$C$868,$A203,'Policy Assignments'!$B$5:$B$868,I$4,'Policy Assignments'!$E$5:$E$868,"Core")&gt;0,"R",IF(COUNTIFS('Policy Assignments'!$C$5:$C$868,$A203,'Policy Assignments'!$B$5:$B$868,I$4,'Policy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J203" s="94" t="str">
        <x:f>IF(COUNTIFS('Policy Assignments'!$C$5:$C$868,$A203,'Policy Assignments'!$B$5:$B$868,J$4,'Policy Assignments'!$E$5:$E$868,"Hold")&gt;0,"H",IF(COUNTIFS('Policy Assignments'!$C$5:$C$868,$A203,'Policy Assignments'!$B$5:$B$868,J$4,'Policy Assignments'!$E$5:$E$868,"Core")&gt;0,"R",IF(COUNTIFS('Policy Assignments'!$C$5:$C$868,$A203,'Policy Assignments'!$B$5:$B$868,J$4,'Policy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K203" s="94" t="str">
        <x:f>IF(COUNTIFS('Policy Assignments'!$C$5:$C$868,$A203,'Policy Assignments'!$B$5:$B$868,K$4,'Policy Assignments'!$E$5:$E$868,"Hold")&gt;0,"H",IF(COUNTIFS('Policy Assignments'!$C$5:$C$868,$A203,'Policy Assignments'!$B$5:$B$868,K$4,'Policy Assignments'!$E$5:$E$868,"Core")&gt;0,"R",IF(COUNTIFS('Policy Assignments'!$C$5:$C$868,$A203,'Policy Assignments'!$B$5:$B$868,K$4,'Policy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L203" s="94" t="str">
        <x:f>IF(COUNTIFS('Policy Assignments'!$C$5:$C$868,$A203,'Policy Assignments'!$B$5:$B$868,L$4,'Policy Assignments'!$E$5:$E$868,"Hold")&gt;0,"H",IF(COUNTIFS('Policy Assignments'!$C$5:$C$868,$A203,'Policy Assignments'!$B$5:$B$868,L$4,'Policy Assignments'!$E$5:$E$868,"Core")&gt;0,"R",IF(COUNTIFS('Policy Assignments'!$C$5:$C$868,$A203,'Policy Assignments'!$B$5:$B$868,L$4,'Policy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G</x:v>
      </x:c>
      <x:c r="M203" s="94" t="str">
        <x:f>IF(COUNTIFS('Policy Assignments'!$C$5:$C$868,$A203,'Policy Assignments'!$B$5:$B$868,M$4,'Policy Assignments'!$E$5:$E$868,"Hold")&gt;0,"H",IF(COUNTIFS('Policy Assignments'!$C$5:$C$868,$A203,'Policy Assignments'!$B$5:$B$868,M$4,'Policy Assignments'!$E$5:$E$868,"Core")&gt;0,"R",IF(COUNTIFS('Policy Assignments'!$C$5:$C$868,$A203,'Policy Assignments'!$B$5:$B$868,M$4,'Policy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R</x:v>
      </x:c>
      <x:c r="N203" s="94" t="str">
        <x:f>IF(COUNTIFS('Policy Assignments'!$C$5:$C$868,$A203,'Policy Assignments'!$B$5:$B$868,N$4,'Policy Assignments'!$E$5:$E$868,"Hold")&gt;0,"H",IF(COUNTIFS('Policy Assignments'!$C$5:$C$868,$A203,'Policy Assignments'!$B$5:$B$868,N$4,'Policy Assignments'!$E$5:$E$868,"Core")&gt;0,"R",IF(COUNTIFS('Policy Assignments'!$C$5:$C$868,$A203,'Policy Assignments'!$B$5:$B$868,N$4,'Policy Assignments'!$E$5:$E$868,"Conditional")&gt;0,"C",IF(COUNTIFS('Policy Assignments'!$C$5:$C$868,$A203,'Policy Assignments'!$B$5:$B$868,"General",'Policy Assignments'!$E$5:$E$868,"Hold")&gt;0,"H",IF(COUNTIFS('Policy Assignments'!$C$5:$C$868,$A203,'Policy Assignments'!$B$5:$B$868,"General",'Policy Assignments'!$E$5:$E$868,"Conditional")&gt;0,"C",IF(COUNTIFS('Policy Assignments'!$C$5:$C$868,$A203,'Policy Assignments'!$B$5:$B$868,"General")&gt;0,"G",""))))))</x:f>
        <x:v>R</x:v>
      </x:c>
      <x:c r="O203" s="94" t="str">
        <x:f>IF(COUNTIFS('Policy Assignments'!$C$5:$C$868,$A203,'Policy Assignments'!$B$5:$B$868,O$4,'Policy Assignments'!$E$5:$E$868,"Hold")&gt;0,"H",IF(COUNTIFS('Policy Assignments'!$C$5:$C$868,$A203,'Policy Assignments'!$B$5:$B$868,O$4,'Policy Assignments'!$E$5:$E$868,"Core")&gt;0,"R",IF(COUNTIFS('Policy Assignments'!$C$5:$C$868,$A203,'Policy Assignments'!$B$5:$B$868,O$4,'Policy Assignments'!$E$5:$E$868,"Conditional")&gt;0,"C","")))</x:f>
        <x:v>R</x:v>
      </x:c>
      <x:c r="P203" s="90" t="str">
        <x:v>Mapped</x:v>
      </x:c>
    </x:row>
    <x:row r="204" ht="22" customHeight="1">
      <x:c r="A204" s="90" t="str">
        <x:v>RM-EP-003</x:v>
      </x:c>
      <x:c r="B204" s="90" t="str">
        <x:v>Patient Emergency Communication Plan</x:v>
      </x:c>
      <x:c r="C204" s="94" t="str">
        <x:f>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D204" s="94" t="str">
        <x:f>IF(COUNTIFS('Policy Assignments'!$C$5:$C$868,$A204,'Policy Assignments'!$B$5:$B$868,D$4,'Policy Assignments'!$E$5:$E$868,"Hold")&gt;0,"H",IF(COUNTIFS('Policy Assignments'!$C$5:$C$868,$A204,'Policy Assignments'!$B$5:$B$868,D$4,'Policy Assignments'!$E$5:$E$868,"Core")&gt;0,"R",IF(COUNTIFS('Policy Assignments'!$C$5:$C$868,$A204,'Policy Assignments'!$B$5:$B$868,D$4,'Policy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E204" s="94" t="str">
        <x:f>IF(COUNTIFS('Policy Assignments'!$C$5:$C$868,$A204,'Policy Assignments'!$B$5:$B$868,E$4,'Policy Assignments'!$E$5:$E$868,"Hold")&gt;0,"H",IF(COUNTIFS('Policy Assignments'!$C$5:$C$868,$A204,'Policy Assignments'!$B$5:$B$868,E$4,'Policy Assignments'!$E$5:$E$868,"Core")&gt;0,"R",IF(COUNTIFS('Policy Assignments'!$C$5:$C$868,$A204,'Policy Assignments'!$B$5:$B$868,E$4,'Policy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F204" s="94" t="str">
        <x:f>IF(COUNTIFS('Policy Assignments'!$C$5:$C$868,$A204,'Policy Assignments'!$B$5:$B$868,F$4,'Policy Assignments'!$E$5:$E$868,"Hold")&gt;0,"H",IF(COUNTIFS('Policy Assignments'!$C$5:$C$868,$A204,'Policy Assignments'!$B$5:$B$868,F$4,'Policy Assignments'!$E$5:$E$868,"Core")&gt;0,"R",IF(COUNTIFS('Policy Assignments'!$C$5:$C$868,$A204,'Policy Assignments'!$B$5:$B$868,F$4,'Policy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G204" s="94" t="str">
        <x:f>IF(COUNTIFS('Policy Assignments'!$C$5:$C$868,$A204,'Policy Assignments'!$B$5:$B$868,G$4,'Policy Assignments'!$E$5:$E$868,"Hold")&gt;0,"H",IF(COUNTIFS('Policy Assignments'!$C$5:$C$868,$A204,'Policy Assignments'!$B$5:$B$868,G$4,'Policy Assignments'!$E$5:$E$868,"Core")&gt;0,"R",IF(COUNTIFS('Policy Assignments'!$C$5:$C$868,$A204,'Policy Assignments'!$B$5:$B$868,G$4,'Policy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H204" s="94" t="str">
        <x:f>IF(COUNTIFS('Policy Assignments'!$C$5:$C$868,$A204,'Policy Assignments'!$B$5:$B$868,H$4,'Policy Assignments'!$E$5:$E$868,"Hold")&gt;0,"H",IF(COUNTIFS('Policy Assignments'!$C$5:$C$868,$A204,'Policy Assignments'!$B$5:$B$868,H$4,'Policy Assignments'!$E$5:$E$868,"Core")&gt;0,"R",IF(COUNTIFS('Policy Assignments'!$C$5:$C$868,$A204,'Policy Assignments'!$B$5:$B$868,H$4,'Policy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I204" s="94" t="str">
        <x:f>IF(COUNTIFS('Policy Assignments'!$C$5:$C$868,$A204,'Policy Assignments'!$B$5:$B$868,I$4,'Policy Assignments'!$E$5:$E$868,"Hold")&gt;0,"H",IF(COUNTIFS('Policy Assignments'!$C$5:$C$868,$A204,'Policy Assignments'!$B$5:$B$868,I$4,'Policy Assignments'!$E$5:$E$868,"Core")&gt;0,"R",IF(COUNTIFS('Policy Assignments'!$C$5:$C$868,$A204,'Policy Assignments'!$B$5:$B$868,I$4,'Policy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J204" s="94" t="str">
        <x:f>IF(COUNTIFS('Policy Assignments'!$C$5:$C$868,$A204,'Policy Assignments'!$B$5:$B$868,J$4,'Policy Assignments'!$E$5:$E$868,"Hold")&gt;0,"H",IF(COUNTIFS('Policy Assignments'!$C$5:$C$868,$A204,'Policy Assignments'!$B$5:$B$868,J$4,'Policy Assignments'!$E$5:$E$868,"Core")&gt;0,"R",IF(COUNTIFS('Policy Assignments'!$C$5:$C$868,$A204,'Policy Assignments'!$B$5:$B$868,J$4,'Policy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K204" s="94" t="str">
        <x:f>IF(COUNTIFS('Policy Assignments'!$C$5:$C$868,$A204,'Policy Assignments'!$B$5:$B$868,K$4,'Policy Assignments'!$E$5:$E$868,"Hold")&gt;0,"H",IF(COUNTIFS('Policy Assignments'!$C$5:$C$868,$A204,'Policy Assignments'!$B$5:$B$868,K$4,'Policy Assignments'!$E$5:$E$868,"Core")&gt;0,"R",IF(COUNTIFS('Policy Assignments'!$C$5:$C$868,$A204,'Policy Assignments'!$B$5:$B$868,K$4,'Policy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L204" s="94" t="str">
        <x:f>IF(COUNTIFS('Policy Assignments'!$C$5:$C$868,$A204,'Policy Assignments'!$B$5:$B$868,L$4,'Policy Assignments'!$E$5:$E$868,"Hold")&gt;0,"H",IF(COUNTIFS('Policy Assignments'!$C$5:$C$868,$A204,'Policy Assignments'!$B$5:$B$868,L$4,'Policy Assignments'!$E$5:$E$868,"Core")&gt;0,"R",IF(COUNTIFS('Policy Assignments'!$C$5:$C$868,$A204,'Policy Assignments'!$B$5:$B$868,L$4,'Policy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c>
      <x:c r="M204" s="94" t="str">
        <x:f>IF(COUNTIFS('Policy Assignments'!$C$5:$C$868,$A204,'Policy Assignments'!$B$5:$B$868,M$4,'Policy Assignments'!$E$5:$E$868,"Hold")&gt;0,"H",IF(COUNTIFS('Policy Assignments'!$C$5:$C$868,$A204,'Policy Assignments'!$B$5:$B$868,M$4,'Policy Assignments'!$E$5:$E$868,"Core")&gt;0,"R",IF(COUNTIFS('Policy Assignments'!$C$5:$C$868,$A204,'Policy Assignments'!$B$5:$B$868,M$4,'Policy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v>R</x:v>
      </x:c>
      <x:c r="N204" s="94" t="str">
        <x:f>IF(COUNTIFS('Policy Assignments'!$C$5:$C$868,$A204,'Policy Assignments'!$B$5:$B$868,N$4,'Policy Assignments'!$E$5:$E$868,"Hold")&gt;0,"H",IF(COUNTIFS('Policy Assignments'!$C$5:$C$868,$A204,'Policy Assignments'!$B$5:$B$868,N$4,'Policy Assignments'!$E$5:$E$868,"Core")&gt;0,"R",IF(COUNTIFS('Policy Assignments'!$C$5:$C$868,$A204,'Policy Assignments'!$B$5:$B$868,N$4,'Policy Assignments'!$E$5:$E$868,"Conditional")&gt;0,"C",IF(COUNTIFS('Policy Assignments'!$C$5:$C$868,$A204,'Policy Assignments'!$B$5:$B$868,"General",'Policy Assignments'!$E$5:$E$868,"Hold")&gt;0,"H",IF(COUNTIFS('Policy Assignments'!$C$5:$C$868,$A204,'Policy Assignments'!$B$5:$B$868,"General",'Policy Assignments'!$E$5:$E$868,"Conditional")&gt;0,"C",IF(COUNTIFS('Policy Assignments'!$C$5:$C$868,$A204,'Policy Assignments'!$B$5:$B$868,"General")&gt;0,"G",""))))))</x:f>
        <x:v>R</x:v>
      </x:c>
      <x:c r="O204" s="94" t="str">
        <x:f>IF(COUNTIFS('Policy Assignments'!$C$5:$C$868,$A204,'Policy Assignments'!$B$5:$B$868,O$4,'Policy Assignments'!$E$5:$E$868,"Hold")&gt;0,"H",IF(COUNTIFS('Policy Assignments'!$C$5:$C$868,$A204,'Policy Assignments'!$B$5:$B$868,O$4,'Policy Assignments'!$E$5:$E$868,"Core")&gt;0,"R",IF(COUNTIFS('Policy Assignments'!$C$5:$C$868,$A204,'Policy Assignments'!$B$5:$B$868,O$4,'Policy Assignments'!$E$5:$E$868,"Conditional")&gt;0,"C","")))</x:f>
      </x:c>
      <x:c r="P204" s="90" t="str">
        <x:v>Mapped</x:v>
      </x:c>
    </x:row>
    <x:row r="205" ht="22" customHeight="1">
      <x:c r="A205" s="90" t="str">
        <x:v>RM-ER-001</x:v>
      </x:c>
      <x:c r="B205" s="90" t="str">
        <x:v>Enterprise Risk Management Program</x:v>
      </x:c>
      <x:c r="C205" s="94" t="str">
        <x:f>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D205" s="94" t="str">
        <x:f>IF(COUNTIFS('Policy Assignments'!$C$5:$C$868,$A205,'Policy Assignments'!$B$5:$B$868,D$4,'Policy Assignments'!$E$5:$E$868,"Hold")&gt;0,"H",IF(COUNTIFS('Policy Assignments'!$C$5:$C$868,$A205,'Policy Assignments'!$B$5:$B$868,D$4,'Policy Assignments'!$E$5:$E$868,"Core")&gt;0,"R",IF(COUNTIFS('Policy Assignments'!$C$5:$C$868,$A205,'Policy Assignments'!$B$5:$B$868,D$4,'Policy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E205" s="94" t="str">
        <x:f>IF(COUNTIFS('Policy Assignments'!$C$5:$C$868,$A205,'Policy Assignments'!$B$5:$B$868,E$4,'Policy Assignments'!$E$5:$E$868,"Hold")&gt;0,"H",IF(COUNTIFS('Policy Assignments'!$C$5:$C$868,$A205,'Policy Assignments'!$B$5:$B$868,E$4,'Policy Assignments'!$E$5:$E$868,"Core")&gt;0,"R",IF(COUNTIFS('Policy Assignments'!$C$5:$C$868,$A205,'Policy Assignments'!$B$5:$B$868,E$4,'Policy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F205" s="94" t="str">
        <x:f>IF(COUNTIFS('Policy Assignments'!$C$5:$C$868,$A205,'Policy Assignments'!$B$5:$B$868,F$4,'Policy Assignments'!$E$5:$E$868,"Hold")&gt;0,"H",IF(COUNTIFS('Policy Assignments'!$C$5:$C$868,$A205,'Policy Assignments'!$B$5:$B$868,F$4,'Policy Assignments'!$E$5:$E$868,"Core")&gt;0,"R",IF(COUNTIFS('Policy Assignments'!$C$5:$C$868,$A205,'Policy Assignments'!$B$5:$B$868,F$4,'Policy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G205" s="94" t="str">
        <x:f>IF(COUNTIFS('Policy Assignments'!$C$5:$C$868,$A205,'Policy Assignments'!$B$5:$B$868,G$4,'Policy Assignments'!$E$5:$E$868,"Hold")&gt;0,"H",IF(COUNTIFS('Policy Assignments'!$C$5:$C$868,$A205,'Policy Assignments'!$B$5:$B$868,G$4,'Policy Assignments'!$E$5:$E$868,"Core")&gt;0,"R",IF(COUNTIFS('Policy Assignments'!$C$5:$C$868,$A205,'Policy Assignments'!$B$5:$B$868,G$4,'Policy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H205" s="94" t="str">
        <x:f>IF(COUNTIFS('Policy Assignments'!$C$5:$C$868,$A205,'Policy Assignments'!$B$5:$B$868,H$4,'Policy Assignments'!$E$5:$E$868,"Hold")&gt;0,"H",IF(COUNTIFS('Policy Assignments'!$C$5:$C$868,$A205,'Policy Assignments'!$B$5:$B$868,H$4,'Policy Assignments'!$E$5:$E$868,"Core")&gt;0,"R",IF(COUNTIFS('Policy Assignments'!$C$5:$C$868,$A205,'Policy Assignments'!$B$5:$B$868,H$4,'Policy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I205" s="94" t="str">
        <x:f>IF(COUNTIFS('Policy Assignments'!$C$5:$C$868,$A205,'Policy Assignments'!$B$5:$B$868,I$4,'Policy Assignments'!$E$5:$E$868,"Hold")&gt;0,"H",IF(COUNTIFS('Policy Assignments'!$C$5:$C$868,$A205,'Policy Assignments'!$B$5:$B$868,I$4,'Policy Assignments'!$E$5:$E$868,"Core")&gt;0,"R",IF(COUNTIFS('Policy Assignments'!$C$5:$C$868,$A205,'Policy Assignments'!$B$5:$B$868,I$4,'Policy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J205" s="94" t="str">
        <x:f>IF(COUNTIFS('Policy Assignments'!$C$5:$C$868,$A205,'Policy Assignments'!$B$5:$B$868,J$4,'Policy Assignments'!$E$5:$E$868,"Hold")&gt;0,"H",IF(COUNTIFS('Policy Assignments'!$C$5:$C$868,$A205,'Policy Assignments'!$B$5:$B$868,J$4,'Policy Assignments'!$E$5:$E$868,"Core")&gt;0,"R",IF(COUNTIFS('Policy Assignments'!$C$5:$C$868,$A205,'Policy Assignments'!$B$5:$B$868,J$4,'Policy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K205" s="94" t="str">
        <x:f>IF(COUNTIFS('Policy Assignments'!$C$5:$C$868,$A205,'Policy Assignments'!$B$5:$B$868,K$4,'Policy Assignments'!$E$5:$E$868,"Hold")&gt;0,"H",IF(COUNTIFS('Policy Assignments'!$C$5:$C$868,$A205,'Policy Assignments'!$B$5:$B$868,K$4,'Policy Assignments'!$E$5:$E$868,"Core")&gt;0,"R",IF(COUNTIFS('Policy Assignments'!$C$5:$C$868,$A205,'Policy Assignments'!$B$5:$B$868,K$4,'Policy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L205" s="94" t="str">
        <x:f>IF(COUNTIFS('Policy Assignments'!$C$5:$C$868,$A205,'Policy Assignments'!$B$5:$B$868,L$4,'Policy Assignments'!$E$5:$E$868,"Hold")&gt;0,"H",IF(COUNTIFS('Policy Assignments'!$C$5:$C$868,$A205,'Policy Assignments'!$B$5:$B$868,L$4,'Policy Assignments'!$E$5:$E$868,"Core")&gt;0,"R",IF(COUNTIFS('Policy Assignments'!$C$5:$C$868,$A205,'Policy Assignments'!$B$5:$B$868,L$4,'Policy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c>
      <x:c r="M205" s="94" t="str">
        <x:f>IF(COUNTIFS('Policy Assignments'!$C$5:$C$868,$A205,'Policy Assignments'!$B$5:$B$868,M$4,'Policy Assignments'!$E$5:$E$868,"Hold")&gt;0,"H",IF(COUNTIFS('Policy Assignments'!$C$5:$C$868,$A205,'Policy Assignments'!$B$5:$B$868,M$4,'Policy Assignments'!$E$5:$E$868,"Core")&gt;0,"R",IF(COUNTIFS('Policy Assignments'!$C$5:$C$868,$A205,'Policy Assignments'!$B$5:$B$868,M$4,'Policy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v>R</x:v>
      </x:c>
      <x:c r="N205" s="94" t="str">
        <x:f>IF(COUNTIFS('Policy Assignments'!$C$5:$C$868,$A205,'Policy Assignments'!$B$5:$B$868,N$4,'Policy Assignments'!$E$5:$E$868,"Hold")&gt;0,"H",IF(COUNTIFS('Policy Assignments'!$C$5:$C$868,$A205,'Policy Assignments'!$B$5:$B$868,N$4,'Policy Assignments'!$E$5:$E$868,"Core")&gt;0,"R",IF(COUNTIFS('Policy Assignments'!$C$5:$C$868,$A205,'Policy Assignments'!$B$5:$B$868,N$4,'Policy Assignments'!$E$5:$E$868,"Conditional")&gt;0,"C",IF(COUNTIFS('Policy Assignments'!$C$5:$C$868,$A205,'Policy Assignments'!$B$5:$B$868,"General",'Policy Assignments'!$E$5:$E$868,"Hold")&gt;0,"H",IF(COUNTIFS('Policy Assignments'!$C$5:$C$868,$A205,'Policy Assignments'!$B$5:$B$868,"General",'Policy Assignments'!$E$5:$E$868,"Conditional")&gt;0,"C",IF(COUNTIFS('Policy Assignments'!$C$5:$C$868,$A205,'Policy Assignments'!$B$5:$B$868,"General")&gt;0,"G",""))))))</x:f>
        <x:v>R</x:v>
      </x:c>
      <x:c r="O205" s="94" t="str">
        <x:f>IF(COUNTIFS('Policy Assignments'!$C$5:$C$868,$A205,'Policy Assignments'!$B$5:$B$868,O$4,'Policy Assignments'!$E$5:$E$868,"Hold")&gt;0,"H",IF(COUNTIFS('Policy Assignments'!$C$5:$C$868,$A205,'Policy Assignments'!$B$5:$B$868,O$4,'Policy Assignments'!$E$5:$E$868,"Core")&gt;0,"R",IF(COUNTIFS('Policy Assignments'!$C$5:$C$868,$A205,'Policy Assignments'!$B$5:$B$868,O$4,'Policy Assignments'!$E$5:$E$868,"Conditional")&gt;0,"C","")))</x:f>
        <x:v>R</x:v>
      </x:c>
      <x:c r="P205" s="90" t="str">
        <x:v>Mapped</x:v>
      </x:c>
    </x:row>
    <x:row r="206" ht="22" customHeight="1">
      <x:c r="A206" s="90" t="str">
        <x:v>RM-ER-002</x:v>
      </x:c>
      <x:c r="B206" s="90" t="str">
        <x:v>Incident Reporting &amp; Investigation</x:v>
      </x:c>
      <x:c r="C206" s="94" t="str">
        <x:f>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D206" s="94" t="str">
        <x:f>IF(COUNTIFS('Policy Assignments'!$C$5:$C$868,$A206,'Policy Assignments'!$B$5:$B$868,D$4,'Policy Assignments'!$E$5:$E$868,"Hold")&gt;0,"H",IF(COUNTIFS('Policy Assignments'!$C$5:$C$868,$A206,'Policy Assignments'!$B$5:$B$868,D$4,'Policy Assignments'!$E$5:$E$868,"Core")&gt;0,"R",IF(COUNTIFS('Policy Assignments'!$C$5:$C$868,$A206,'Policy Assignments'!$B$5:$B$868,D$4,'Policy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E206" s="94" t="str">
        <x:f>IF(COUNTIFS('Policy Assignments'!$C$5:$C$868,$A206,'Policy Assignments'!$B$5:$B$868,E$4,'Policy Assignments'!$E$5:$E$868,"Hold")&gt;0,"H",IF(COUNTIFS('Policy Assignments'!$C$5:$C$868,$A206,'Policy Assignments'!$B$5:$B$868,E$4,'Policy Assignments'!$E$5:$E$868,"Core")&gt;0,"R",IF(COUNTIFS('Policy Assignments'!$C$5:$C$868,$A206,'Policy Assignments'!$B$5:$B$868,E$4,'Policy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F206" s="94" t="str">
        <x:f>IF(COUNTIFS('Policy Assignments'!$C$5:$C$868,$A206,'Policy Assignments'!$B$5:$B$868,F$4,'Policy Assignments'!$E$5:$E$868,"Hold")&gt;0,"H",IF(COUNTIFS('Policy Assignments'!$C$5:$C$868,$A206,'Policy Assignments'!$B$5:$B$868,F$4,'Policy Assignments'!$E$5:$E$868,"Core")&gt;0,"R",IF(COUNTIFS('Policy Assignments'!$C$5:$C$868,$A206,'Policy Assignments'!$B$5:$B$868,F$4,'Policy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G206" s="94" t="str">
        <x:f>IF(COUNTIFS('Policy Assignments'!$C$5:$C$868,$A206,'Policy Assignments'!$B$5:$B$868,G$4,'Policy Assignments'!$E$5:$E$868,"Hold")&gt;0,"H",IF(COUNTIFS('Policy Assignments'!$C$5:$C$868,$A206,'Policy Assignments'!$B$5:$B$868,G$4,'Policy Assignments'!$E$5:$E$868,"Core")&gt;0,"R",IF(COUNTIFS('Policy Assignments'!$C$5:$C$868,$A206,'Policy Assignments'!$B$5:$B$868,G$4,'Policy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H206" s="94" t="str">
        <x:f>IF(COUNTIFS('Policy Assignments'!$C$5:$C$868,$A206,'Policy Assignments'!$B$5:$B$868,H$4,'Policy Assignments'!$E$5:$E$868,"Hold")&gt;0,"H",IF(COUNTIFS('Policy Assignments'!$C$5:$C$868,$A206,'Policy Assignments'!$B$5:$B$868,H$4,'Policy Assignments'!$E$5:$E$868,"Core")&gt;0,"R",IF(COUNTIFS('Policy Assignments'!$C$5:$C$868,$A206,'Policy Assignments'!$B$5:$B$868,H$4,'Policy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I206" s="94" t="str">
        <x:f>IF(COUNTIFS('Policy Assignments'!$C$5:$C$868,$A206,'Policy Assignments'!$B$5:$B$868,I$4,'Policy Assignments'!$E$5:$E$868,"Hold")&gt;0,"H",IF(COUNTIFS('Policy Assignments'!$C$5:$C$868,$A206,'Policy Assignments'!$B$5:$B$868,I$4,'Policy Assignments'!$E$5:$E$868,"Core")&gt;0,"R",IF(COUNTIFS('Policy Assignments'!$C$5:$C$868,$A206,'Policy Assignments'!$B$5:$B$868,I$4,'Policy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J206" s="94" t="str">
        <x:f>IF(COUNTIFS('Policy Assignments'!$C$5:$C$868,$A206,'Policy Assignments'!$B$5:$B$868,J$4,'Policy Assignments'!$E$5:$E$868,"Hold")&gt;0,"H",IF(COUNTIFS('Policy Assignments'!$C$5:$C$868,$A206,'Policy Assignments'!$B$5:$B$868,J$4,'Policy Assignments'!$E$5:$E$868,"Core")&gt;0,"R",IF(COUNTIFS('Policy Assignments'!$C$5:$C$868,$A206,'Policy Assignments'!$B$5:$B$868,J$4,'Policy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K206" s="94" t="str">
        <x:f>IF(COUNTIFS('Policy Assignments'!$C$5:$C$868,$A206,'Policy Assignments'!$B$5:$B$868,K$4,'Policy Assignments'!$E$5:$E$868,"Hold")&gt;0,"H",IF(COUNTIFS('Policy Assignments'!$C$5:$C$868,$A206,'Policy Assignments'!$B$5:$B$868,K$4,'Policy Assignments'!$E$5:$E$868,"Core")&gt;0,"R",IF(COUNTIFS('Policy Assignments'!$C$5:$C$868,$A206,'Policy Assignments'!$B$5:$B$868,K$4,'Policy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L206" s="94" t="str">
        <x:f>IF(COUNTIFS('Policy Assignments'!$C$5:$C$868,$A206,'Policy Assignments'!$B$5:$B$868,L$4,'Policy Assignments'!$E$5:$E$868,"Hold")&gt;0,"H",IF(COUNTIFS('Policy Assignments'!$C$5:$C$868,$A206,'Policy Assignments'!$B$5:$B$868,L$4,'Policy Assignments'!$E$5:$E$868,"Core")&gt;0,"R",IF(COUNTIFS('Policy Assignments'!$C$5:$C$868,$A206,'Policy Assignments'!$B$5:$B$868,L$4,'Policy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G</x:v>
      </x:c>
      <x:c r="M206" s="94" t="str">
        <x:f>IF(COUNTIFS('Policy Assignments'!$C$5:$C$868,$A206,'Policy Assignments'!$B$5:$B$868,M$4,'Policy Assignments'!$E$5:$E$868,"Hold")&gt;0,"H",IF(COUNTIFS('Policy Assignments'!$C$5:$C$868,$A206,'Policy Assignments'!$B$5:$B$868,M$4,'Policy Assignments'!$E$5:$E$868,"Core")&gt;0,"R",IF(COUNTIFS('Policy Assignments'!$C$5:$C$868,$A206,'Policy Assignments'!$B$5:$B$868,M$4,'Policy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R</x:v>
      </x:c>
      <x:c r="N206" s="94" t="str">
        <x:f>IF(COUNTIFS('Policy Assignments'!$C$5:$C$868,$A206,'Policy Assignments'!$B$5:$B$868,N$4,'Policy Assignments'!$E$5:$E$868,"Hold")&gt;0,"H",IF(COUNTIFS('Policy Assignments'!$C$5:$C$868,$A206,'Policy Assignments'!$B$5:$B$868,N$4,'Policy Assignments'!$E$5:$E$868,"Core")&gt;0,"R",IF(COUNTIFS('Policy Assignments'!$C$5:$C$868,$A206,'Policy Assignments'!$B$5:$B$868,N$4,'Policy Assignments'!$E$5:$E$868,"Conditional")&gt;0,"C",IF(COUNTIFS('Policy Assignments'!$C$5:$C$868,$A206,'Policy Assignments'!$B$5:$B$868,"General",'Policy Assignments'!$E$5:$E$868,"Hold")&gt;0,"H",IF(COUNTIFS('Policy Assignments'!$C$5:$C$868,$A206,'Policy Assignments'!$B$5:$B$868,"General",'Policy Assignments'!$E$5:$E$868,"Conditional")&gt;0,"C",IF(COUNTIFS('Policy Assignments'!$C$5:$C$868,$A206,'Policy Assignments'!$B$5:$B$868,"General")&gt;0,"G",""))))))</x:f>
        <x:v>R</x:v>
      </x:c>
      <x:c r="O206" s="94" t="str">
        <x:f>IF(COUNTIFS('Policy Assignments'!$C$5:$C$868,$A206,'Policy Assignments'!$B$5:$B$868,O$4,'Policy Assignments'!$E$5:$E$868,"Hold")&gt;0,"H",IF(COUNTIFS('Policy Assignments'!$C$5:$C$868,$A206,'Policy Assignments'!$B$5:$B$868,O$4,'Policy Assignments'!$E$5:$E$868,"Core")&gt;0,"R",IF(COUNTIFS('Policy Assignments'!$C$5:$C$868,$A206,'Policy Assignments'!$B$5:$B$868,O$4,'Policy Assignments'!$E$5:$E$868,"Conditional")&gt;0,"C","")))</x:f>
      </x:c>
      <x:c r="P206" s="90" t="str">
        <x:v>Mapped</x:v>
      </x:c>
    </x:row>
    <x:row r="207" ht="22" customHeight="1">
      <x:c r="A207" s="90" t="str">
        <x:v>RM-ER-003</x:v>
      </x:c>
      <x:c r="B207" s="90" t="str">
        <x:v>Risk Assessment &amp; Prioritization</x:v>
      </x:c>
      <x:c r="C207" s="94" t="str">
        <x:f>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D207" s="94" t="str">
        <x:f>IF(COUNTIFS('Policy Assignments'!$C$5:$C$868,$A207,'Policy Assignments'!$B$5:$B$868,D$4,'Policy Assignments'!$E$5:$E$868,"Hold")&gt;0,"H",IF(COUNTIFS('Policy Assignments'!$C$5:$C$868,$A207,'Policy Assignments'!$B$5:$B$868,D$4,'Policy Assignments'!$E$5:$E$868,"Core")&gt;0,"R",IF(COUNTIFS('Policy Assignments'!$C$5:$C$868,$A207,'Policy Assignments'!$B$5:$B$868,D$4,'Policy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E207" s="94" t="str">
        <x:f>IF(COUNTIFS('Policy Assignments'!$C$5:$C$868,$A207,'Policy Assignments'!$B$5:$B$868,E$4,'Policy Assignments'!$E$5:$E$868,"Hold")&gt;0,"H",IF(COUNTIFS('Policy Assignments'!$C$5:$C$868,$A207,'Policy Assignments'!$B$5:$B$868,E$4,'Policy Assignments'!$E$5:$E$868,"Core")&gt;0,"R",IF(COUNTIFS('Policy Assignments'!$C$5:$C$868,$A207,'Policy Assignments'!$B$5:$B$868,E$4,'Policy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F207" s="94" t="str">
        <x:f>IF(COUNTIFS('Policy Assignments'!$C$5:$C$868,$A207,'Policy Assignments'!$B$5:$B$868,F$4,'Policy Assignments'!$E$5:$E$868,"Hold")&gt;0,"H",IF(COUNTIFS('Policy Assignments'!$C$5:$C$868,$A207,'Policy Assignments'!$B$5:$B$868,F$4,'Policy Assignments'!$E$5:$E$868,"Core")&gt;0,"R",IF(COUNTIFS('Policy Assignments'!$C$5:$C$868,$A207,'Policy Assignments'!$B$5:$B$868,F$4,'Policy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G207" s="94" t="str">
        <x:f>IF(COUNTIFS('Policy Assignments'!$C$5:$C$868,$A207,'Policy Assignments'!$B$5:$B$868,G$4,'Policy Assignments'!$E$5:$E$868,"Hold")&gt;0,"H",IF(COUNTIFS('Policy Assignments'!$C$5:$C$868,$A207,'Policy Assignments'!$B$5:$B$868,G$4,'Policy Assignments'!$E$5:$E$868,"Core")&gt;0,"R",IF(COUNTIFS('Policy Assignments'!$C$5:$C$868,$A207,'Policy Assignments'!$B$5:$B$868,G$4,'Policy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H207" s="94" t="str">
        <x:f>IF(COUNTIFS('Policy Assignments'!$C$5:$C$868,$A207,'Policy Assignments'!$B$5:$B$868,H$4,'Policy Assignments'!$E$5:$E$868,"Hold")&gt;0,"H",IF(COUNTIFS('Policy Assignments'!$C$5:$C$868,$A207,'Policy Assignments'!$B$5:$B$868,H$4,'Policy Assignments'!$E$5:$E$868,"Core")&gt;0,"R",IF(COUNTIFS('Policy Assignments'!$C$5:$C$868,$A207,'Policy Assignments'!$B$5:$B$868,H$4,'Policy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I207" s="94" t="str">
        <x:f>IF(COUNTIFS('Policy Assignments'!$C$5:$C$868,$A207,'Policy Assignments'!$B$5:$B$868,I$4,'Policy Assignments'!$E$5:$E$868,"Hold")&gt;0,"H",IF(COUNTIFS('Policy Assignments'!$C$5:$C$868,$A207,'Policy Assignments'!$B$5:$B$868,I$4,'Policy Assignments'!$E$5:$E$868,"Core")&gt;0,"R",IF(COUNTIFS('Policy Assignments'!$C$5:$C$868,$A207,'Policy Assignments'!$B$5:$B$868,I$4,'Policy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J207" s="94" t="str">
        <x:f>IF(COUNTIFS('Policy Assignments'!$C$5:$C$868,$A207,'Policy Assignments'!$B$5:$B$868,J$4,'Policy Assignments'!$E$5:$E$868,"Hold")&gt;0,"H",IF(COUNTIFS('Policy Assignments'!$C$5:$C$868,$A207,'Policy Assignments'!$B$5:$B$868,J$4,'Policy Assignments'!$E$5:$E$868,"Core")&gt;0,"R",IF(COUNTIFS('Policy Assignments'!$C$5:$C$868,$A207,'Policy Assignments'!$B$5:$B$868,J$4,'Policy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K207" s="94" t="str">
        <x:f>IF(COUNTIFS('Policy Assignments'!$C$5:$C$868,$A207,'Policy Assignments'!$B$5:$B$868,K$4,'Policy Assignments'!$E$5:$E$868,"Hold")&gt;0,"H",IF(COUNTIFS('Policy Assignments'!$C$5:$C$868,$A207,'Policy Assignments'!$B$5:$B$868,K$4,'Policy Assignments'!$E$5:$E$868,"Core")&gt;0,"R",IF(COUNTIFS('Policy Assignments'!$C$5:$C$868,$A207,'Policy Assignments'!$B$5:$B$868,K$4,'Policy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L207" s="94" t="str">
        <x:f>IF(COUNTIFS('Policy Assignments'!$C$5:$C$868,$A207,'Policy Assignments'!$B$5:$B$868,L$4,'Policy Assignments'!$E$5:$E$868,"Hold")&gt;0,"H",IF(COUNTIFS('Policy Assignments'!$C$5:$C$868,$A207,'Policy Assignments'!$B$5:$B$868,L$4,'Policy Assignments'!$E$5:$E$868,"Core")&gt;0,"R",IF(COUNTIFS('Policy Assignments'!$C$5:$C$868,$A207,'Policy Assignments'!$B$5:$B$868,L$4,'Policy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c>
      <x:c r="M207" s="94" t="str">
        <x:f>IF(COUNTIFS('Policy Assignments'!$C$5:$C$868,$A207,'Policy Assignments'!$B$5:$B$868,M$4,'Policy Assignments'!$E$5:$E$868,"Hold")&gt;0,"H",IF(COUNTIFS('Policy Assignments'!$C$5:$C$868,$A207,'Policy Assignments'!$B$5:$B$868,M$4,'Policy Assignments'!$E$5:$E$868,"Core")&gt;0,"R",IF(COUNTIFS('Policy Assignments'!$C$5:$C$868,$A207,'Policy Assignments'!$B$5:$B$868,M$4,'Policy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v>R</x:v>
      </x:c>
      <x:c r="N207" s="94" t="str">
        <x:f>IF(COUNTIFS('Policy Assignments'!$C$5:$C$868,$A207,'Policy Assignments'!$B$5:$B$868,N$4,'Policy Assignments'!$E$5:$E$868,"Hold")&gt;0,"H",IF(COUNTIFS('Policy Assignments'!$C$5:$C$868,$A207,'Policy Assignments'!$B$5:$B$868,N$4,'Policy Assignments'!$E$5:$E$868,"Core")&gt;0,"R",IF(COUNTIFS('Policy Assignments'!$C$5:$C$868,$A207,'Policy Assignments'!$B$5:$B$868,N$4,'Policy Assignments'!$E$5:$E$868,"Conditional")&gt;0,"C",IF(COUNTIFS('Policy Assignments'!$C$5:$C$868,$A207,'Policy Assignments'!$B$5:$B$868,"General",'Policy Assignments'!$E$5:$E$868,"Hold")&gt;0,"H",IF(COUNTIFS('Policy Assignments'!$C$5:$C$868,$A207,'Policy Assignments'!$B$5:$B$868,"General",'Policy Assignments'!$E$5:$E$868,"Conditional")&gt;0,"C",IF(COUNTIFS('Policy Assignments'!$C$5:$C$868,$A207,'Policy Assignments'!$B$5:$B$868,"General")&gt;0,"G",""))))))</x:f>
        <x:v>R</x:v>
      </x:c>
      <x:c r="O207" s="94" t="str">
        <x:f>IF(COUNTIFS('Policy Assignments'!$C$5:$C$868,$A207,'Policy Assignments'!$B$5:$B$868,O$4,'Policy Assignments'!$E$5:$E$868,"Hold")&gt;0,"H",IF(COUNTIFS('Policy Assignments'!$C$5:$C$868,$A207,'Policy Assignments'!$B$5:$B$868,O$4,'Policy Assignments'!$E$5:$E$868,"Core")&gt;0,"R",IF(COUNTIFS('Policy Assignments'!$C$5:$C$868,$A207,'Policy Assignments'!$B$5:$B$868,O$4,'Policy Assignments'!$E$5:$E$868,"Conditional")&gt;0,"C","")))</x:f>
        <x:v>R</x:v>
      </x:c>
      <x:c r="P207" s="90" t="str">
        <x:v>Mapped</x:v>
      </x:c>
    </x:row>
    <x:row r="208" ht="22" customHeight="1">
      <x:c r="A208" s="90" t="str">
        <x:v>RM-ER-004</x:v>
      </x:c>
      <x:c r="B208" s="90" t="str">
        <x:v>Liability &amp; Insurance Management</x:v>
      </x:c>
      <x:c r="C208" s="94" t="str">
        <x:f>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D208" s="94" t="str">
        <x:f>IF(COUNTIFS('Policy Assignments'!$C$5:$C$868,$A208,'Policy Assignments'!$B$5:$B$868,D$4,'Policy Assignments'!$E$5:$E$868,"Hold")&gt;0,"H",IF(COUNTIFS('Policy Assignments'!$C$5:$C$868,$A208,'Policy Assignments'!$B$5:$B$868,D$4,'Policy Assignments'!$E$5:$E$868,"Core")&gt;0,"R",IF(COUNTIFS('Policy Assignments'!$C$5:$C$868,$A208,'Policy Assignments'!$B$5:$B$868,D$4,'Policy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E208" s="94" t="str">
        <x:f>IF(COUNTIFS('Policy Assignments'!$C$5:$C$868,$A208,'Policy Assignments'!$B$5:$B$868,E$4,'Policy Assignments'!$E$5:$E$868,"Hold")&gt;0,"H",IF(COUNTIFS('Policy Assignments'!$C$5:$C$868,$A208,'Policy Assignments'!$B$5:$B$868,E$4,'Policy Assignments'!$E$5:$E$868,"Core")&gt;0,"R",IF(COUNTIFS('Policy Assignments'!$C$5:$C$868,$A208,'Policy Assignments'!$B$5:$B$868,E$4,'Policy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F208" s="94" t="str">
        <x:f>IF(COUNTIFS('Policy Assignments'!$C$5:$C$868,$A208,'Policy Assignments'!$B$5:$B$868,F$4,'Policy Assignments'!$E$5:$E$868,"Hold")&gt;0,"H",IF(COUNTIFS('Policy Assignments'!$C$5:$C$868,$A208,'Policy Assignments'!$B$5:$B$868,F$4,'Policy Assignments'!$E$5:$E$868,"Core")&gt;0,"R",IF(COUNTIFS('Policy Assignments'!$C$5:$C$868,$A208,'Policy Assignments'!$B$5:$B$868,F$4,'Policy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G208" s="94" t="str">
        <x:f>IF(COUNTIFS('Policy Assignments'!$C$5:$C$868,$A208,'Policy Assignments'!$B$5:$B$868,G$4,'Policy Assignments'!$E$5:$E$868,"Hold")&gt;0,"H",IF(COUNTIFS('Policy Assignments'!$C$5:$C$868,$A208,'Policy Assignments'!$B$5:$B$868,G$4,'Policy Assignments'!$E$5:$E$868,"Core")&gt;0,"R",IF(COUNTIFS('Policy Assignments'!$C$5:$C$868,$A208,'Policy Assignments'!$B$5:$B$868,G$4,'Policy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H208" s="94" t="str">
        <x:f>IF(COUNTIFS('Policy Assignments'!$C$5:$C$868,$A208,'Policy Assignments'!$B$5:$B$868,H$4,'Policy Assignments'!$E$5:$E$868,"Hold")&gt;0,"H",IF(COUNTIFS('Policy Assignments'!$C$5:$C$868,$A208,'Policy Assignments'!$B$5:$B$868,H$4,'Policy Assignments'!$E$5:$E$868,"Core")&gt;0,"R",IF(COUNTIFS('Policy Assignments'!$C$5:$C$868,$A208,'Policy Assignments'!$B$5:$B$868,H$4,'Policy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I208" s="94" t="str">
        <x:f>IF(COUNTIFS('Policy Assignments'!$C$5:$C$868,$A208,'Policy Assignments'!$B$5:$B$868,I$4,'Policy Assignments'!$E$5:$E$868,"Hold")&gt;0,"H",IF(COUNTIFS('Policy Assignments'!$C$5:$C$868,$A208,'Policy Assignments'!$B$5:$B$868,I$4,'Policy Assignments'!$E$5:$E$868,"Core")&gt;0,"R",IF(COUNTIFS('Policy Assignments'!$C$5:$C$868,$A208,'Policy Assignments'!$B$5:$B$868,I$4,'Policy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J208" s="94" t="str">
        <x:f>IF(COUNTIFS('Policy Assignments'!$C$5:$C$868,$A208,'Policy Assignments'!$B$5:$B$868,J$4,'Policy Assignments'!$E$5:$E$868,"Hold")&gt;0,"H",IF(COUNTIFS('Policy Assignments'!$C$5:$C$868,$A208,'Policy Assignments'!$B$5:$B$868,J$4,'Policy Assignments'!$E$5:$E$868,"Core")&gt;0,"R",IF(COUNTIFS('Policy Assignments'!$C$5:$C$868,$A208,'Policy Assignments'!$B$5:$B$868,J$4,'Policy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K208" s="94" t="str">
        <x:f>IF(COUNTIFS('Policy Assignments'!$C$5:$C$868,$A208,'Policy Assignments'!$B$5:$B$868,K$4,'Policy Assignments'!$E$5:$E$868,"Hold")&gt;0,"H",IF(COUNTIFS('Policy Assignments'!$C$5:$C$868,$A208,'Policy Assignments'!$B$5:$B$868,K$4,'Policy Assignments'!$E$5:$E$868,"Core")&gt;0,"R",IF(COUNTIFS('Policy Assignments'!$C$5:$C$868,$A208,'Policy Assignments'!$B$5:$B$868,K$4,'Policy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L208" s="94" t="str">
        <x:f>IF(COUNTIFS('Policy Assignments'!$C$5:$C$868,$A208,'Policy Assignments'!$B$5:$B$868,L$4,'Policy Assignments'!$E$5:$E$868,"Hold")&gt;0,"H",IF(COUNTIFS('Policy Assignments'!$C$5:$C$868,$A208,'Policy Assignments'!$B$5:$B$868,L$4,'Policy Assignments'!$E$5:$E$868,"Core")&gt;0,"R",IF(COUNTIFS('Policy Assignments'!$C$5:$C$868,$A208,'Policy Assignments'!$B$5:$B$868,L$4,'Policy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M208" s="94" t="str">
        <x:f>IF(COUNTIFS('Policy Assignments'!$C$5:$C$868,$A208,'Policy Assignments'!$B$5:$B$868,M$4,'Policy Assignments'!$E$5:$E$868,"Hold")&gt;0,"H",IF(COUNTIFS('Policy Assignments'!$C$5:$C$868,$A208,'Policy Assignments'!$B$5:$B$868,M$4,'Policy Assignments'!$E$5:$E$868,"Core")&gt;0,"R",IF(COUNTIFS('Policy Assignments'!$C$5:$C$868,$A208,'Policy Assignments'!$B$5:$B$868,M$4,'Policy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v>R</x:v>
      </x:c>
      <x:c r="N208" s="94" t="str">
        <x:f>IF(COUNTIFS('Policy Assignments'!$C$5:$C$868,$A208,'Policy Assignments'!$B$5:$B$868,N$4,'Policy Assignments'!$E$5:$E$868,"Hold")&gt;0,"H",IF(COUNTIFS('Policy Assignments'!$C$5:$C$868,$A208,'Policy Assignments'!$B$5:$B$868,N$4,'Policy Assignments'!$E$5:$E$868,"Core")&gt;0,"R",IF(COUNTIFS('Policy Assignments'!$C$5:$C$868,$A208,'Policy Assignments'!$B$5:$B$868,N$4,'Policy Assignments'!$E$5:$E$868,"Conditional")&gt;0,"C",IF(COUNTIFS('Policy Assignments'!$C$5:$C$868,$A208,'Policy Assignments'!$B$5:$B$868,"General",'Policy Assignments'!$E$5:$E$868,"Hold")&gt;0,"H",IF(COUNTIFS('Policy Assignments'!$C$5:$C$868,$A208,'Policy Assignments'!$B$5:$B$868,"General",'Policy Assignments'!$E$5:$E$868,"Conditional")&gt;0,"C",IF(COUNTIFS('Policy Assignments'!$C$5:$C$868,$A208,'Policy Assignments'!$B$5:$B$868,"General")&gt;0,"G",""))))))</x:f>
      </x:c>
      <x:c r="O208" s="94" t="str">
        <x:f>IF(COUNTIFS('Policy Assignments'!$C$5:$C$868,$A208,'Policy Assignments'!$B$5:$B$868,O$4,'Policy Assignments'!$E$5:$E$868,"Hold")&gt;0,"H",IF(COUNTIFS('Policy Assignments'!$C$5:$C$868,$A208,'Policy Assignments'!$B$5:$B$868,O$4,'Policy Assignments'!$E$5:$E$868,"Core")&gt;0,"R",IF(COUNTIFS('Policy Assignments'!$C$5:$C$868,$A208,'Policy Assignments'!$B$5:$B$868,O$4,'Policy Assignments'!$E$5:$E$868,"Conditional")&gt;0,"C","")))</x:f>
      </x:c>
      <x:c r="P208" s="90" t="str">
        <x:v>Mapped</x:v>
      </x:c>
    </x:row>
    <x:row r="209" ht="22" customHeight="1">
      <x:c r="A209" s="90" t="str">
        <x:v>RM-ER-005</x:v>
      </x:c>
      <x:c r="B209" s="90" t="str">
        <x:v>Risk Trending &amp; Pattern Analysis</x:v>
      </x:c>
      <x:c r="C209" s="94" t="str">
        <x:f>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D209" s="94" t="str">
        <x:f>IF(COUNTIFS('Policy Assignments'!$C$5:$C$868,$A209,'Policy Assignments'!$B$5:$B$868,D$4,'Policy Assignments'!$E$5:$E$868,"Hold")&gt;0,"H",IF(COUNTIFS('Policy Assignments'!$C$5:$C$868,$A209,'Policy Assignments'!$B$5:$B$868,D$4,'Policy Assignments'!$E$5:$E$868,"Core")&gt;0,"R",IF(COUNTIFS('Policy Assignments'!$C$5:$C$868,$A209,'Policy Assignments'!$B$5:$B$868,D$4,'Policy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E209" s="94" t="str">
        <x:f>IF(COUNTIFS('Policy Assignments'!$C$5:$C$868,$A209,'Policy Assignments'!$B$5:$B$868,E$4,'Policy Assignments'!$E$5:$E$868,"Hold")&gt;0,"H",IF(COUNTIFS('Policy Assignments'!$C$5:$C$868,$A209,'Policy Assignments'!$B$5:$B$868,E$4,'Policy Assignments'!$E$5:$E$868,"Core")&gt;0,"R",IF(COUNTIFS('Policy Assignments'!$C$5:$C$868,$A209,'Policy Assignments'!$B$5:$B$868,E$4,'Policy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F209" s="94" t="str">
        <x:f>IF(COUNTIFS('Policy Assignments'!$C$5:$C$868,$A209,'Policy Assignments'!$B$5:$B$868,F$4,'Policy Assignments'!$E$5:$E$868,"Hold")&gt;0,"H",IF(COUNTIFS('Policy Assignments'!$C$5:$C$868,$A209,'Policy Assignments'!$B$5:$B$868,F$4,'Policy Assignments'!$E$5:$E$868,"Core")&gt;0,"R",IF(COUNTIFS('Policy Assignments'!$C$5:$C$868,$A209,'Policy Assignments'!$B$5:$B$868,F$4,'Policy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G209" s="94" t="str">
        <x:f>IF(COUNTIFS('Policy Assignments'!$C$5:$C$868,$A209,'Policy Assignments'!$B$5:$B$868,G$4,'Policy Assignments'!$E$5:$E$868,"Hold")&gt;0,"H",IF(COUNTIFS('Policy Assignments'!$C$5:$C$868,$A209,'Policy Assignments'!$B$5:$B$868,G$4,'Policy Assignments'!$E$5:$E$868,"Core")&gt;0,"R",IF(COUNTIFS('Policy Assignments'!$C$5:$C$868,$A209,'Policy Assignments'!$B$5:$B$868,G$4,'Policy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H209" s="94" t="str">
        <x:f>IF(COUNTIFS('Policy Assignments'!$C$5:$C$868,$A209,'Policy Assignments'!$B$5:$B$868,H$4,'Policy Assignments'!$E$5:$E$868,"Hold")&gt;0,"H",IF(COUNTIFS('Policy Assignments'!$C$5:$C$868,$A209,'Policy Assignments'!$B$5:$B$868,H$4,'Policy Assignments'!$E$5:$E$868,"Core")&gt;0,"R",IF(COUNTIFS('Policy Assignments'!$C$5:$C$868,$A209,'Policy Assignments'!$B$5:$B$868,H$4,'Policy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I209" s="94" t="str">
        <x:f>IF(COUNTIFS('Policy Assignments'!$C$5:$C$868,$A209,'Policy Assignments'!$B$5:$B$868,I$4,'Policy Assignments'!$E$5:$E$868,"Hold")&gt;0,"H",IF(COUNTIFS('Policy Assignments'!$C$5:$C$868,$A209,'Policy Assignments'!$B$5:$B$868,I$4,'Policy Assignments'!$E$5:$E$868,"Core")&gt;0,"R",IF(COUNTIFS('Policy Assignments'!$C$5:$C$868,$A209,'Policy Assignments'!$B$5:$B$868,I$4,'Policy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J209" s="94" t="str">
        <x:f>IF(COUNTIFS('Policy Assignments'!$C$5:$C$868,$A209,'Policy Assignments'!$B$5:$B$868,J$4,'Policy Assignments'!$E$5:$E$868,"Hold")&gt;0,"H",IF(COUNTIFS('Policy Assignments'!$C$5:$C$868,$A209,'Policy Assignments'!$B$5:$B$868,J$4,'Policy Assignments'!$E$5:$E$868,"Core")&gt;0,"R",IF(COUNTIFS('Policy Assignments'!$C$5:$C$868,$A209,'Policy Assignments'!$B$5:$B$868,J$4,'Policy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K209" s="94" t="str">
        <x:f>IF(COUNTIFS('Policy Assignments'!$C$5:$C$868,$A209,'Policy Assignments'!$B$5:$B$868,K$4,'Policy Assignments'!$E$5:$E$868,"Hold")&gt;0,"H",IF(COUNTIFS('Policy Assignments'!$C$5:$C$868,$A209,'Policy Assignments'!$B$5:$B$868,K$4,'Policy Assignments'!$E$5:$E$868,"Core")&gt;0,"R",IF(COUNTIFS('Policy Assignments'!$C$5:$C$868,$A209,'Policy Assignments'!$B$5:$B$868,K$4,'Policy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L209" s="94" t="str">
        <x:f>IF(COUNTIFS('Policy Assignments'!$C$5:$C$868,$A209,'Policy Assignments'!$B$5:$B$868,L$4,'Policy Assignments'!$E$5:$E$868,"Hold")&gt;0,"H",IF(COUNTIFS('Policy Assignments'!$C$5:$C$868,$A209,'Policy Assignments'!$B$5:$B$868,L$4,'Policy Assignments'!$E$5:$E$868,"Core")&gt;0,"R",IF(COUNTIFS('Policy Assignments'!$C$5:$C$868,$A209,'Policy Assignments'!$B$5:$B$868,L$4,'Policy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M209" s="94" t="str">
        <x:f>IF(COUNTIFS('Policy Assignments'!$C$5:$C$868,$A209,'Policy Assignments'!$B$5:$B$868,M$4,'Policy Assignments'!$E$5:$E$868,"Hold")&gt;0,"H",IF(COUNTIFS('Policy Assignments'!$C$5:$C$868,$A209,'Policy Assignments'!$B$5:$B$868,M$4,'Policy Assignments'!$E$5:$E$868,"Core")&gt;0,"R",IF(COUNTIFS('Policy Assignments'!$C$5:$C$868,$A209,'Policy Assignments'!$B$5:$B$868,M$4,'Policy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v>R</x:v>
      </x:c>
      <x:c r="N209" s="94" t="str">
        <x:f>IF(COUNTIFS('Policy Assignments'!$C$5:$C$868,$A209,'Policy Assignments'!$B$5:$B$868,N$4,'Policy Assignments'!$E$5:$E$868,"Hold")&gt;0,"H",IF(COUNTIFS('Policy Assignments'!$C$5:$C$868,$A209,'Policy Assignments'!$B$5:$B$868,N$4,'Policy Assignments'!$E$5:$E$868,"Core")&gt;0,"R",IF(COUNTIFS('Policy Assignments'!$C$5:$C$868,$A209,'Policy Assignments'!$B$5:$B$868,N$4,'Policy Assignments'!$E$5:$E$868,"Conditional")&gt;0,"C",IF(COUNTIFS('Policy Assignments'!$C$5:$C$868,$A209,'Policy Assignments'!$B$5:$B$868,"General",'Policy Assignments'!$E$5:$E$868,"Hold")&gt;0,"H",IF(COUNTIFS('Policy Assignments'!$C$5:$C$868,$A209,'Policy Assignments'!$B$5:$B$868,"General",'Policy Assignments'!$E$5:$E$868,"Conditional")&gt;0,"C",IF(COUNTIFS('Policy Assignments'!$C$5:$C$868,$A209,'Policy Assignments'!$B$5:$B$868,"General")&gt;0,"G",""))))))</x:f>
      </x:c>
      <x:c r="O209" s="94" t="str">
        <x:f>IF(COUNTIFS('Policy Assignments'!$C$5:$C$868,$A209,'Policy Assignments'!$B$5:$B$868,O$4,'Policy Assignments'!$E$5:$E$868,"Hold")&gt;0,"H",IF(COUNTIFS('Policy Assignments'!$C$5:$C$868,$A209,'Policy Assignments'!$B$5:$B$868,O$4,'Policy Assignments'!$E$5:$E$868,"Core")&gt;0,"R",IF(COUNTIFS('Policy Assignments'!$C$5:$C$868,$A209,'Policy Assignments'!$B$5:$B$868,O$4,'Policy Assignments'!$E$5:$E$868,"Conditional")&gt;0,"C","")))</x:f>
      </x:c>
      <x:c r="P209" s="90" t="str">
        <x:v>Mapped</x:v>
      </x:c>
    </x:row>
    <x:row r="210" ht="22" customHeight="1">
      <x:c r="A210" s="90" t="str">
        <x:v>RM-ER-006</x:v>
      </x:c>
      <x:c r="B210" s="90" t="str">
        <x:v>Claims Management &amp; Litigation Support</x:v>
      </x:c>
      <x:c r="C210" s="94" t="str">
        <x:f>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D210" s="94" t="str">
        <x:f>IF(COUNTIFS('Policy Assignments'!$C$5:$C$868,$A210,'Policy Assignments'!$B$5:$B$868,D$4,'Policy Assignments'!$E$5:$E$868,"Hold")&gt;0,"H",IF(COUNTIFS('Policy Assignments'!$C$5:$C$868,$A210,'Policy Assignments'!$B$5:$B$868,D$4,'Policy Assignments'!$E$5:$E$868,"Core")&gt;0,"R",IF(COUNTIFS('Policy Assignments'!$C$5:$C$868,$A210,'Policy Assignments'!$B$5:$B$868,D$4,'Policy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E210" s="94" t="str">
        <x:f>IF(COUNTIFS('Policy Assignments'!$C$5:$C$868,$A210,'Policy Assignments'!$B$5:$B$868,E$4,'Policy Assignments'!$E$5:$E$868,"Hold")&gt;0,"H",IF(COUNTIFS('Policy Assignments'!$C$5:$C$868,$A210,'Policy Assignments'!$B$5:$B$868,E$4,'Policy Assignments'!$E$5:$E$868,"Core")&gt;0,"R",IF(COUNTIFS('Policy Assignments'!$C$5:$C$868,$A210,'Policy Assignments'!$B$5:$B$868,E$4,'Policy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F210" s="94" t="str">
        <x:f>IF(COUNTIFS('Policy Assignments'!$C$5:$C$868,$A210,'Policy Assignments'!$B$5:$B$868,F$4,'Policy Assignments'!$E$5:$E$868,"Hold")&gt;0,"H",IF(COUNTIFS('Policy Assignments'!$C$5:$C$868,$A210,'Policy Assignments'!$B$5:$B$868,F$4,'Policy Assignments'!$E$5:$E$868,"Core")&gt;0,"R",IF(COUNTIFS('Policy Assignments'!$C$5:$C$868,$A210,'Policy Assignments'!$B$5:$B$868,F$4,'Policy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G210" s="94" t="str">
        <x:f>IF(COUNTIFS('Policy Assignments'!$C$5:$C$868,$A210,'Policy Assignments'!$B$5:$B$868,G$4,'Policy Assignments'!$E$5:$E$868,"Hold")&gt;0,"H",IF(COUNTIFS('Policy Assignments'!$C$5:$C$868,$A210,'Policy Assignments'!$B$5:$B$868,G$4,'Policy Assignments'!$E$5:$E$868,"Core")&gt;0,"R",IF(COUNTIFS('Policy Assignments'!$C$5:$C$868,$A210,'Policy Assignments'!$B$5:$B$868,G$4,'Policy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H210" s="94" t="str">
        <x:f>IF(COUNTIFS('Policy Assignments'!$C$5:$C$868,$A210,'Policy Assignments'!$B$5:$B$868,H$4,'Policy Assignments'!$E$5:$E$868,"Hold")&gt;0,"H",IF(COUNTIFS('Policy Assignments'!$C$5:$C$868,$A210,'Policy Assignments'!$B$5:$B$868,H$4,'Policy Assignments'!$E$5:$E$868,"Core")&gt;0,"R",IF(COUNTIFS('Policy Assignments'!$C$5:$C$868,$A210,'Policy Assignments'!$B$5:$B$868,H$4,'Policy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I210" s="94" t="str">
        <x:f>IF(COUNTIFS('Policy Assignments'!$C$5:$C$868,$A210,'Policy Assignments'!$B$5:$B$868,I$4,'Policy Assignments'!$E$5:$E$868,"Hold")&gt;0,"H",IF(COUNTIFS('Policy Assignments'!$C$5:$C$868,$A210,'Policy Assignments'!$B$5:$B$868,I$4,'Policy Assignments'!$E$5:$E$868,"Core")&gt;0,"R",IF(COUNTIFS('Policy Assignments'!$C$5:$C$868,$A210,'Policy Assignments'!$B$5:$B$868,I$4,'Policy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J210" s="94" t="str">
        <x:f>IF(COUNTIFS('Policy Assignments'!$C$5:$C$868,$A210,'Policy Assignments'!$B$5:$B$868,J$4,'Policy Assignments'!$E$5:$E$868,"Hold")&gt;0,"H",IF(COUNTIFS('Policy Assignments'!$C$5:$C$868,$A210,'Policy Assignments'!$B$5:$B$868,J$4,'Policy Assignments'!$E$5:$E$868,"Core")&gt;0,"R",IF(COUNTIFS('Policy Assignments'!$C$5:$C$868,$A210,'Policy Assignments'!$B$5:$B$868,J$4,'Policy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K210" s="94" t="str">
        <x:f>IF(COUNTIFS('Policy Assignments'!$C$5:$C$868,$A210,'Policy Assignments'!$B$5:$B$868,K$4,'Policy Assignments'!$E$5:$E$868,"Hold")&gt;0,"H",IF(COUNTIFS('Policy Assignments'!$C$5:$C$868,$A210,'Policy Assignments'!$B$5:$B$868,K$4,'Policy Assignments'!$E$5:$E$868,"Core")&gt;0,"R",IF(COUNTIFS('Policy Assignments'!$C$5:$C$868,$A210,'Policy Assignments'!$B$5:$B$868,K$4,'Policy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L210" s="94" t="str">
        <x:f>IF(COUNTIFS('Policy Assignments'!$C$5:$C$868,$A210,'Policy Assignments'!$B$5:$B$868,L$4,'Policy Assignments'!$E$5:$E$868,"Hold")&gt;0,"H",IF(COUNTIFS('Policy Assignments'!$C$5:$C$868,$A210,'Policy Assignments'!$B$5:$B$868,L$4,'Policy Assignments'!$E$5:$E$868,"Core")&gt;0,"R",IF(COUNTIFS('Policy Assignments'!$C$5:$C$868,$A210,'Policy Assignments'!$B$5:$B$868,L$4,'Policy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M210" s="94" t="str">
        <x:f>IF(COUNTIFS('Policy Assignments'!$C$5:$C$868,$A210,'Policy Assignments'!$B$5:$B$868,M$4,'Policy Assignments'!$E$5:$E$868,"Hold")&gt;0,"H",IF(COUNTIFS('Policy Assignments'!$C$5:$C$868,$A210,'Policy Assignments'!$B$5:$B$868,M$4,'Policy Assignments'!$E$5:$E$868,"Core")&gt;0,"R",IF(COUNTIFS('Policy Assignments'!$C$5:$C$868,$A210,'Policy Assignments'!$B$5:$B$868,M$4,'Policy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v>R</x:v>
      </x:c>
      <x:c r="N210" s="94" t="str">
        <x:f>IF(COUNTIFS('Policy Assignments'!$C$5:$C$868,$A210,'Policy Assignments'!$B$5:$B$868,N$4,'Policy Assignments'!$E$5:$E$868,"Hold")&gt;0,"H",IF(COUNTIFS('Policy Assignments'!$C$5:$C$868,$A210,'Policy Assignments'!$B$5:$B$868,N$4,'Policy Assignments'!$E$5:$E$868,"Core")&gt;0,"R",IF(COUNTIFS('Policy Assignments'!$C$5:$C$868,$A210,'Policy Assignments'!$B$5:$B$868,N$4,'Policy Assignments'!$E$5:$E$868,"Conditional")&gt;0,"C",IF(COUNTIFS('Policy Assignments'!$C$5:$C$868,$A210,'Policy Assignments'!$B$5:$B$868,"General",'Policy Assignments'!$E$5:$E$868,"Hold")&gt;0,"H",IF(COUNTIFS('Policy Assignments'!$C$5:$C$868,$A210,'Policy Assignments'!$B$5:$B$868,"General",'Policy Assignments'!$E$5:$E$868,"Conditional")&gt;0,"C",IF(COUNTIFS('Policy Assignments'!$C$5:$C$868,$A210,'Policy Assignments'!$B$5:$B$868,"General")&gt;0,"G",""))))))</x:f>
      </x:c>
      <x:c r="O210" s="94" t="str">
        <x:f>IF(COUNTIFS('Policy Assignments'!$C$5:$C$868,$A210,'Policy Assignments'!$B$5:$B$868,O$4,'Policy Assignments'!$E$5:$E$868,"Hold")&gt;0,"H",IF(COUNTIFS('Policy Assignments'!$C$5:$C$868,$A210,'Policy Assignments'!$B$5:$B$868,O$4,'Policy Assignments'!$E$5:$E$868,"Core")&gt;0,"R",IF(COUNTIFS('Policy Assignments'!$C$5:$C$868,$A210,'Policy Assignments'!$B$5:$B$868,O$4,'Policy Assignments'!$E$5:$E$868,"Conditional")&gt;0,"C","")))</x:f>
      </x:c>
      <x:c r="P210" s="90" t="str">
        <x:v>Mapped</x:v>
      </x:c>
    </x:row>
    <x:row r="211" ht="22" customHeight="1">
      <x:c r="A211" s="90" t="str">
        <x:v>RM-OS-001</x:v>
      </x:c>
      <x:c r="B211" s="90" t="str">
        <x:v>Cal/OSHA Injury &amp; Illness Prevention Program (IIPP)</x:v>
      </x:c>
      <x:c r="C211" s="94" t="str">
        <x:f>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D211" s="94" t="str">
        <x:f>IF(COUNTIFS('Policy Assignments'!$C$5:$C$868,$A211,'Policy Assignments'!$B$5:$B$868,D$4,'Policy Assignments'!$E$5:$E$868,"Hold")&gt;0,"H",IF(COUNTIFS('Policy Assignments'!$C$5:$C$868,$A211,'Policy Assignments'!$B$5:$B$868,D$4,'Policy Assignments'!$E$5:$E$868,"Core")&gt;0,"R",IF(COUNTIFS('Policy Assignments'!$C$5:$C$868,$A211,'Policy Assignments'!$B$5:$B$868,D$4,'Policy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E211" s="94" t="str">
        <x:f>IF(COUNTIFS('Policy Assignments'!$C$5:$C$868,$A211,'Policy Assignments'!$B$5:$B$868,E$4,'Policy Assignments'!$E$5:$E$868,"Hold")&gt;0,"H",IF(COUNTIFS('Policy Assignments'!$C$5:$C$868,$A211,'Policy Assignments'!$B$5:$B$868,E$4,'Policy Assignments'!$E$5:$E$868,"Core")&gt;0,"R",IF(COUNTIFS('Policy Assignments'!$C$5:$C$868,$A211,'Policy Assignments'!$B$5:$B$868,E$4,'Policy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F211" s="94" t="str">
        <x:f>IF(COUNTIFS('Policy Assignments'!$C$5:$C$868,$A211,'Policy Assignments'!$B$5:$B$868,F$4,'Policy Assignments'!$E$5:$E$868,"Hold")&gt;0,"H",IF(COUNTIFS('Policy Assignments'!$C$5:$C$868,$A211,'Policy Assignments'!$B$5:$B$868,F$4,'Policy Assignments'!$E$5:$E$868,"Core")&gt;0,"R",IF(COUNTIFS('Policy Assignments'!$C$5:$C$868,$A211,'Policy Assignments'!$B$5:$B$868,F$4,'Policy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G211" s="94" t="str">
        <x:f>IF(COUNTIFS('Policy Assignments'!$C$5:$C$868,$A211,'Policy Assignments'!$B$5:$B$868,G$4,'Policy Assignments'!$E$5:$E$868,"Hold")&gt;0,"H",IF(COUNTIFS('Policy Assignments'!$C$5:$C$868,$A211,'Policy Assignments'!$B$5:$B$868,G$4,'Policy Assignments'!$E$5:$E$868,"Core")&gt;0,"R",IF(COUNTIFS('Policy Assignments'!$C$5:$C$868,$A211,'Policy Assignments'!$B$5:$B$868,G$4,'Policy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H211" s="94" t="str">
        <x:f>IF(COUNTIFS('Policy Assignments'!$C$5:$C$868,$A211,'Policy Assignments'!$B$5:$B$868,H$4,'Policy Assignments'!$E$5:$E$868,"Hold")&gt;0,"H",IF(COUNTIFS('Policy Assignments'!$C$5:$C$868,$A211,'Policy Assignments'!$B$5:$B$868,H$4,'Policy Assignments'!$E$5:$E$868,"Core")&gt;0,"R",IF(COUNTIFS('Policy Assignments'!$C$5:$C$868,$A211,'Policy Assignments'!$B$5:$B$868,H$4,'Policy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I211" s="94" t="str">
        <x:f>IF(COUNTIFS('Policy Assignments'!$C$5:$C$868,$A211,'Policy Assignments'!$B$5:$B$868,I$4,'Policy Assignments'!$E$5:$E$868,"Hold")&gt;0,"H",IF(COUNTIFS('Policy Assignments'!$C$5:$C$868,$A211,'Policy Assignments'!$B$5:$B$868,I$4,'Policy Assignments'!$E$5:$E$868,"Core")&gt;0,"R",IF(COUNTIFS('Policy Assignments'!$C$5:$C$868,$A211,'Policy Assignments'!$B$5:$B$868,I$4,'Policy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J211" s="94" t="str">
        <x:f>IF(COUNTIFS('Policy Assignments'!$C$5:$C$868,$A211,'Policy Assignments'!$B$5:$B$868,J$4,'Policy Assignments'!$E$5:$E$868,"Hold")&gt;0,"H",IF(COUNTIFS('Policy Assignments'!$C$5:$C$868,$A211,'Policy Assignments'!$B$5:$B$868,J$4,'Policy Assignments'!$E$5:$E$868,"Core")&gt;0,"R",IF(COUNTIFS('Policy Assignments'!$C$5:$C$868,$A211,'Policy Assignments'!$B$5:$B$868,J$4,'Policy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K211" s="94" t="str">
        <x:f>IF(COUNTIFS('Policy Assignments'!$C$5:$C$868,$A211,'Policy Assignments'!$B$5:$B$868,K$4,'Policy Assignments'!$E$5:$E$868,"Hold")&gt;0,"H",IF(COUNTIFS('Policy Assignments'!$C$5:$C$868,$A211,'Policy Assignments'!$B$5:$B$868,K$4,'Policy Assignments'!$E$5:$E$868,"Core")&gt;0,"R",IF(COUNTIFS('Policy Assignments'!$C$5:$C$868,$A211,'Policy Assignments'!$B$5:$B$868,K$4,'Policy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L211" s="94" t="str">
        <x:f>IF(COUNTIFS('Policy Assignments'!$C$5:$C$868,$A211,'Policy Assignments'!$B$5:$B$868,L$4,'Policy Assignments'!$E$5:$E$868,"Hold")&gt;0,"H",IF(COUNTIFS('Policy Assignments'!$C$5:$C$868,$A211,'Policy Assignments'!$B$5:$B$868,L$4,'Policy Assignments'!$E$5:$E$868,"Core")&gt;0,"R",IF(COUNTIFS('Policy Assignments'!$C$5:$C$868,$A211,'Policy Assignments'!$B$5:$B$868,L$4,'Policy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M211" s="94" t="str">
        <x:f>IF(COUNTIFS('Policy Assignments'!$C$5:$C$868,$A211,'Policy Assignments'!$B$5:$B$868,M$4,'Policy Assignments'!$E$5:$E$868,"Hold")&gt;0,"H",IF(COUNTIFS('Policy Assignments'!$C$5:$C$868,$A211,'Policy Assignments'!$B$5:$B$868,M$4,'Policy Assignments'!$E$5:$E$868,"Core")&gt;0,"R",IF(COUNTIFS('Policy Assignments'!$C$5:$C$868,$A211,'Policy Assignments'!$B$5:$B$868,M$4,'Policy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N211" s="94" t="str">
        <x:f>IF(COUNTIFS('Policy Assignments'!$C$5:$C$868,$A211,'Policy Assignments'!$B$5:$B$868,N$4,'Policy Assignments'!$E$5:$E$868,"Hold")&gt;0,"H",IF(COUNTIFS('Policy Assignments'!$C$5:$C$868,$A211,'Policy Assignments'!$B$5:$B$868,N$4,'Policy Assignments'!$E$5:$E$868,"Core")&gt;0,"R",IF(COUNTIFS('Policy Assignments'!$C$5:$C$868,$A211,'Policy Assignments'!$B$5:$B$868,N$4,'Policy Assignments'!$E$5:$E$868,"Conditional")&gt;0,"C",IF(COUNTIFS('Policy Assignments'!$C$5:$C$868,$A211,'Policy Assignments'!$B$5:$B$868,"General",'Policy Assignments'!$E$5:$E$868,"Hold")&gt;0,"H",IF(COUNTIFS('Policy Assignments'!$C$5:$C$868,$A211,'Policy Assignments'!$B$5:$B$868,"General",'Policy Assignments'!$E$5:$E$868,"Conditional")&gt;0,"C",IF(COUNTIFS('Policy Assignments'!$C$5:$C$868,$A211,'Policy Assignments'!$B$5:$B$868,"General")&gt;0,"G",""))))))</x:f>
        <x:v>G</x:v>
      </x:c>
      <x:c r="O211" s="94" t="str">
        <x:f>IF(COUNTIFS('Policy Assignments'!$C$5:$C$868,$A211,'Policy Assignments'!$B$5:$B$868,O$4,'Policy Assignments'!$E$5:$E$868,"Hold")&gt;0,"H",IF(COUNTIFS('Policy Assignments'!$C$5:$C$868,$A211,'Policy Assignments'!$B$5:$B$868,O$4,'Policy Assignments'!$E$5:$E$868,"Core")&gt;0,"R",IF(COUNTIFS('Policy Assignments'!$C$5:$C$868,$A211,'Policy Assignments'!$B$5:$B$868,O$4,'Policy Assignments'!$E$5:$E$868,"Conditional")&gt;0,"C","")))</x:f>
      </x:c>
      <x:c r="P211" s="90" t="str">
        <x:v>Mapped</x:v>
      </x:c>
    </x:row>
    <x:row r="212" ht="22" customHeight="1">
      <x:c r="A212" s="90" t="str">
        <x:v>RM-OS-002</x:v>
      </x:c>
      <x:c r="B212" s="90" t="str">
        <x:v>Aerosol Transmissible Disease (ATD) Exposure Control Plan</x:v>
      </x:c>
      <x:c r="C212" s="94" t="str">
        <x:f>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c>
      <x:c r="D212" s="94" t="str">
        <x:f>IF(COUNTIFS('Policy Assignments'!$C$5:$C$868,$A212,'Policy Assignments'!$B$5:$B$868,D$4,'Policy Assignments'!$E$5:$E$868,"Hold")&gt;0,"H",IF(COUNTIFS('Policy Assignments'!$C$5:$C$868,$A212,'Policy Assignments'!$B$5:$B$868,D$4,'Policy Assignments'!$E$5:$E$868,"Core")&gt;0,"R",IF(COUNTIFS('Policy Assignments'!$C$5:$C$868,$A212,'Policy Assignments'!$B$5:$B$868,D$4,'Policy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E212" s="94" t="str">
        <x:f>IF(COUNTIFS('Policy Assignments'!$C$5:$C$868,$A212,'Policy Assignments'!$B$5:$B$868,E$4,'Policy Assignments'!$E$5:$E$868,"Hold")&gt;0,"H",IF(COUNTIFS('Policy Assignments'!$C$5:$C$868,$A212,'Policy Assignments'!$B$5:$B$868,E$4,'Policy Assignments'!$E$5:$E$868,"Core")&gt;0,"R",IF(COUNTIFS('Policy Assignments'!$C$5:$C$868,$A212,'Policy Assignments'!$B$5:$B$868,E$4,'Policy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F212" s="94" t="str">
        <x:f>IF(COUNTIFS('Policy Assignments'!$C$5:$C$868,$A212,'Policy Assignments'!$B$5:$B$868,F$4,'Policy Assignments'!$E$5:$E$868,"Hold")&gt;0,"H",IF(COUNTIFS('Policy Assignments'!$C$5:$C$868,$A212,'Policy Assignments'!$B$5:$B$868,F$4,'Policy Assignments'!$E$5:$E$868,"Core")&gt;0,"R",IF(COUNTIFS('Policy Assignments'!$C$5:$C$868,$A212,'Policy Assignments'!$B$5:$B$868,F$4,'Policy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G212" s="94" t="str">
        <x:f>IF(COUNTIFS('Policy Assignments'!$C$5:$C$868,$A212,'Policy Assignments'!$B$5:$B$868,G$4,'Policy Assignments'!$E$5:$E$868,"Hold")&gt;0,"H",IF(COUNTIFS('Policy Assignments'!$C$5:$C$868,$A212,'Policy Assignments'!$B$5:$B$868,G$4,'Policy Assignments'!$E$5:$E$868,"Core")&gt;0,"R",IF(COUNTIFS('Policy Assignments'!$C$5:$C$868,$A212,'Policy Assignments'!$B$5:$B$868,G$4,'Policy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H212" s="94" t="str">
        <x:f>IF(COUNTIFS('Policy Assignments'!$C$5:$C$868,$A212,'Policy Assignments'!$B$5:$B$868,H$4,'Policy Assignments'!$E$5:$E$868,"Hold")&gt;0,"H",IF(COUNTIFS('Policy Assignments'!$C$5:$C$868,$A212,'Policy Assignments'!$B$5:$B$868,H$4,'Policy Assignments'!$E$5:$E$868,"Core")&gt;0,"R",IF(COUNTIFS('Policy Assignments'!$C$5:$C$868,$A212,'Policy Assignments'!$B$5:$B$868,H$4,'Policy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I212" s="94" t="str">
        <x:f>IF(COUNTIFS('Policy Assignments'!$C$5:$C$868,$A212,'Policy Assignments'!$B$5:$B$868,I$4,'Policy Assignments'!$E$5:$E$868,"Hold")&gt;0,"H",IF(COUNTIFS('Policy Assignments'!$C$5:$C$868,$A212,'Policy Assignments'!$B$5:$B$868,I$4,'Policy Assignments'!$E$5:$E$868,"Core")&gt;0,"R",IF(COUNTIFS('Policy Assignments'!$C$5:$C$868,$A212,'Policy Assignments'!$B$5:$B$868,I$4,'Policy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J212" s="94" t="str">
        <x:f>IF(COUNTIFS('Policy Assignments'!$C$5:$C$868,$A212,'Policy Assignments'!$B$5:$B$868,J$4,'Policy Assignments'!$E$5:$E$868,"Hold")&gt;0,"H",IF(COUNTIFS('Policy Assignments'!$C$5:$C$868,$A212,'Policy Assignments'!$B$5:$B$868,J$4,'Policy Assignments'!$E$5:$E$868,"Core")&gt;0,"R",IF(COUNTIFS('Policy Assignments'!$C$5:$C$868,$A212,'Policy Assignments'!$B$5:$B$868,J$4,'Policy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K212" s="94" t="str">
        <x:f>IF(COUNTIFS('Policy Assignments'!$C$5:$C$868,$A212,'Policy Assignments'!$B$5:$B$868,K$4,'Policy Assignments'!$E$5:$E$868,"Hold")&gt;0,"H",IF(COUNTIFS('Policy Assignments'!$C$5:$C$868,$A212,'Policy Assignments'!$B$5:$B$868,K$4,'Policy Assignments'!$E$5:$E$868,"Core")&gt;0,"R",IF(COUNTIFS('Policy Assignments'!$C$5:$C$868,$A212,'Policy Assignments'!$B$5:$B$868,K$4,'Policy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L212" s="94" t="str">
        <x:f>IF(COUNTIFS('Policy Assignments'!$C$5:$C$868,$A212,'Policy Assignments'!$B$5:$B$868,L$4,'Policy Assignments'!$E$5:$E$868,"Hold")&gt;0,"H",IF(COUNTIFS('Policy Assignments'!$C$5:$C$868,$A212,'Policy Assignments'!$B$5:$B$868,L$4,'Policy Assignments'!$E$5:$E$868,"Core")&gt;0,"R",IF(COUNTIFS('Policy Assignments'!$C$5:$C$868,$A212,'Policy Assignments'!$B$5:$B$868,L$4,'Policy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v>R</x:v>
      </x:c>
      <x:c r="M212" s="94" t="str">
        <x:f>IF(COUNTIFS('Policy Assignments'!$C$5:$C$868,$A212,'Policy Assignments'!$B$5:$B$868,M$4,'Policy Assignments'!$E$5:$E$868,"Hold")&gt;0,"H",IF(COUNTIFS('Policy Assignments'!$C$5:$C$868,$A212,'Policy Assignments'!$B$5:$B$868,M$4,'Policy Assignments'!$E$5:$E$868,"Core")&gt;0,"R",IF(COUNTIFS('Policy Assignments'!$C$5:$C$868,$A212,'Policy Assignments'!$B$5:$B$868,M$4,'Policy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c>
      <x:c r="N212" s="94" t="str">
        <x:f>IF(COUNTIFS('Policy Assignments'!$C$5:$C$868,$A212,'Policy Assignments'!$B$5:$B$868,N$4,'Policy Assignments'!$E$5:$E$868,"Hold")&gt;0,"H",IF(COUNTIFS('Policy Assignments'!$C$5:$C$868,$A212,'Policy Assignments'!$B$5:$B$868,N$4,'Policy Assignments'!$E$5:$E$868,"Core")&gt;0,"R",IF(COUNTIFS('Policy Assignments'!$C$5:$C$868,$A212,'Policy Assignments'!$B$5:$B$868,N$4,'Policy Assignments'!$E$5:$E$868,"Conditional")&gt;0,"C",IF(COUNTIFS('Policy Assignments'!$C$5:$C$868,$A212,'Policy Assignments'!$B$5:$B$868,"General",'Policy Assignments'!$E$5:$E$868,"Hold")&gt;0,"H",IF(COUNTIFS('Policy Assignments'!$C$5:$C$868,$A212,'Policy Assignments'!$B$5:$B$868,"General",'Policy Assignments'!$E$5:$E$868,"Conditional")&gt;0,"C",IF(COUNTIFS('Policy Assignments'!$C$5:$C$868,$A212,'Policy Assignments'!$B$5:$B$868,"General")&gt;0,"G",""))))))</x:f>
      </x:c>
      <x:c r="O212" s="94" t="str">
        <x:f>IF(COUNTIFS('Policy Assignments'!$C$5:$C$868,$A212,'Policy Assignments'!$B$5:$B$868,O$4,'Policy Assignments'!$E$5:$E$868,"Hold")&gt;0,"H",IF(COUNTIFS('Policy Assignments'!$C$5:$C$868,$A212,'Policy Assignments'!$B$5:$B$868,O$4,'Policy Assignments'!$E$5:$E$868,"Core")&gt;0,"R",IF(COUNTIFS('Policy Assignments'!$C$5:$C$868,$A212,'Policy Assignments'!$B$5:$B$868,O$4,'Policy Assignments'!$E$5:$E$868,"Conditional")&gt;0,"C","")))</x:f>
      </x:c>
      <x:c r="P212" s="90" t="str">
        <x:v>Mapped</x:v>
      </x:c>
    </x:row>
    <x:row r="213" ht="22" customHeight="1">
      <x:c r="A213" s="90" t="str">
        <x:v>RM-OS-003</x:v>
      </x:c>
      <x:c r="B213" s="90" t="str">
        <x:v>Bloodborne Pathogen (BBP) Exposure Control Plan</x:v>
      </x:c>
      <x:c r="C213" s="94" t="str">
        <x:f>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c>
      <x:c r="D213" s="94" t="str">
        <x:f>IF(COUNTIFS('Policy Assignments'!$C$5:$C$868,$A213,'Policy Assignments'!$B$5:$B$868,D$4,'Policy Assignments'!$E$5:$E$868,"Hold")&gt;0,"H",IF(COUNTIFS('Policy Assignments'!$C$5:$C$868,$A213,'Policy Assignments'!$B$5:$B$868,D$4,'Policy Assignments'!$E$5:$E$868,"Core")&gt;0,"R",IF(COUNTIFS('Policy Assignments'!$C$5:$C$868,$A213,'Policy Assignments'!$B$5:$B$868,D$4,'Policy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E213" s="94" t="str">
        <x:f>IF(COUNTIFS('Policy Assignments'!$C$5:$C$868,$A213,'Policy Assignments'!$B$5:$B$868,E$4,'Policy Assignments'!$E$5:$E$868,"Hold")&gt;0,"H",IF(COUNTIFS('Policy Assignments'!$C$5:$C$868,$A213,'Policy Assignments'!$B$5:$B$868,E$4,'Policy Assignments'!$E$5:$E$868,"Core")&gt;0,"R",IF(COUNTIFS('Policy Assignments'!$C$5:$C$868,$A213,'Policy Assignments'!$B$5:$B$868,E$4,'Policy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F213" s="94" t="str">
        <x:f>IF(COUNTIFS('Policy Assignments'!$C$5:$C$868,$A213,'Policy Assignments'!$B$5:$B$868,F$4,'Policy Assignments'!$E$5:$E$868,"Hold")&gt;0,"H",IF(COUNTIFS('Policy Assignments'!$C$5:$C$868,$A213,'Policy Assignments'!$B$5:$B$868,F$4,'Policy Assignments'!$E$5:$E$868,"Core")&gt;0,"R",IF(COUNTIFS('Policy Assignments'!$C$5:$C$868,$A213,'Policy Assignments'!$B$5:$B$868,F$4,'Policy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G213" s="94" t="str">
        <x:f>IF(COUNTIFS('Policy Assignments'!$C$5:$C$868,$A213,'Policy Assignments'!$B$5:$B$868,G$4,'Policy Assignments'!$E$5:$E$868,"Hold")&gt;0,"H",IF(COUNTIFS('Policy Assignments'!$C$5:$C$868,$A213,'Policy Assignments'!$B$5:$B$868,G$4,'Policy Assignments'!$E$5:$E$868,"Core")&gt;0,"R",IF(COUNTIFS('Policy Assignments'!$C$5:$C$868,$A213,'Policy Assignments'!$B$5:$B$868,G$4,'Policy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H213" s="94" t="str">
        <x:f>IF(COUNTIFS('Policy Assignments'!$C$5:$C$868,$A213,'Policy Assignments'!$B$5:$B$868,H$4,'Policy Assignments'!$E$5:$E$868,"Hold")&gt;0,"H",IF(COUNTIFS('Policy Assignments'!$C$5:$C$868,$A213,'Policy Assignments'!$B$5:$B$868,H$4,'Policy Assignments'!$E$5:$E$868,"Core")&gt;0,"R",IF(COUNTIFS('Policy Assignments'!$C$5:$C$868,$A213,'Policy Assignments'!$B$5:$B$868,H$4,'Policy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I213" s="94" t="str">
        <x:f>IF(COUNTIFS('Policy Assignments'!$C$5:$C$868,$A213,'Policy Assignments'!$B$5:$B$868,I$4,'Policy Assignments'!$E$5:$E$868,"Hold")&gt;0,"H",IF(COUNTIFS('Policy Assignments'!$C$5:$C$868,$A213,'Policy Assignments'!$B$5:$B$868,I$4,'Policy Assignments'!$E$5:$E$868,"Core")&gt;0,"R",IF(COUNTIFS('Policy Assignments'!$C$5:$C$868,$A213,'Policy Assignments'!$B$5:$B$868,I$4,'Policy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J213" s="94" t="str">
        <x:f>IF(COUNTIFS('Policy Assignments'!$C$5:$C$868,$A213,'Policy Assignments'!$B$5:$B$868,J$4,'Policy Assignments'!$E$5:$E$868,"Hold")&gt;0,"H",IF(COUNTIFS('Policy Assignments'!$C$5:$C$868,$A213,'Policy Assignments'!$B$5:$B$868,J$4,'Policy Assignments'!$E$5:$E$868,"Core")&gt;0,"R",IF(COUNTIFS('Policy Assignments'!$C$5:$C$868,$A213,'Policy Assignments'!$B$5:$B$868,J$4,'Policy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K213" s="94" t="str">
        <x:f>IF(COUNTIFS('Policy Assignments'!$C$5:$C$868,$A213,'Policy Assignments'!$B$5:$B$868,K$4,'Policy Assignments'!$E$5:$E$868,"Hold")&gt;0,"H",IF(COUNTIFS('Policy Assignments'!$C$5:$C$868,$A213,'Policy Assignments'!$B$5:$B$868,K$4,'Policy Assignments'!$E$5:$E$868,"Core")&gt;0,"R",IF(COUNTIFS('Policy Assignments'!$C$5:$C$868,$A213,'Policy Assignments'!$B$5:$B$868,K$4,'Policy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L213" s="94" t="str">
        <x:f>IF(COUNTIFS('Policy Assignments'!$C$5:$C$868,$A213,'Policy Assignments'!$B$5:$B$868,L$4,'Policy Assignments'!$E$5:$E$868,"Hold")&gt;0,"H",IF(COUNTIFS('Policy Assignments'!$C$5:$C$868,$A213,'Policy Assignments'!$B$5:$B$868,L$4,'Policy Assignments'!$E$5:$E$868,"Core")&gt;0,"R",IF(COUNTIFS('Policy Assignments'!$C$5:$C$868,$A213,'Policy Assignments'!$B$5:$B$868,L$4,'Policy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v>R</x:v>
      </x:c>
      <x:c r="M213" s="94" t="str">
        <x:f>IF(COUNTIFS('Policy Assignments'!$C$5:$C$868,$A213,'Policy Assignments'!$B$5:$B$868,M$4,'Policy Assignments'!$E$5:$E$868,"Hold")&gt;0,"H",IF(COUNTIFS('Policy Assignments'!$C$5:$C$868,$A213,'Policy Assignments'!$B$5:$B$868,M$4,'Policy Assignments'!$E$5:$E$868,"Core")&gt;0,"R",IF(COUNTIFS('Policy Assignments'!$C$5:$C$868,$A213,'Policy Assignments'!$B$5:$B$868,M$4,'Policy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c>
      <x:c r="N213" s="94" t="str">
        <x:f>IF(COUNTIFS('Policy Assignments'!$C$5:$C$868,$A213,'Policy Assignments'!$B$5:$B$868,N$4,'Policy Assignments'!$E$5:$E$868,"Hold")&gt;0,"H",IF(COUNTIFS('Policy Assignments'!$C$5:$C$868,$A213,'Policy Assignments'!$B$5:$B$868,N$4,'Policy Assignments'!$E$5:$E$868,"Core")&gt;0,"R",IF(COUNTIFS('Policy Assignments'!$C$5:$C$868,$A213,'Policy Assignments'!$B$5:$B$868,N$4,'Policy Assignments'!$E$5:$E$868,"Conditional")&gt;0,"C",IF(COUNTIFS('Policy Assignments'!$C$5:$C$868,$A213,'Policy Assignments'!$B$5:$B$868,"General",'Policy Assignments'!$E$5:$E$868,"Hold")&gt;0,"H",IF(COUNTIFS('Policy Assignments'!$C$5:$C$868,$A213,'Policy Assignments'!$B$5:$B$868,"General",'Policy Assignments'!$E$5:$E$868,"Conditional")&gt;0,"C",IF(COUNTIFS('Policy Assignments'!$C$5:$C$868,$A213,'Policy Assignments'!$B$5:$B$868,"General")&gt;0,"G",""))))))</x:f>
      </x:c>
      <x:c r="O213" s="94" t="str">
        <x:f>IF(COUNTIFS('Policy Assignments'!$C$5:$C$868,$A213,'Policy Assignments'!$B$5:$B$868,O$4,'Policy Assignments'!$E$5:$E$868,"Hold")&gt;0,"H",IF(COUNTIFS('Policy Assignments'!$C$5:$C$868,$A213,'Policy Assignments'!$B$5:$B$868,O$4,'Policy Assignments'!$E$5:$E$868,"Core")&gt;0,"R",IF(COUNTIFS('Policy Assignments'!$C$5:$C$868,$A213,'Policy Assignments'!$B$5:$B$868,O$4,'Policy Assignments'!$E$5:$E$868,"Conditional")&gt;0,"C","")))</x:f>
      </x:c>
      <x:c r="P213" s="90" t="str">
        <x:v>Mapped</x:v>
      </x:c>
    </x:row>
    <x:row r="214" ht="22" customHeight="1">
      <x:c r="A214" s="90" t="str">
        <x:v>RM-OS-004</x:v>
      </x:c>
      <x:c r="B214" s="90" t="str">
        <x:v>Heat Illness Prevention Program</x:v>
      </x:c>
      <x:c r="C214" s="94" t="str">
        <x:f>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c>
      <x:c r="D214" s="94" t="str">
        <x:f>IF(COUNTIFS('Policy Assignments'!$C$5:$C$868,$A214,'Policy Assignments'!$B$5:$B$868,D$4,'Policy Assignments'!$E$5:$E$868,"Hold")&gt;0,"H",IF(COUNTIFS('Policy Assignments'!$C$5:$C$868,$A214,'Policy Assignments'!$B$5:$B$868,D$4,'Policy Assignments'!$E$5:$E$868,"Core")&gt;0,"R",IF(COUNTIFS('Policy Assignments'!$C$5:$C$868,$A214,'Policy Assignments'!$B$5:$B$868,D$4,'Policy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E214" s="94" t="str">
        <x:f>IF(COUNTIFS('Policy Assignments'!$C$5:$C$868,$A214,'Policy Assignments'!$B$5:$B$868,E$4,'Policy Assignments'!$E$5:$E$868,"Hold")&gt;0,"H",IF(COUNTIFS('Policy Assignments'!$C$5:$C$868,$A214,'Policy Assignments'!$B$5:$B$868,E$4,'Policy Assignments'!$E$5:$E$868,"Core")&gt;0,"R",IF(COUNTIFS('Policy Assignments'!$C$5:$C$868,$A214,'Policy Assignments'!$B$5:$B$868,E$4,'Policy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F214" s="94" t="str">
        <x:f>IF(COUNTIFS('Policy Assignments'!$C$5:$C$868,$A214,'Policy Assignments'!$B$5:$B$868,F$4,'Policy Assignments'!$E$5:$E$868,"Hold")&gt;0,"H",IF(COUNTIFS('Policy Assignments'!$C$5:$C$868,$A214,'Policy Assignments'!$B$5:$B$868,F$4,'Policy Assignments'!$E$5:$E$868,"Core")&gt;0,"R",IF(COUNTIFS('Policy Assignments'!$C$5:$C$868,$A214,'Policy Assignments'!$B$5:$B$868,F$4,'Policy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G214" s="94" t="str">
        <x:f>IF(COUNTIFS('Policy Assignments'!$C$5:$C$868,$A214,'Policy Assignments'!$B$5:$B$868,G$4,'Policy Assignments'!$E$5:$E$868,"Hold")&gt;0,"H",IF(COUNTIFS('Policy Assignments'!$C$5:$C$868,$A214,'Policy Assignments'!$B$5:$B$868,G$4,'Policy Assignments'!$E$5:$E$868,"Core")&gt;0,"R",IF(COUNTIFS('Policy Assignments'!$C$5:$C$868,$A214,'Policy Assignments'!$B$5:$B$868,G$4,'Policy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H214" s="94" t="str">
        <x:f>IF(COUNTIFS('Policy Assignments'!$C$5:$C$868,$A214,'Policy Assignments'!$B$5:$B$868,H$4,'Policy Assignments'!$E$5:$E$868,"Hold")&gt;0,"H",IF(COUNTIFS('Policy Assignments'!$C$5:$C$868,$A214,'Policy Assignments'!$B$5:$B$868,H$4,'Policy Assignments'!$E$5:$E$868,"Core")&gt;0,"R",IF(COUNTIFS('Policy Assignments'!$C$5:$C$868,$A214,'Policy Assignments'!$B$5:$B$868,H$4,'Policy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I214" s="94" t="str">
        <x:f>IF(COUNTIFS('Policy Assignments'!$C$5:$C$868,$A214,'Policy Assignments'!$B$5:$B$868,I$4,'Policy Assignments'!$E$5:$E$868,"Hold")&gt;0,"H",IF(COUNTIFS('Policy Assignments'!$C$5:$C$868,$A214,'Policy Assignments'!$B$5:$B$868,I$4,'Policy Assignments'!$E$5:$E$868,"Core")&gt;0,"R",IF(COUNTIFS('Policy Assignments'!$C$5:$C$868,$A214,'Policy Assignments'!$B$5:$B$868,I$4,'Policy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J214" s="94" t="str">
        <x:f>IF(COUNTIFS('Policy Assignments'!$C$5:$C$868,$A214,'Policy Assignments'!$B$5:$B$868,J$4,'Policy Assignments'!$E$5:$E$868,"Hold")&gt;0,"H",IF(COUNTIFS('Policy Assignments'!$C$5:$C$868,$A214,'Policy Assignments'!$B$5:$B$868,J$4,'Policy Assignments'!$E$5:$E$868,"Core")&gt;0,"R",IF(COUNTIFS('Policy Assignments'!$C$5:$C$868,$A214,'Policy Assignments'!$B$5:$B$868,J$4,'Policy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K214" s="94" t="str">
        <x:f>IF(COUNTIFS('Policy Assignments'!$C$5:$C$868,$A214,'Policy Assignments'!$B$5:$B$868,K$4,'Policy Assignments'!$E$5:$E$868,"Hold")&gt;0,"H",IF(COUNTIFS('Policy Assignments'!$C$5:$C$868,$A214,'Policy Assignments'!$B$5:$B$868,K$4,'Policy Assignments'!$E$5:$E$868,"Core")&gt;0,"R",IF(COUNTIFS('Policy Assignments'!$C$5:$C$868,$A214,'Policy Assignments'!$B$5:$B$868,K$4,'Policy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L214" s="94" t="str">
        <x:f>IF(COUNTIFS('Policy Assignments'!$C$5:$C$868,$A214,'Policy Assignments'!$B$5:$B$868,L$4,'Policy Assignments'!$E$5:$E$868,"Hold")&gt;0,"H",IF(COUNTIFS('Policy Assignments'!$C$5:$C$868,$A214,'Policy Assignments'!$B$5:$B$868,L$4,'Policy Assignments'!$E$5:$E$868,"Core")&gt;0,"R",IF(COUNTIFS('Policy Assignments'!$C$5:$C$868,$A214,'Policy Assignments'!$B$5:$B$868,L$4,'Policy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v>C</x:v>
      </x:c>
      <x:c r="M214" s="94" t="str">
        <x:f>IF(COUNTIFS('Policy Assignments'!$C$5:$C$868,$A214,'Policy Assignments'!$B$5:$B$868,M$4,'Policy Assignments'!$E$5:$E$868,"Hold")&gt;0,"H",IF(COUNTIFS('Policy Assignments'!$C$5:$C$868,$A214,'Policy Assignments'!$B$5:$B$868,M$4,'Policy Assignments'!$E$5:$E$868,"Core")&gt;0,"R",IF(COUNTIFS('Policy Assignments'!$C$5:$C$868,$A214,'Policy Assignments'!$B$5:$B$868,M$4,'Policy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c>
      <x:c r="N214" s="94" t="str">
        <x:f>IF(COUNTIFS('Policy Assignments'!$C$5:$C$868,$A214,'Policy Assignments'!$B$5:$B$868,N$4,'Policy Assignments'!$E$5:$E$868,"Hold")&gt;0,"H",IF(COUNTIFS('Policy Assignments'!$C$5:$C$868,$A214,'Policy Assignments'!$B$5:$B$868,N$4,'Policy Assignments'!$E$5:$E$868,"Core")&gt;0,"R",IF(COUNTIFS('Policy Assignments'!$C$5:$C$868,$A214,'Policy Assignments'!$B$5:$B$868,N$4,'Policy Assignments'!$E$5:$E$868,"Conditional")&gt;0,"C",IF(COUNTIFS('Policy Assignments'!$C$5:$C$868,$A214,'Policy Assignments'!$B$5:$B$868,"General",'Policy Assignments'!$E$5:$E$868,"Hold")&gt;0,"H",IF(COUNTIFS('Policy Assignments'!$C$5:$C$868,$A214,'Policy Assignments'!$B$5:$B$868,"General",'Policy Assignments'!$E$5:$E$868,"Conditional")&gt;0,"C",IF(COUNTIFS('Policy Assignments'!$C$5:$C$868,$A214,'Policy Assignments'!$B$5:$B$868,"General")&gt;0,"G",""))))))</x:f>
      </x:c>
      <x:c r="O214" s="94" t="str">
        <x:f>IF(COUNTIFS('Policy Assignments'!$C$5:$C$868,$A214,'Policy Assignments'!$B$5:$B$868,O$4,'Policy Assignments'!$E$5:$E$868,"Hold")&gt;0,"H",IF(COUNTIFS('Policy Assignments'!$C$5:$C$868,$A214,'Policy Assignments'!$B$5:$B$868,O$4,'Policy Assignments'!$E$5:$E$868,"Core")&gt;0,"R",IF(COUNTIFS('Policy Assignments'!$C$5:$C$868,$A214,'Policy Assignments'!$B$5:$B$868,O$4,'Policy Assignments'!$E$5:$E$868,"Conditional")&gt;0,"C","")))</x:f>
      </x:c>
      <x:c r="P214" s="90" t="str">
        <x:v>Mapped</x:v>
      </x:c>
    </x:row>
    <x:row r="215" ht="22" customHeight="1">
      <x:c r="A215" s="90" t="str">
        <x:v>RM-PS-001</x:v>
      </x:c>
      <x:c r="B215" s="90" t="str">
        <x:v>Environmental Safety Assessment</x:v>
      </x:c>
      <x:c r="C215" s="94" t="str">
        <x:f>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c>
      <x:c r="D215" s="94" t="str">
        <x:f>IF(COUNTIFS('Policy Assignments'!$C$5:$C$868,$A215,'Policy Assignments'!$B$5:$B$868,D$4,'Policy Assignments'!$E$5:$E$868,"Hold")&gt;0,"H",IF(COUNTIFS('Policy Assignments'!$C$5:$C$868,$A215,'Policy Assignments'!$B$5:$B$868,D$4,'Policy Assignments'!$E$5:$E$868,"Core")&gt;0,"R",IF(COUNTIFS('Policy Assignments'!$C$5:$C$868,$A215,'Policy Assignments'!$B$5:$B$868,D$4,'Policy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E215" s="94" t="str">
        <x:f>IF(COUNTIFS('Policy Assignments'!$C$5:$C$868,$A215,'Policy Assignments'!$B$5:$B$868,E$4,'Policy Assignments'!$E$5:$E$868,"Hold")&gt;0,"H",IF(COUNTIFS('Policy Assignments'!$C$5:$C$868,$A215,'Policy Assignments'!$B$5:$B$868,E$4,'Policy Assignments'!$E$5:$E$868,"Core")&gt;0,"R",IF(COUNTIFS('Policy Assignments'!$C$5:$C$868,$A215,'Policy Assignments'!$B$5:$B$868,E$4,'Policy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F215" s="94" t="str">
        <x:f>IF(COUNTIFS('Policy Assignments'!$C$5:$C$868,$A215,'Policy Assignments'!$B$5:$B$868,F$4,'Policy Assignments'!$E$5:$E$868,"Hold")&gt;0,"H",IF(COUNTIFS('Policy Assignments'!$C$5:$C$868,$A215,'Policy Assignments'!$B$5:$B$868,F$4,'Policy Assignments'!$E$5:$E$868,"Core")&gt;0,"R",IF(COUNTIFS('Policy Assignments'!$C$5:$C$868,$A215,'Policy Assignments'!$B$5:$B$868,F$4,'Policy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G215" s="94" t="str">
        <x:f>IF(COUNTIFS('Policy Assignments'!$C$5:$C$868,$A215,'Policy Assignments'!$B$5:$B$868,G$4,'Policy Assignments'!$E$5:$E$868,"Hold")&gt;0,"H",IF(COUNTIFS('Policy Assignments'!$C$5:$C$868,$A215,'Policy Assignments'!$B$5:$B$868,G$4,'Policy Assignments'!$E$5:$E$868,"Core")&gt;0,"R",IF(COUNTIFS('Policy Assignments'!$C$5:$C$868,$A215,'Policy Assignments'!$B$5:$B$868,G$4,'Policy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H215" s="94" t="str">
        <x:f>IF(COUNTIFS('Policy Assignments'!$C$5:$C$868,$A215,'Policy Assignments'!$B$5:$B$868,H$4,'Policy Assignments'!$E$5:$E$868,"Hold")&gt;0,"H",IF(COUNTIFS('Policy Assignments'!$C$5:$C$868,$A215,'Policy Assignments'!$B$5:$B$868,H$4,'Policy Assignments'!$E$5:$E$868,"Core")&gt;0,"R",IF(COUNTIFS('Policy Assignments'!$C$5:$C$868,$A215,'Policy Assignments'!$B$5:$B$868,H$4,'Policy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I215" s="94" t="str">
        <x:f>IF(COUNTIFS('Policy Assignments'!$C$5:$C$868,$A215,'Policy Assignments'!$B$5:$B$868,I$4,'Policy Assignments'!$E$5:$E$868,"Hold")&gt;0,"H",IF(COUNTIFS('Policy Assignments'!$C$5:$C$868,$A215,'Policy Assignments'!$B$5:$B$868,I$4,'Policy Assignments'!$E$5:$E$868,"Core")&gt;0,"R",IF(COUNTIFS('Policy Assignments'!$C$5:$C$868,$A215,'Policy Assignments'!$B$5:$B$868,I$4,'Policy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J215" s="94" t="str">
        <x:f>IF(COUNTIFS('Policy Assignments'!$C$5:$C$868,$A215,'Policy Assignments'!$B$5:$B$868,J$4,'Policy Assignments'!$E$5:$E$868,"Hold")&gt;0,"H",IF(COUNTIFS('Policy Assignments'!$C$5:$C$868,$A215,'Policy Assignments'!$B$5:$B$868,J$4,'Policy Assignments'!$E$5:$E$868,"Core")&gt;0,"R",IF(COUNTIFS('Policy Assignments'!$C$5:$C$868,$A215,'Policy Assignments'!$B$5:$B$868,J$4,'Policy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K215" s="94" t="str">
        <x:f>IF(COUNTIFS('Policy Assignments'!$C$5:$C$868,$A215,'Policy Assignments'!$B$5:$B$868,K$4,'Policy Assignments'!$E$5:$E$868,"Hold")&gt;0,"H",IF(COUNTIFS('Policy Assignments'!$C$5:$C$868,$A215,'Policy Assignments'!$B$5:$B$868,K$4,'Policy Assignments'!$E$5:$E$868,"Core")&gt;0,"R",IF(COUNTIFS('Policy Assignments'!$C$5:$C$868,$A215,'Policy Assignments'!$B$5:$B$868,K$4,'Policy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L215" s="94" t="str">
        <x:f>IF(COUNTIFS('Policy Assignments'!$C$5:$C$868,$A215,'Policy Assignments'!$B$5:$B$868,L$4,'Policy Assignments'!$E$5:$E$868,"Hold")&gt;0,"H",IF(COUNTIFS('Policy Assignments'!$C$5:$C$868,$A215,'Policy Assignments'!$B$5:$B$868,L$4,'Policy Assignments'!$E$5:$E$868,"Core")&gt;0,"R",IF(COUNTIFS('Policy Assignments'!$C$5:$C$868,$A215,'Policy Assignments'!$B$5:$B$868,L$4,'Policy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v>R</x:v>
      </x:c>
      <x:c r="M215" s="94" t="str">
        <x:f>IF(COUNTIFS('Policy Assignments'!$C$5:$C$868,$A215,'Policy Assignments'!$B$5:$B$868,M$4,'Policy Assignments'!$E$5:$E$868,"Hold")&gt;0,"H",IF(COUNTIFS('Policy Assignments'!$C$5:$C$868,$A215,'Policy Assignments'!$B$5:$B$868,M$4,'Policy Assignments'!$E$5:$E$868,"Core")&gt;0,"R",IF(COUNTIFS('Policy Assignments'!$C$5:$C$868,$A215,'Policy Assignments'!$B$5:$B$868,M$4,'Policy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c>
      <x:c r="N215" s="94" t="str">
        <x:f>IF(COUNTIFS('Policy Assignments'!$C$5:$C$868,$A215,'Policy Assignments'!$B$5:$B$868,N$4,'Policy Assignments'!$E$5:$E$868,"Hold")&gt;0,"H",IF(COUNTIFS('Policy Assignments'!$C$5:$C$868,$A215,'Policy Assignments'!$B$5:$B$868,N$4,'Policy Assignments'!$E$5:$E$868,"Core")&gt;0,"R",IF(COUNTIFS('Policy Assignments'!$C$5:$C$868,$A215,'Policy Assignments'!$B$5:$B$868,N$4,'Policy Assignments'!$E$5:$E$868,"Conditional")&gt;0,"C",IF(COUNTIFS('Policy Assignments'!$C$5:$C$868,$A215,'Policy Assignments'!$B$5:$B$868,"General",'Policy Assignments'!$E$5:$E$868,"Hold")&gt;0,"H",IF(COUNTIFS('Policy Assignments'!$C$5:$C$868,$A215,'Policy Assignments'!$B$5:$B$868,"General",'Policy Assignments'!$E$5:$E$868,"Conditional")&gt;0,"C",IF(COUNTIFS('Policy Assignments'!$C$5:$C$868,$A215,'Policy Assignments'!$B$5:$B$868,"General")&gt;0,"G",""))))))</x:f>
      </x:c>
      <x:c r="O215" s="94" t="str">
        <x:f>IF(COUNTIFS('Policy Assignments'!$C$5:$C$868,$A215,'Policy Assignments'!$B$5:$B$868,O$4,'Policy Assignments'!$E$5:$E$868,"Hold")&gt;0,"H",IF(COUNTIFS('Policy Assignments'!$C$5:$C$868,$A215,'Policy Assignments'!$B$5:$B$868,O$4,'Policy Assignments'!$E$5:$E$868,"Core")&gt;0,"R",IF(COUNTIFS('Policy Assignments'!$C$5:$C$868,$A215,'Policy Assignments'!$B$5:$B$868,O$4,'Policy Assignments'!$E$5:$E$868,"Conditional")&gt;0,"C","")))</x:f>
      </x:c>
      <x:c r="P215" s="90" t="str">
        <x:v>Mapped</x:v>
      </x:c>
    </x:row>
    <x:row r="216" ht="22" customHeight="1">
      <x:c r="A216" s="90" t="str">
        <x:v>RM-PS-002</x:v>
      </x:c>
      <x:c r="B216" s="90" t="str">
        <x:v>Hazardous Materials &amp; Waste Management</x:v>
      </x:c>
      <x:c r="C216" s="94" t="str">
        <x:f>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D216" s="94" t="str">
        <x:f>IF(COUNTIFS('Policy Assignments'!$C$5:$C$868,$A216,'Policy Assignments'!$B$5:$B$868,D$4,'Policy Assignments'!$E$5:$E$868,"Hold")&gt;0,"H",IF(COUNTIFS('Policy Assignments'!$C$5:$C$868,$A216,'Policy Assignments'!$B$5:$B$868,D$4,'Policy Assignments'!$E$5:$E$868,"Core")&gt;0,"R",IF(COUNTIFS('Policy Assignments'!$C$5:$C$868,$A216,'Policy Assignments'!$B$5:$B$868,D$4,'Policy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v>C</x:v>
      </x:c>
      <x:c r="E216" s="94" t="str">
        <x:f>IF(COUNTIFS('Policy Assignments'!$C$5:$C$868,$A216,'Policy Assignments'!$B$5:$B$868,E$4,'Policy Assignments'!$E$5:$E$868,"Hold")&gt;0,"H",IF(COUNTIFS('Policy Assignments'!$C$5:$C$868,$A216,'Policy Assignments'!$B$5:$B$868,E$4,'Policy Assignments'!$E$5:$E$868,"Core")&gt;0,"R",IF(COUNTIFS('Policy Assignments'!$C$5:$C$868,$A216,'Policy Assignments'!$B$5:$B$868,E$4,'Policy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v>C</x:v>
      </x:c>
      <x:c r="F216" s="94" t="str">
        <x:f>IF(COUNTIFS('Policy Assignments'!$C$5:$C$868,$A216,'Policy Assignments'!$B$5:$B$868,F$4,'Policy Assignments'!$E$5:$E$868,"Hold")&gt;0,"H",IF(COUNTIFS('Policy Assignments'!$C$5:$C$868,$A216,'Policy Assignments'!$B$5:$B$868,F$4,'Policy Assignments'!$E$5:$E$868,"Core")&gt;0,"R",IF(COUNTIFS('Policy Assignments'!$C$5:$C$868,$A216,'Policy Assignments'!$B$5:$B$868,F$4,'Policy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v>C</x:v>
      </x:c>
      <x:c r="G216" s="94" t="str">
        <x:f>IF(COUNTIFS('Policy Assignments'!$C$5:$C$868,$A216,'Policy Assignments'!$B$5:$B$868,G$4,'Policy Assignments'!$E$5:$E$868,"Hold")&gt;0,"H",IF(COUNTIFS('Policy Assignments'!$C$5:$C$868,$A216,'Policy Assignments'!$B$5:$B$868,G$4,'Policy Assignments'!$E$5:$E$868,"Core")&gt;0,"R",IF(COUNTIFS('Policy Assignments'!$C$5:$C$868,$A216,'Policy Assignments'!$B$5:$B$868,G$4,'Policy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H216" s="94" t="str">
        <x:f>IF(COUNTIFS('Policy Assignments'!$C$5:$C$868,$A216,'Policy Assignments'!$B$5:$B$868,H$4,'Policy Assignments'!$E$5:$E$868,"Hold")&gt;0,"H",IF(COUNTIFS('Policy Assignments'!$C$5:$C$868,$A216,'Policy Assignments'!$B$5:$B$868,H$4,'Policy Assignments'!$E$5:$E$868,"Core")&gt;0,"R",IF(COUNTIFS('Policy Assignments'!$C$5:$C$868,$A216,'Policy Assignments'!$B$5:$B$868,H$4,'Policy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I216" s="94" t="str">
        <x:f>IF(COUNTIFS('Policy Assignments'!$C$5:$C$868,$A216,'Policy Assignments'!$B$5:$B$868,I$4,'Policy Assignments'!$E$5:$E$868,"Hold")&gt;0,"H",IF(COUNTIFS('Policy Assignments'!$C$5:$C$868,$A216,'Policy Assignments'!$B$5:$B$868,I$4,'Policy Assignments'!$E$5:$E$868,"Core")&gt;0,"R",IF(COUNTIFS('Policy Assignments'!$C$5:$C$868,$A216,'Policy Assignments'!$B$5:$B$868,I$4,'Policy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J216" s="94" t="str">
        <x:f>IF(COUNTIFS('Policy Assignments'!$C$5:$C$868,$A216,'Policy Assignments'!$B$5:$B$868,J$4,'Policy Assignments'!$E$5:$E$868,"Hold")&gt;0,"H",IF(COUNTIFS('Policy Assignments'!$C$5:$C$868,$A216,'Policy Assignments'!$B$5:$B$868,J$4,'Policy Assignments'!$E$5:$E$868,"Core")&gt;0,"R",IF(COUNTIFS('Policy Assignments'!$C$5:$C$868,$A216,'Policy Assignments'!$B$5:$B$868,J$4,'Policy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K216" s="94" t="str">
        <x:f>IF(COUNTIFS('Policy Assignments'!$C$5:$C$868,$A216,'Policy Assignments'!$B$5:$B$868,K$4,'Policy Assignments'!$E$5:$E$868,"Hold")&gt;0,"H",IF(COUNTIFS('Policy Assignments'!$C$5:$C$868,$A216,'Policy Assignments'!$B$5:$B$868,K$4,'Policy Assignments'!$E$5:$E$868,"Core")&gt;0,"R",IF(COUNTIFS('Policy Assignments'!$C$5:$C$868,$A216,'Policy Assignments'!$B$5:$B$868,K$4,'Policy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L216" s="94" t="str">
        <x:f>IF(COUNTIFS('Policy Assignments'!$C$5:$C$868,$A216,'Policy Assignments'!$B$5:$B$868,L$4,'Policy Assignments'!$E$5:$E$868,"Hold")&gt;0,"H",IF(COUNTIFS('Policy Assignments'!$C$5:$C$868,$A216,'Policy Assignments'!$B$5:$B$868,L$4,'Policy Assignments'!$E$5:$E$868,"Core")&gt;0,"R",IF(COUNTIFS('Policy Assignments'!$C$5:$C$868,$A216,'Policy Assignments'!$B$5:$B$868,L$4,'Policy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M216" s="94" t="str">
        <x:f>IF(COUNTIFS('Policy Assignments'!$C$5:$C$868,$A216,'Policy Assignments'!$B$5:$B$868,M$4,'Policy Assignments'!$E$5:$E$868,"Hold")&gt;0,"H",IF(COUNTIFS('Policy Assignments'!$C$5:$C$868,$A216,'Policy Assignments'!$B$5:$B$868,M$4,'Policy Assignments'!$E$5:$E$868,"Core")&gt;0,"R",IF(COUNTIFS('Policy Assignments'!$C$5:$C$868,$A216,'Policy Assignments'!$B$5:$B$868,M$4,'Policy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N216" s="94" t="str">
        <x:f>IF(COUNTIFS('Policy Assignments'!$C$5:$C$868,$A216,'Policy Assignments'!$B$5:$B$868,N$4,'Policy Assignments'!$E$5:$E$868,"Hold")&gt;0,"H",IF(COUNTIFS('Policy Assignments'!$C$5:$C$868,$A216,'Policy Assignments'!$B$5:$B$868,N$4,'Policy Assignments'!$E$5:$E$868,"Core")&gt;0,"R",IF(COUNTIFS('Policy Assignments'!$C$5:$C$868,$A216,'Policy Assignments'!$B$5:$B$868,N$4,'Policy Assignments'!$E$5:$E$868,"Conditional")&gt;0,"C",IF(COUNTIFS('Policy Assignments'!$C$5:$C$868,$A216,'Policy Assignments'!$B$5:$B$868,"General",'Policy Assignments'!$E$5:$E$868,"Hold")&gt;0,"H",IF(COUNTIFS('Policy Assignments'!$C$5:$C$868,$A216,'Policy Assignments'!$B$5:$B$868,"General",'Policy Assignments'!$E$5:$E$868,"Conditional")&gt;0,"C",IF(COUNTIFS('Policy Assignments'!$C$5:$C$868,$A216,'Policy Assignments'!$B$5:$B$868,"General")&gt;0,"G",""))))))</x:f>
      </x:c>
      <x:c r="O216" s="94" t="str">
        <x:f>IF(COUNTIFS('Policy Assignments'!$C$5:$C$868,$A216,'Policy Assignments'!$B$5:$B$868,O$4,'Policy Assignments'!$E$5:$E$868,"Hold")&gt;0,"H",IF(COUNTIFS('Policy Assignments'!$C$5:$C$868,$A216,'Policy Assignments'!$B$5:$B$868,O$4,'Policy Assignments'!$E$5:$E$868,"Core")&gt;0,"R",IF(COUNTIFS('Policy Assignments'!$C$5:$C$868,$A216,'Policy Assignments'!$B$5:$B$868,O$4,'Policy Assignments'!$E$5:$E$868,"Conditional")&gt;0,"C","")))</x:f>
      </x:c>
      <x:c r="P216" s="90" t="str">
        <x:v>Mapped</x:v>
      </x:c>
    </x:row>
    <x:row r="217" ht="22" customHeight="1">
      <x:c r="A217" s="90" t="str">
        <x:v>RM-PS-003</x:v>
      </x:c>
      <x:c r="B217" s="90" t="str">
        <x:v>Product &amp; Equipment Safety Recall Management</x:v>
      </x:c>
      <x:c r="C217" s="94" t="str">
        <x:f>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c>
      <x:c r="D217" s="94" t="str">
        <x:f>IF(COUNTIFS('Policy Assignments'!$C$5:$C$868,$A217,'Policy Assignments'!$B$5:$B$868,D$4,'Policy Assignments'!$E$5:$E$868,"Hold")&gt;0,"H",IF(COUNTIFS('Policy Assignments'!$C$5:$C$868,$A217,'Policy Assignments'!$B$5:$B$868,D$4,'Policy Assignments'!$E$5:$E$868,"Core")&gt;0,"R",IF(COUNTIFS('Policy Assignments'!$C$5:$C$868,$A217,'Policy Assignments'!$B$5:$B$868,D$4,'Policy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C</x:v>
      </x:c>
      <x:c r="E217" s="94" t="str">
        <x:f>IF(COUNTIFS('Policy Assignments'!$C$5:$C$868,$A217,'Policy Assignments'!$B$5:$B$868,E$4,'Policy Assignments'!$E$5:$E$868,"Hold")&gt;0,"H",IF(COUNTIFS('Policy Assignments'!$C$5:$C$868,$A217,'Policy Assignments'!$B$5:$B$868,E$4,'Policy Assignments'!$E$5:$E$868,"Core")&gt;0,"R",IF(COUNTIFS('Policy Assignments'!$C$5:$C$868,$A217,'Policy Assignments'!$B$5:$B$868,E$4,'Policy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C</x:v>
      </x:c>
      <x:c r="F217" s="94" t="str">
        <x:f>IF(COUNTIFS('Policy Assignments'!$C$5:$C$868,$A217,'Policy Assignments'!$B$5:$B$868,F$4,'Policy Assignments'!$E$5:$E$868,"Hold")&gt;0,"H",IF(COUNTIFS('Policy Assignments'!$C$5:$C$868,$A217,'Policy Assignments'!$B$5:$B$868,F$4,'Policy Assignments'!$E$5:$E$868,"Core")&gt;0,"R",IF(COUNTIFS('Policy Assignments'!$C$5:$C$868,$A217,'Policy Assignments'!$B$5:$B$868,F$4,'Policy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C</x:v>
      </x:c>
      <x:c r="G217" s="94" t="str">
        <x:f>IF(COUNTIFS('Policy Assignments'!$C$5:$C$868,$A217,'Policy Assignments'!$B$5:$B$868,G$4,'Policy Assignments'!$E$5:$E$868,"Hold")&gt;0,"H",IF(COUNTIFS('Policy Assignments'!$C$5:$C$868,$A217,'Policy Assignments'!$B$5:$B$868,G$4,'Policy Assignments'!$E$5:$E$868,"Core")&gt;0,"R",IF(COUNTIFS('Policy Assignments'!$C$5:$C$868,$A217,'Policy Assignments'!$B$5:$B$868,G$4,'Policy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R</x:v>
      </x:c>
      <x:c r="H217" s="94" t="str">
        <x:f>IF(COUNTIFS('Policy Assignments'!$C$5:$C$868,$A217,'Policy Assignments'!$B$5:$B$868,H$4,'Policy Assignments'!$E$5:$E$868,"Hold")&gt;0,"H",IF(COUNTIFS('Policy Assignments'!$C$5:$C$868,$A217,'Policy Assignments'!$B$5:$B$868,H$4,'Policy Assignments'!$E$5:$E$868,"Core")&gt;0,"R",IF(COUNTIFS('Policy Assignments'!$C$5:$C$868,$A217,'Policy Assignments'!$B$5:$B$868,H$4,'Policy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R</x:v>
      </x:c>
      <x:c r="I217" s="94" t="str">
        <x:f>IF(COUNTIFS('Policy Assignments'!$C$5:$C$868,$A217,'Policy Assignments'!$B$5:$B$868,I$4,'Policy Assignments'!$E$5:$E$868,"Hold")&gt;0,"H",IF(COUNTIFS('Policy Assignments'!$C$5:$C$868,$A217,'Policy Assignments'!$B$5:$B$868,I$4,'Policy Assignments'!$E$5:$E$868,"Core")&gt;0,"R",IF(COUNTIFS('Policy Assignments'!$C$5:$C$868,$A217,'Policy Assignments'!$B$5:$B$868,I$4,'Policy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R</x:v>
      </x:c>
      <x:c r="J217" s="94" t="str">
        <x:f>IF(COUNTIFS('Policy Assignments'!$C$5:$C$868,$A217,'Policy Assignments'!$B$5:$B$868,J$4,'Policy Assignments'!$E$5:$E$868,"Hold")&gt;0,"H",IF(COUNTIFS('Policy Assignments'!$C$5:$C$868,$A217,'Policy Assignments'!$B$5:$B$868,J$4,'Policy Assignments'!$E$5:$E$868,"Core")&gt;0,"R",IF(COUNTIFS('Policy Assignments'!$C$5:$C$868,$A217,'Policy Assignments'!$B$5:$B$868,J$4,'Policy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R</x:v>
      </x:c>
      <x:c r="K217" s="94" t="str">
        <x:f>IF(COUNTIFS('Policy Assignments'!$C$5:$C$868,$A217,'Policy Assignments'!$B$5:$B$868,K$4,'Policy Assignments'!$E$5:$E$868,"Hold")&gt;0,"H",IF(COUNTIFS('Policy Assignments'!$C$5:$C$868,$A217,'Policy Assignments'!$B$5:$B$868,K$4,'Policy Assignments'!$E$5:$E$868,"Core")&gt;0,"R",IF(COUNTIFS('Policy Assignments'!$C$5:$C$868,$A217,'Policy Assignments'!$B$5:$B$868,K$4,'Policy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R</x:v>
      </x:c>
      <x:c r="L217" s="94" t="str">
        <x:f>IF(COUNTIFS('Policy Assignments'!$C$5:$C$868,$A217,'Policy Assignments'!$B$5:$B$868,L$4,'Policy Assignments'!$E$5:$E$868,"Hold")&gt;0,"H",IF(COUNTIFS('Policy Assignments'!$C$5:$C$868,$A217,'Policy Assignments'!$B$5:$B$868,L$4,'Policy Assignments'!$E$5:$E$868,"Core")&gt;0,"R",IF(COUNTIFS('Policy Assignments'!$C$5:$C$868,$A217,'Policy Assignments'!$B$5:$B$868,L$4,'Policy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v>R</x:v>
      </x:c>
      <x:c r="M217" s="94" t="str">
        <x:f>IF(COUNTIFS('Policy Assignments'!$C$5:$C$868,$A217,'Policy Assignments'!$B$5:$B$868,M$4,'Policy Assignments'!$E$5:$E$868,"Hold")&gt;0,"H",IF(COUNTIFS('Policy Assignments'!$C$5:$C$868,$A217,'Policy Assignments'!$B$5:$B$868,M$4,'Policy Assignments'!$E$5:$E$868,"Core")&gt;0,"R",IF(COUNTIFS('Policy Assignments'!$C$5:$C$868,$A217,'Policy Assignments'!$B$5:$B$868,M$4,'Policy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c>
      <x:c r="N217" s="94" t="str">
        <x:f>IF(COUNTIFS('Policy Assignments'!$C$5:$C$868,$A217,'Policy Assignments'!$B$5:$B$868,N$4,'Policy Assignments'!$E$5:$E$868,"Hold")&gt;0,"H",IF(COUNTIFS('Policy Assignments'!$C$5:$C$868,$A217,'Policy Assignments'!$B$5:$B$868,N$4,'Policy Assignments'!$E$5:$E$868,"Core")&gt;0,"R",IF(COUNTIFS('Policy Assignments'!$C$5:$C$868,$A217,'Policy Assignments'!$B$5:$B$868,N$4,'Policy Assignments'!$E$5:$E$868,"Conditional")&gt;0,"C",IF(COUNTIFS('Policy Assignments'!$C$5:$C$868,$A217,'Policy Assignments'!$B$5:$B$868,"General",'Policy Assignments'!$E$5:$E$868,"Hold")&gt;0,"H",IF(COUNTIFS('Policy Assignments'!$C$5:$C$868,$A217,'Policy Assignments'!$B$5:$B$868,"General",'Policy Assignments'!$E$5:$E$868,"Conditional")&gt;0,"C",IF(COUNTIFS('Policy Assignments'!$C$5:$C$868,$A217,'Policy Assignments'!$B$5:$B$868,"General")&gt;0,"G",""))))))</x:f>
      </x:c>
      <x:c r="O217" s="94" t="str">
        <x:f>IF(COUNTIFS('Policy Assignments'!$C$5:$C$868,$A217,'Policy Assignments'!$B$5:$B$868,O$4,'Policy Assignments'!$E$5:$E$868,"Hold")&gt;0,"H",IF(COUNTIFS('Policy Assignments'!$C$5:$C$868,$A217,'Policy Assignments'!$B$5:$B$868,O$4,'Policy Assignments'!$E$5:$E$868,"Core")&gt;0,"R",IF(COUNTIFS('Policy Assignments'!$C$5:$C$868,$A217,'Policy Assignments'!$B$5:$B$868,O$4,'Policy Assignments'!$E$5:$E$868,"Conditional")&gt;0,"C","")))</x:f>
      </x:c>
      <x:c r="P217" s="90" t="str">
        <x:v>Mapped</x:v>
      </x:c>
    </x:row>
    <x:row r="218" ht="22" customHeight="1">
      <x:c r="A218" s="90" t="str">
        <x:v>RM-PS-005</x:v>
      </x:c>
      <x:c r="B218" s="90" t="str">
        <x:v>High-Risk Medication Safety</x:v>
      </x:c>
      <x:c r="C218" s="94" t="str">
        <x:f>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c>
      <x:c r="D218" s="94" t="str">
        <x:f>IF(COUNTIFS('Policy Assignments'!$C$5:$C$868,$A218,'Policy Assignments'!$B$5:$B$868,D$4,'Policy Assignments'!$E$5:$E$868,"Hold")&gt;0,"H",IF(COUNTIFS('Policy Assignments'!$C$5:$C$868,$A218,'Policy Assignments'!$B$5:$B$868,D$4,'Policy Assignments'!$E$5:$E$868,"Core")&gt;0,"R",IF(COUNTIFS('Policy Assignments'!$C$5:$C$868,$A218,'Policy Assignments'!$B$5:$B$868,D$4,'Policy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C</x:v>
      </x:c>
      <x:c r="E218" s="94" t="str">
        <x:f>IF(COUNTIFS('Policy Assignments'!$C$5:$C$868,$A218,'Policy Assignments'!$B$5:$B$868,E$4,'Policy Assignments'!$E$5:$E$868,"Hold")&gt;0,"H",IF(COUNTIFS('Policy Assignments'!$C$5:$C$868,$A218,'Policy Assignments'!$B$5:$B$868,E$4,'Policy Assignments'!$E$5:$E$868,"Core")&gt;0,"R",IF(COUNTIFS('Policy Assignments'!$C$5:$C$868,$A218,'Policy Assignments'!$B$5:$B$868,E$4,'Policy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C</x:v>
      </x:c>
      <x:c r="F218" s="94" t="str">
        <x:f>IF(COUNTIFS('Policy Assignments'!$C$5:$C$868,$A218,'Policy Assignments'!$B$5:$B$868,F$4,'Policy Assignments'!$E$5:$E$868,"Hold")&gt;0,"H",IF(COUNTIFS('Policy Assignments'!$C$5:$C$868,$A218,'Policy Assignments'!$B$5:$B$868,F$4,'Policy Assignments'!$E$5:$E$868,"Core")&gt;0,"R",IF(COUNTIFS('Policy Assignments'!$C$5:$C$868,$A218,'Policy Assignments'!$B$5:$B$868,F$4,'Policy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c>
      <x:c r="G218" s="94" t="str">
        <x:f>IF(COUNTIFS('Policy Assignments'!$C$5:$C$868,$A218,'Policy Assignments'!$B$5:$B$868,G$4,'Policy Assignments'!$E$5:$E$868,"Hold")&gt;0,"H",IF(COUNTIFS('Policy Assignments'!$C$5:$C$868,$A218,'Policy Assignments'!$B$5:$B$868,G$4,'Policy Assignments'!$E$5:$E$868,"Core")&gt;0,"R",IF(COUNTIFS('Policy Assignments'!$C$5:$C$868,$A218,'Policy Assignments'!$B$5:$B$868,G$4,'Policy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C</x:v>
      </x:c>
      <x:c r="H218" s="94" t="str">
        <x:f>IF(COUNTIFS('Policy Assignments'!$C$5:$C$868,$A218,'Policy Assignments'!$B$5:$B$868,H$4,'Policy Assignments'!$E$5:$E$868,"Hold")&gt;0,"H",IF(COUNTIFS('Policy Assignments'!$C$5:$C$868,$A218,'Policy Assignments'!$B$5:$B$868,H$4,'Policy Assignments'!$E$5:$E$868,"Core")&gt;0,"R",IF(COUNTIFS('Policy Assignments'!$C$5:$C$868,$A218,'Policy Assignments'!$B$5:$B$868,H$4,'Policy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C</x:v>
      </x:c>
      <x:c r="I218" s="94" t="str">
        <x:f>IF(COUNTIFS('Policy Assignments'!$C$5:$C$868,$A218,'Policy Assignments'!$B$5:$B$868,I$4,'Policy Assignments'!$E$5:$E$868,"Hold")&gt;0,"H",IF(COUNTIFS('Policy Assignments'!$C$5:$C$868,$A218,'Policy Assignments'!$B$5:$B$868,I$4,'Policy Assignments'!$E$5:$E$868,"Core")&gt;0,"R",IF(COUNTIFS('Policy Assignments'!$C$5:$C$868,$A218,'Policy Assignments'!$B$5:$B$868,I$4,'Policy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C</x:v>
      </x:c>
      <x:c r="J218" s="94" t="str">
        <x:f>IF(COUNTIFS('Policy Assignments'!$C$5:$C$868,$A218,'Policy Assignments'!$B$5:$B$868,J$4,'Policy Assignments'!$E$5:$E$868,"Hold")&gt;0,"H",IF(COUNTIFS('Policy Assignments'!$C$5:$C$868,$A218,'Policy Assignments'!$B$5:$B$868,J$4,'Policy Assignments'!$E$5:$E$868,"Core")&gt;0,"R",IF(COUNTIFS('Policy Assignments'!$C$5:$C$868,$A218,'Policy Assignments'!$B$5:$B$868,J$4,'Policy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C</x:v>
      </x:c>
      <x:c r="K218" s="94" t="str">
        <x:f>IF(COUNTIFS('Policy Assignments'!$C$5:$C$868,$A218,'Policy Assignments'!$B$5:$B$868,K$4,'Policy Assignments'!$E$5:$E$868,"Hold")&gt;0,"H",IF(COUNTIFS('Policy Assignments'!$C$5:$C$868,$A218,'Policy Assignments'!$B$5:$B$868,K$4,'Policy Assignments'!$E$5:$E$868,"Core")&gt;0,"R",IF(COUNTIFS('Policy Assignments'!$C$5:$C$868,$A218,'Policy Assignments'!$B$5:$B$868,K$4,'Policy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C</x:v>
      </x:c>
      <x:c r="L218" s="94" t="str">
        <x:f>IF(COUNTIFS('Policy Assignments'!$C$5:$C$868,$A218,'Policy Assignments'!$B$5:$B$868,L$4,'Policy Assignments'!$E$5:$E$868,"Hold")&gt;0,"H",IF(COUNTIFS('Policy Assignments'!$C$5:$C$868,$A218,'Policy Assignments'!$B$5:$B$868,L$4,'Policy Assignments'!$E$5:$E$868,"Core")&gt;0,"R",IF(COUNTIFS('Policy Assignments'!$C$5:$C$868,$A218,'Policy Assignments'!$B$5:$B$868,L$4,'Policy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c>
      <x:c r="M218" s="94" t="str">
        <x:f>IF(COUNTIFS('Policy Assignments'!$C$5:$C$868,$A218,'Policy Assignments'!$B$5:$B$868,M$4,'Policy Assignments'!$E$5:$E$868,"Hold")&gt;0,"H",IF(COUNTIFS('Policy Assignments'!$C$5:$C$868,$A218,'Policy Assignments'!$B$5:$B$868,M$4,'Policy Assignments'!$E$5:$E$868,"Core")&gt;0,"R",IF(COUNTIFS('Policy Assignments'!$C$5:$C$868,$A218,'Policy Assignments'!$B$5:$B$868,M$4,'Policy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c>
      <x:c r="N218" s="94" t="str">
        <x:f>IF(COUNTIFS('Policy Assignments'!$C$5:$C$868,$A218,'Policy Assignments'!$B$5:$B$868,N$4,'Policy Assignments'!$E$5:$E$868,"Hold")&gt;0,"H",IF(COUNTIFS('Policy Assignments'!$C$5:$C$868,$A218,'Policy Assignments'!$B$5:$B$868,N$4,'Policy Assignments'!$E$5:$E$868,"Core")&gt;0,"R",IF(COUNTIFS('Policy Assignments'!$C$5:$C$868,$A218,'Policy Assignments'!$B$5:$B$868,N$4,'Policy Assignments'!$E$5:$E$868,"Conditional")&gt;0,"C",IF(COUNTIFS('Policy Assignments'!$C$5:$C$868,$A218,'Policy Assignments'!$B$5:$B$868,"General",'Policy Assignments'!$E$5:$E$868,"Hold")&gt;0,"H",IF(COUNTIFS('Policy Assignments'!$C$5:$C$868,$A218,'Policy Assignments'!$B$5:$B$868,"General",'Policy Assignments'!$E$5:$E$868,"Conditional")&gt;0,"C",IF(COUNTIFS('Policy Assignments'!$C$5:$C$868,$A218,'Policy Assignments'!$B$5:$B$868,"General")&gt;0,"G",""))))))</x:f>
        <x:v>R</x:v>
      </x:c>
      <x:c r="O218" s="94" t="str">
        <x:f>IF(COUNTIFS('Policy Assignments'!$C$5:$C$868,$A218,'Policy Assignments'!$B$5:$B$868,O$4,'Policy Assignments'!$E$5:$E$868,"Hold")&gt;0,"H",IF(COUNTIFS('Policy Assignments'!$C$5:$C$868,$A218,'Policy Assignments'!$B$5:$B$868,O$4,'Policy Assignments'!$E$5:$E$868,"Core")&gt;0,"R",IF(COUNTIFS('Policy Assignments'!$C$5:$C$868,$A218,'Policy Assignments'!$B$5:$B$868,O$4,'Policy Assignments'!$E$5:$E$868,"Conditional")&gt;0,"C","")))</x:f>
      </x:c>
      <x:c r="P218" s="90" t="str">
        <x:v>Mapped</x:v>
      </x:c>
    </x:row>
    <x:row r="219" ht="22" customHeight="1">
      <x:c r="A219" s="90" t="str">
        <x:v>RM-SS-001</x:v>
      </x:c>
      <x:c r="B219" s="90" t="str">
        <x:v>Staff Safety &amp; Personal Security</x:v>
      </x:c>
      <x:c r="C219" s="94" t="str">
        <x:f>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c>
      <x:c r="D219" s="94" t="str">
        <x:f>IF(COUNTIFS('Policy Assignments'!$C$5:$C$868,$A219,'Policy Assignments'!$B$5:$B$868,D$4,'Policy Assignments'!$E$5:$E$868,"Hold")&gt;0,"H",IF(COUNTIFS('Policy Assignments'!$C$5:$C$868,$A219,'Policy Assignments'!$B$5:$B$868,D$4,'Policy Assignments'!$E$5:$E$868,"Core")&gt;0,"R",IF(COUNTIFS('Policy Assignments'!$C$5:$C$868,$A219,'Policy Assignments'!$B$5:$B$868,D$4,'Policy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E219" s="94" t="str">
        <x:f>IF(COUNTIFS('Policy Assignments'!$C$5:$C$868,$A219,'Policy Assignments'!$B$5:$B$868,E$4,'Policy Assignments'!$E$5:$E$868,"Hold")&gt;0,"H",IF(COUNTIFS('Policy Assignments'!$C$5:$C$868,$A219,'Policy Assignments'!$B$5:$B$868,E$4,'Policy Assignments'!$E$5:$E$868,"Core")&gt;0,"R",IF(COUNTIFS('Policy Assignments'!$C$5:$C$868,$A219,'Policy Assignments'!$B$5:$B$868,E$4,'Policy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F219" s="94" t="str">
        <x:f>IF(COUNTIFS('Policy Assignments'!$C$5:$C$868,$A219,'Policy Assignments'!$B$5:$B$868,F$4,'Policy Assignments'!$E$5:$E$868,"Hold")&gt;0,"H",IF(COUNTIFS('Policy Assignments'!$C$5:$C$868,$A219,'Policy Assignments'!$B$5:$B$868,F$4,'Policy Assignments'!$E$5:$E$868,"Core")&gt;0,"R",IF(COUNTIFS('Policy Assignments'!$C$5:$C$868,$A219,'Policy Assignments'!$B$5:$B$868,F$4,'Policy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G219" s="94" t="str">
        <x:f>IF(COUNTIFS('Policy Assignments'!$C$5:$C$868,$A219,'Policy Assignments'!$B$5:$B$868,G$4,'Policy Assignments'!$E$5:$E$868,"Hold")&gt;0,"H",IF(COUNTIFS('Policy Assignments'!$C$5:$C$868,$A219,'Policy Assignments'!$B$5:$B$868,G$4,'Policy Assignments'!$E$5:$E$868,"Core")&gt;0,"R",IF(COUNTIFS('Policy Assignments'!$C$5:$C$868,$A219,'Policy Assignments'!$B$5:$B$868,G$4,'Policy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H219" s="94" t="str">
        <x:f>IF(COUNTIFS('Policy Assignments'!$C$5:$C$868,$A219,'Policy Assignments'!$B$5:$B$868,H$4,'Policy Assignments'!$E$5:$E$868,"Hold")&gt;0,"H",IF(COUNTIFS('Policy Assignments'!$C$5:$C$868,$A219,'Policy Assignments'!$B$5:$B$868,H$4,'Policy Assignments'!$E$5:$E$868,"Core")&gt;0,"R",IF(COUNTIFS('Policy Assignments'!$C$5:$C$868,$A219,'Policy Assignments'!$B$5:$B$868,H$4,'Policy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I219" s="94" t="str">
        <x:f>IF(COUNTIFS('Policy Assignments'!$C$5:$C$868,$A219,'Policy Assignments'!$B$5:$B$868,I$4,'Policy Assignments'!$E$5:$E$868,"Hold")&gt;0,"H",IF(COUNTIFS('Policy Assignments'!$C$5:$C$868,$A219,'Policy Assignments'!$B$5:$B$868,I$4,'Policy Assignments'!$E$5:$E$868,"Core")&gt;0,"R",IF(COUNTIFS('Policy Assignments'!$C$5:$C$868,$A219,'Policy Assignments'!$B$5:$B$868,I$4,'Policy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J219" s="94" t="str">
        <x:f>IF(COUNTIFS('Policy Assignments'!$C$5:$C$868,$A219,'Policy Assignments'!$B$5:$B$868,J$4,'Policy Assignments'!$E$5:$E$868,"Hold")&gt;0,"H",IF(COUNTIFS('Policy Assignments'!$C$5:$C$868,$A219,'Policy Assignments'!$B$5:$B$868,J$4,'Policy Assignments'!$E$5:$E$868,"Core")&gt;0,"R",IF(COUNTIFS('Policy Assignments'!$C$5:$C$868,$A219,'Policy Assignments'!$B$5:$B$868,J$4,'Policy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K219" s="94" t="str">
        <x:f>IF(COUNTIFS('Policy Assignments'!$C$5:$C$868,$A219,'Policy Assignments'!$B$5:$B$868,K$4,'Policy Assignments'!$E$5:$E$868,"Hold")&gt;0,"H",IF(COUNTIFS('Policy Assignments'!$C$5:$C$868,$A219,'Policy Assignments'!$B$5:$B$868,K$4,'Policy Assignments'!$E$5:$E$868,"Core")&gt;0,"R",IF(COUNTIFS('Policy Assignments'!$C$5:$C$868,$A219,'Policy Assignments'!$B$5:$B$868,K$4,'Policy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L219" s="94" t="str">
        <x:f>IF(COUNTIFS('Policy Assignments'!$C$5:$C$868,$A219,'Policy Assignments'!$B$5:$B$868,L$4,'Policy Assignments'!$E$5:$E$868,"Hold")&gt;0,"H",IF(COUNTIFS('Policy Assignments'!$C$5:$C$868,$A219,'Policy Assignments'!$B$5:$B$868,L$4,'Policy Assignments'!$E$5:$E$868,"Core")&gt;0,"R",IF(COUNTIFS('Policy Assignments'!$C$5:$C$868,$A219,'Policy Assignments'!$B$5:$B$868,L$4,'Policy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v>R</x:v>
      </x:c>
      <x:c r="M219" s="94" t="str">
        <x:f>IF(COUNTIFS('Policy Assignments'!$C$5:$C$868,$A219,'Policy Assignments'!$B$5:$B$868,M$4,'Policy Assignments'!$E$5:$E$868,"Hold")&gt;0,"H",IF(COUNTIFS('Policy Assignments'!$C$5:$C$868,$A219,'Policy Assignments'!$B$5:$B$868,M$4,'Policy Assignments'!$E$5:$E$868,"Core")&gt;0,"R",IF(COUNTIFS('Policy Assignments'!$C$5:$C$868,$A219,'Policy Assignments'!$B$5:$B$868,M$4,'Policy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c>
      <x:c r="N219" s="94" t="str">
        <x:f>IF(COUNTIFS('Policy Assignments'!$C$5:$C$868,$A219,'Policy Assignments'!$B$5:$B$868,N$4,'Policy Assignments'!$E$5:$E$868,"Hold")&gt;0,"H",IF(COUNTIFS('Policy Assignments'!$C$5:$C$868,$A219,'Policy Assignments'!$B$5:$B$868,N$4,'Policy Assignments'!$E$5:$E$868,"Core")&gt;0,"R",IF(COUNTIFS('Policy Assignments'!$C$5:$C$868,$A219,'Policy Assignments'!$B$5:$B$868,N$4,'Policy Assignments'!$E$5:$E$868,"Conditional")&gt;0,"C",IF(COUNTIFS('Policy Assignments'!$C$5:$C$868,$A219,'Policy Assignments'!$B$5:$B$868,"General",'Policy Assignments'!$E$5:$E$868,"Hold")&gt;0,"H",IF(COUNTIFS('Policy Assignments'!$C$5:$C$868,$A219,'Policy Assignments'!$B$5:$B$868,"General",'Policy Assignments'!$E$5:$E$868,"Conditional")&gt;0,"C",IF(COUNTIFS('Policy Assignments'!$C$5:$C$868,$A219,'Policy Assignments'!$B$5:$B$868,"General")&gt;0,"G",""))))))</x:f>
      </x:c>
      <x:c r="O219" s="94" t="str">
        <x:f>IF(COUNTIFS('Policy Assignments'!$C$5:$C$868,$A219,'Policy Assignments'!$B$5:$B$868,O$4,'Policy Assignments'!$E$5:$E$868,"Hold")&gt;0,"H",IF(COUNTIFS('Policy Assignments'!$C$5:$C$868,$A219,'Policy Assignments'!$B$5:$B$868,O$4,'Policy Assignments'!$E$5:$E$868,"Core")&gt;0,"R",IF(COUNTIFS('Policy Assignments'!$C$5:$C$868,$A219,'Policy Assignments'!$B$5:$B$868,O$4,'Policy Assignments'!$E$5:$E$868,"Conditional")&gt;0,"C","")))</x:f>
      </x:c>
      <x:c r="P219" s="90" t="str">
        <x:v>Mapped</x:v>
      </x:c>
    </x:row>
    <x:row r="220" ht="22" customHeight="1">
      <x:c r="A220" s="90" t="str">
        <x:v>RM-SS-002</x:v>
      </x:c>
      <x:c r="B220" s="90" t="str">
        <x:v>Workplace Violence Prevention</x:v>
      </x:c>
      <x:c r="C220" s="94" t="str">
        <x:f>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D220" s="94" t="str">
        <x:f>IF(COUNTIFS('Policy Assignments'!$C$5:$C$868,$A220,'Policy Assignments'!$B$5:$B$868,D$4,'Policy Assignments'!$E$5:$E$868,"Hold")&gt;0,"H",IF(COUNTIFS('Policy Assignments'!$C$5:$C$868,$A220,'Policy Assignments'!$B$5:$B$868,D$4,'Policy Assignments'!$E$5:$E$868,"Core")&gt;0,"R",IF(COUNTIFS('Policy Assignments'!$C$5:$C$868,$A220,'Policy Assignments'!$B$5:$B$868,D$4,'Policy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E220" s="94" t="str">
        <x:f>IF(COUNTIFS('Policy Assignments'!$C$5:$C$868,$A220,'Policy Assignments'!$B$5:$B$868,E$4,'Policy Assignments'!$E$5:$E$868,"Hold")&gt;0,"H",IF(COUNTIFS('Policy Assignments'!$C$5:$C$868,$A220,'Policy Assignments'!$B$5:$B$868,E$4,'Policy Assignments'!$E$5:$E$868,"Core")&gt;0,"R",IF(COUNTIFS('Policy Assignments'!$C$5:$C$868,$A220,'Policy Assignments'!$B$5:$B$868,E$4,'Policy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F220" s="94" t="str">
        <x:f>IF(COUNTIFS('Policy Assignments'!$C$5:$C$868,$A220,'Policy Assignments'!$B$5:$B$868,F$4,'Policy Assignments'!$E$5:$E$868,"Hold")&gt;0,"H",IF(COUNTIFS('Policy Assignments'!$C$5:$C$868,$A220,'Policy Assignments'!$B$5:$B$868,F$4,'Policy Assignments'!$E$5:$E$868,"Core")&gt;0,"R",IF(COUNTIFS('Policy Assignments'!$C$5:$C$868,$A220,'Policy Assignments'!$B$5:$B$868,F$4,'Policy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G220" s="94" t="str">
        <x:f>IF(COUNTIFS('Policy Assignments'!$C$5:$C$868,$A220,'Policy Assignments'!$B$5:$B$868,G$4,'Policy Assignments'!$E$5:$E$868,"Hold")&gt;0,"H",IF(COUNTIFS('Policy Assignments'!$C$5:$C$868,$A220,'Policy Assignments'!$B$5:$B$868,G$4,'Policy Assignments'!$E$5:$E$868,"Core")&gt;0,"R",IF(COUNTIFS('Policy Assignments'!$C$5:$C$868,$A220,'Policy Assignments'!$B$5:$B$868,G$4,'Policy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H220" s="94" t="str">
        <x:f>IF(COUNTIFS('Policy Assignments'!$C$5:$C$868,$A220,'Policy Assignments'!$B$5:$B$868,H$4,'Policy Assignments'!$E$5:$E$868,"Hold")&gt;0,"H",IF(COUNTIFS('Policy Assignments'!$C$5:$C$868,$A220,'Policy Assignments'!$B$5:$B$868,H$4,'Policy Assignments'!$E$5:$E$868,"Core")&gt;0,"R",IF(COUNTIFS('Policy Assignments'!$C$5:$C$868,$A220,'Policy Assignments'!$B$5:$B$868,H$4,'Policy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I220" s="94" t="str">
        <x:f>IF(COUNTIFS('Policy Assignments'!$C$5:$C$868,$A220,'Policy Assignments'!$B$5:$B$868,I$4,'Policy Assignments'!$E$5:$E$868,"Hold")&gt;0,"H",IF(COUNTIFS('Policy Assignments'!$C$5:$C$868,$A220,'Policy Assignments'!$B$5:$B$868,I$4,'Policy Assignments'!$E$5:$E$868,"Core")&gt;0,"R",IF(COUNTIFS('Policy Assignments'!$C$5:$C$868,$A220,'Policy Assignments'!$B$5:$B$868,I$4,'Policy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J220" s="94" t="str">
        <x:f>IF(COUNTIFS('Policy Assignments'!$C$5:$C$868,$A220,'Policy Assignments'!$B$5:$B$868,J$4,'Policy Assignments'!$E$5:$E$868,"Hold")&gt;0,"H",IF(COUNTIFS('Policy Assignments'!$C$5:$C$868,$A220,'Policy Assignments'!$B$5:$B$868,J$4,'Policy Assignments'!$E$5:$E$868,"Core")&gt;0,"R",IF(COUNTIFS('Policy Assignments'!$C$5:$C$868,$A220,'Policy Assignments'!$B$5:$B$868,J$4,'Policy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K220" s="94" t="str">
        <x:f>IF(COUNTIFS('Policy Assignments'!$C$5:$C$868,$A220,'Policy Assignments'!$B$5:$B$868,K$4,'Policy Assignments'!$E$5:$E$868,"Hold")&gt;0,"H",IF(COUNTIFS('Policy Assignments'!$C$5:$C$868,$A220,'Policy Assignments'!$B$5:$B$868,K$4,'Policy Assignments'!$E$5:$E$868,"Core")&gt;0,"R",IF(COUNTIFS('Policy Assignments'!$C$5:$C$868,$A220,'Policy Assignments'!$B$5:$B$868,K$4,'Policy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L220" s="94" t="str">
        <x:f>IF(COUNTIFS('Policy Assignments'!$C$5:$C$868,$A220,'Policy Assignments'!$B$5:$B$868,L$4,'Policy Assignments'!$E$5:$E$868,"Hold")&gt;0,"H",IF(COUNTIFS('Policy Assignments'!$C$5:$C$868,$A220,'Policy Assignments'!$B$5:$B$868,L$4,'Policy Assignments'!$E$5:$E$868,"Core")&gt;0,"R",IF(COUNTIFS('Policy Assignments'!$C$5:$C$868,$A220,'Policy Assignments'!$B$5:$B$868,L$4,'Policy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M220" s="94" t="str">
        <x:f>IF(COUNTIFS('Policy Assignments'!$C$5:$C$868,$A220,'Policy Assignments'!$B$5:$B$868,M$4,'Policy Assignments'!$E$5:$E$868,"Hold")&gt;0,"H",IF(COUNTIFS('Policy Assignments'!$C$5:$C$868,$A220,'Policy Assignments'!$B$5:$B$868,M$4,'Policy Assignments'!$E$5:$E$868,"Core")&gt;0,"R",IF(COUNTIFS('Policy Assignments'!$C$5:$C$868,$A220,'Policy Assignments'!$B$5:$B$868,M$4,'Policy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N220" s="94" t="str">
        <x:f>IF(COUNTIFS('Policy Assignments'!$C$5:$C$868,$A220,'Policy Assignments'!$B$5:$B$868,N$4,'Policy Assignments'!$E$5:$E$868,"Hold")&gt;0,"H",IF(COUNTIFS('Policy Assignments'!$C$5:$C$868,$A220,'Policy Assignments'!$B$5:$B$868,N$4,'Policy Assignments'!$E$5:$E$868,"Core")&gt;0,"R",IF(COUNTIFS('Policy Assignments'!$C$5:$C$868,$A220,'Policy Assignments'!$B$5:$B$868,N$4,'Policy Assignments'!$E$5:$E$868,"Conditional")&gt;0,"C",IF(COUNTIFS('Policy Assignments'!$C$5:$C$868,$A220,'Policy Assignments'!$B$5:$B$868,"General",'Policy Assignments'!$E$5:$E$868,"Hold")&gt;0,"H",IF(COUNTIFS('Policy Assignments'!$C$5:$C$868,$A220,'Policy Assignments'!$B$5:$B$868,"General",'Policy Assignments'!$E$5:$E$868,"Conditional")&gt;0,"C",IF(COUNTIFS('Policy Assignments'!$C$5:$C$868,$A220,'Policy Assignments'!$B$5:$B$868,"General")&gt;0,"G",""))))))</x:f>
        <x:v>G</x:v>
      </x:c>
      <x:c r="O220" s="94" t="str">
        <x:f>IF(COUNTIFS('Policy Assignments'!$C$5:$C$868,$A220,'Policy Assignments'!$B$5:$B$868,O$4,'Policy Assignments'!$E$5:$E$868,"Hold")&gt;0,"H",IF(COUNTIFS('Policy Assignments'!$C$5:$C$868,$A220,'Policy Assignments'!$B$5:$B$868,O$4,'Policy Assignments'!$E$5:$E$868,"Core")&gt;0,"R",IF(COUNTIFS('Policy Assignments'!$C$5:$C$868,$A220,'Policy Assignments'!$B$5:$B$868,O$4,'Policy Assignments'!$E$5:$E$868,"Conditional")&gt;0,"C","")))</x:f>
      </x:c>
      <x:c r="P220" s="90" t="str">
        <x:v>Mapped</x:v>
      </x:c>
    </x:row>
    <x:row r="221" ht="22" customHeight="1">
      <x:c r="A221" s="90" t="str">
        <x:v>RM-SS-003</x:v>
      </x:c>
      <x:c r="B221" s="90" t="str">
        <x:v>Motor Vehicle Safety &amp; Accident Reporting</x:v>
      </x:c>
      <x:c r="C221" s="94" t="str">
        <x:f>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c>
      <x:c r="D221" s="94" t="str">
        <x:f>IF(COUNTIFS('Policy Assignments'!$C$5:$C$868,$A221,'Policy Assignments'!$B$5:$B$868,D$4,'Policy Assignments'!$E$5:$E$868,"Hold")&gt;0,"H",IF(COUNTIFS('Policy Assignments'!$C$5:$C$868,$A221,'Policy Assignments'!$B$5:$B$868,D$4,'Policy Assignments'!$E$5:$E$868,"Core")&gt;0,"R",IF(COUNTIFS('Policy Assignments'!$C$5:$C$868,$A221,'Policy Assignments'!$B$5:$B$868,D$4,'Policy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E221" s="94" t="str">
        <x:f>IF(COUNTIFS('Policy Assignments'!$C$5:$C$868,$A221,'Policy Assignments'!$B$5:$B$868,E$4,'Policy Assignments'!$E$5:$E$868,"Hold")&gt;0,"H",IF(COUNTIFS('Policy Assignments'!$C$5:$C$868,$A221,'Policy Assignments'!$B$5:$B$868,E$4,'Policy Assignments'!$E$5:$E$868,"Core")&gt;0,"R",IF(COUNTIFS('Policy Assignments'!$C$5:$C$868,$A221,'Policy Assignments'!$B$5:$B$868,E$4,'Policy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F221" s="94" t="str">
        <x:f>IF(COUNTIFS('Policy Assignments'!$C$5:$C$868,$A221,'Policy Assignments'!$B$5:$B$868,F$4,'Policy Assignments'!$E$5:$E$868,"Hold")&gt;0,"H",IF(COUNTIFS('Policy Assignments'!$C$5:$C$868,$A221,'Policy Assignments'!$B$5:$B$868,F$4,'Policy Assignments'!$E$5:$E$868,"Core")&gt;0,"R",IF(COUNTIFS('Policy Assignments'!$C$5:$C$868,$A221,'Policy Assignments'!$B$5:$B$868,F$4,'Policy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G221" s="94" t="str">
        <x:f>IF(COUNTIFS('Policy Assignments'!$C$5:$C$868,$A221,'Policy Assignments'!$B$5:$B$868,G$4,'Policy Assignments'!$E$5:$E$868,"Hold")&gt;0,"H",IF(COUNTIFS('Policy Assignments'!$C$5:$C$868,$A221,'Policy Assignments'!$B$5:$B$868,G$4,'Policy Assignments'!$E$5:$E$868,"Core")&gt;0,"R",IF(COUNTIFS('Policy Assignments'!$C$5:$C$868,$A221,'Policy Assignments'!$B$5:$B$868,G$4,'Policy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H221" s="94" t="str">
        <x:f>IF(COUNTIFS('Policy Assignments'!$C$5:$C$868,$A221,'Policy Assignments'!$B$5:$B$868,H$4,'Policy Assignments'!$E$5:$E$868,"Hold")&gt;0,"H",IF(COUNTIFS('Policy Assignments'!$C$5:$C$868,$A221,'Policy Assignments'!$B$5:$B$868,H$4,'Policy Assignments'!$E$5:$E$868,"Core")&gt;0,"R",IF(COUNTIFS('Policy Assignments'!$C$5:$C$868,$A221,'Policy Assignments'!$B$5:$B$868,H$4,'Policy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I221" s="94" t="str">
        <x:f>IF(COUNTIFS('Policy Assignments'!$C$5:$C$868,$A221,'Policy Assignments'!$B$5:$B$868,I$4,'Policy Assignments'!$E$5:$E$868,"Hold")&gt;0,"H",IF(COUNTIFS('Policy Assignments'!$C$5:$C$868,$A221,'Policy Assignments'!$B$5:$B$868,I$4,'Policy Assignments'!$E$5:$E$868,"Core")&gt;0,"R",IF(COUNTIFS('Policy Assignments'!$C$5:$C$868,$A221,'Policy Assignments'!$B$5:$B$868,I$4,'Policy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J221" s="94" t="str">
        <x:f>IF(COUNTIFS('Policy Assignments'!$C$5:$C$868,$A221,'Policy Assignments'!$B$5:$B$868,J$4,'Policy Assignments'!$E$5:$E$868,"Hold")&gt;0,"H",IF(COUNTIFS('Policy Assignments'!$C$5:$C$868,$A221,'Policy Assignments'!$B$5:$B$868,J$4,'Policy Assignments'!$E$5:$E$868,"Core")&gt;0,"R",IF(COUNTIFS('Policy Assignments'!$C$5:$C$868,$A221,'Policy Assignments'!$B$5:$B$868,J$4,'Policy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K221" s="94" t="str">
        <x:f>IF(COUNTIFS('Policy Assignments'!$C$5:$C$868,$A221,'Policy Assignments'!$B$5:$B$868,K$4,'Policy Assignments'!$E$5:$E$868,"Hold")&gt;0,"H",IF(COUNTIFS('Policy Assignments'!$C$5:$C$868,$A221,'Policy Assignments'!$B$5:$B$868,K$4,'Policy Assignments'!$E$5:$E$868,"Core")&gt;0,"R",IF(COUNTIFS('Policy Assignments'!$C$5:$C$868,$A221,'Policy Assignments'!$B$5:$B$868,K$4,'Policy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L221" s="94" t="str">
        <x:f>IF(COUNTIFS('Policy Assignments'!$C$5:$C$868,$A221,'Policy Assignments'!$B$5:$B$868,L$4,'Policy Assignments'!$E$5:$E$868,"Hold")&gt;0,"H",IF(COUNTIFS('Policy Assignments'!$C$5:$C$868,$A221,'Policy Assignments'!$B$5:$B$868,L$4,'Policy Assignments'!$E$5:$E$868,"Core")&gt;0,"R",IF(COUNTIFS('Policy Assignments'!$C$5:$C$868,$A221,'Policy Assignments'!$B$5:$B$868,L$4,'Policy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v>C</x:v>
      </x:c>
      <x:c r="M221" s="94" t="str">
        <x:f>IF(COUNTIFS('Policy Assignments'!$C$5:$C$868,$A221,'Policy Assignments'!$B$5:$B$868,M$4,'Policy Assignments'!$E$5:$E$868,"Hold")&gt;0,"H",IF(COUNTIFS('Policy Assignments'!$C$5:$C$868,$A221,'Policy Assignments'!$B$5:$B$868,M$4,'Policy Assignments'!$E$5:$E$868,"Core")&gt;0,"R",IF(COUNTIFS('Policy Assignments'!$C$5:$C$868,$A221,'Policy Assignments'!$B$5:$B$868,M$4,'Policy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c>
      <x:c r="N221" s="94" t="str">
        <x:f>IF(COUNTIFS('Policy Assignments'!$C$5:$C$868,$A221,'Policy Assignments'!$B$5:$B$868,N$4,'Policy Assignments'!$E$5:$E$868,"Hold")&gt;0,"H",IF(COUNTIFS('Policy Assignments'!$C$5:$C$868,$A221,'Policy Assignments'!$B$5:$B$868,N$4,'Policy Assignments'!$E$5:$E$868,"Core")&gt;0,"R",IF(COUNTIFS('Policy Assignments'!$C$5:$C$868,$A221,'Policy Assignments'!$B$5:$B$868,N$4,'Policy Assignments'!$E$5:$E$868,"Conditional")&gt;0,"C",IF(COUNTIFS('Policy Assignments'!$C$5:$C$868,$A221,'Policy Assignments'!$B$5:$B$868,"General",'Policy Assignments'!$E$5:$E$868,"Hold")&gt;0,"H",IF(COUNTIFS('Policy Assignments'!$C$5:$C$868,$A221,'Policy Assignments'!$B$5:$B$868,"General",'Policy Assignments'!$E$5:$E$868,"Conditional")&gt;0,"C",IF(COUNTIFS('Policy Assignments'!$C$5:$C$868,$A221,'Policy Assignments'!$B$5:$B$868,"General")&gt;0,"G",""))))))</x:f>
      </x:c>
      <x:c r="O221" s="94" t="str">
        <x:f>IF(COUNTIFS('Policy Assignments'!$C$5:$C$868,$A221,'Policy Assignments'!$B$5:$B$868,O$4,'Policy Assignments'!$E$5:$E$868,"Hold")&gt;0,"H",IF(COUNTIFS('Policy Assignments'!$C$5:$C$868,$A221,'Policy Assignments'!$B$5:$B$868,O$4,'Policy Assignments'!$E$5:$E$868,"Core")&gt;0,"R",IF(COUNTIFS('Policy Assignments'!$C$5:$C$868,$A221,'Policy Assignments'!$B$5:$B$868,O$4,'Policy Assignments'!$E$5:$E$868,"Conditional")&gt;0,"C","")))</x:f>
      </x:c>
      <x:c r="P221" s="90" t="str">
        <x:v>Mapped</x:v>
      </x:c>
    </x:row>
  </x:sheetData>
  <x:mergeCells>
    <x:mergeCell ref="A1:P1"/>
    <x:mergeCell ref="A2:P2"/>
  </x:mergeCells>
  <x:conditionalFormatting sqref="C5:O221">
    <x:cfRule type="containsText" dxfId="14" priority="1" operator="containsText" text="H"/>
    <x:cfRule type="containsText" dxfId="15" priority="2" operator="containsText" text="C"/>
    <x:cfRule type="containsText" dxfId="16" priority="3" operator="containsText" text="R"/>
    <x:cfRule type="containsText" dxfId="17" priority="4" operator="containsText" text="G"/>
  </x:conditionalFormatting>
  <x:pageMargins left="0.7" right="0.7" top="0.75" bottom="0.75" header="0.3" footer="0.3"/>
  <x:tableParts count="1">
    <x:tablePart xmlns:r="http://schemas.openxmlformats.org/officeDocument/2006/relationships" r:id="R3536b28e5c9448e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36" hidden="0" customWidth="1"/>
    <x:col min="3" max="3" width="14" hidden="0" customWidth="1"/>
    <x:col min="4" max="4" width="12" hidden="0" customWidth="1"/>
    <x:col min="5" max="5" width="24" hidden="0" customWidth="1"/>
    <x:col min="6" max="6" width="52" hidden="0" customWidth="1"/>
    <x:col min="7" max="7" width="28" hidden="0" customWidth="1"/>
    <x:col min="8" max="8" width="30" hidden="0" customWidth="1"/>
    <x:col min="9" max="9" width="28" hidden="0" customWidth="1"/>
    <x:col min="10" max="10" width="58" hidden="0" customWidth="1"/>
    <x:col min="11" max="11" width="24" hidden="0" customWidth="1"/>
    <x:col min="12" max="12" width="42" hidden="0" customWidth="1"/>
    <x:col min="13" max="13" width="44" hidden="0" customWidth="1"/>
  </x:cols>
  <x:sheetData>
    <x:row r="1" ht="34" customHeight="1">
      <x:c r="A1" s="3" t="str">
        <x:v>All Policy Review Ledger</x:v>
      </x:c>
      <x:c r="B1" s="85"/>
      <x:c r="C1" s="85"/>
      <x:c r="D1" s="85"/>
      <x:c r="E1" s="85"/>
      <x:c r="F1" s="85"/>
      <x:c r="G1" s="85"/>
      <x:c r="H1" s="85"/>
      <x:c r="I1" s="85"/>
      <x:c r="J1" s="85"/>
      <x:c r="K1" s="85"/>
      <x:c r="L1" s="85"/>
      <x:c r="M1" s="85"/>
    </x:row>
    <x:row r="2" ht="30" customHeight="1">
      <x:c r="A2" s="7" t="str">
        <x:v>All 272 generated policy records were reviewed. This ledger documents why each policy is assigned, conditional, held, consolidated, or not a separate scored LMS item.</x:v>
      </x:c>
      <x:c r="B2" s="85"/>
      <x:c r="C2" s="85"/>
      <x:c r="D2" s="85"/>
      <x:c r="E2" s="85"/>
      <x:c r="F2" s="85"/>
      <x:c r="G2" s="85"/>
      <x:c r="H2" s="85"/>
      <x:c r="I2" s="85"/>
      <x:c r="J2" s="85"/>
      <x:c r="K2" s="85"/>
      <x:c r="L2" s="85"/>
      <x:c r="M2" s="85"/>
    </x:row>
    <x:row r="3">
      <x:c r="A3" s="85"/>
      <x:c r="B3" s="85"/>
      <x:c r="C3" s="85"/>
      <x:c r="D3" s="85"/>
      <x:c r="E3" s="85"/>
      <x:c r="F3" s="85"/>
      <x:c r="G3" s="85"/>
      <x:c r="H3" s="85"/>
      <x:c r="I3" s="85"/>
      <x:c r="J3" s="85"/>
      <x:c r="K3" s="85"/>
      <x:c r="L3" s="85"/>
      <x:c r="M3" s="85"/>
    </x:row>
    <x:row r="4" ht="32" customHeight="1">
      <x:c r="A4" s="67" t="str">
        <x:v>Policy ID</x:v>
      </x:c>
      <x:c r="B4" s="68" t="str">
        <x:v>Policy title</x:v>
      </x:c>
      <x:c r="C4" s="68" t="str">
        <x:v>Classification</x:v>
      </x:c>
      <x:c r="D4" s="68" t="str">
        <x:v>Status</x:v>
      </x:c>
      <x:c r="E4" s="68" t="str">
        <x:v>Owner</x:v>
      </x:c>
      <x:c r="F4" s="68" t="str">
        <x:v>Scope excerpt</x:v>
      </x:c>
      <x:c r="G4" s="68" t="str">
        <x:v>LMS decision</x:v>
      </x:c>
      <x:c r="H4" s="68" t="str">
        <x:v>Assigned pathways</x:v>
      </x:c>
      <x:c r="I4" s="68" t="str">
        <x:v>Quiz bundle IDs</x:v>
      </x:c>
      <x:c r="J4" s="68" t="str">
        <x:v>Decision rationale</x:v>
      </x:c>
      <x:c r="K4" s="68" t="str">
        <x:v>Source quality</x:v>
      </x:c>
      <x:c r="L4" s="68" t="str">
        <x:v>Internal source</x:v>
      </x:c>
      <x:c r="M4" s="69" t="str">
        <x:v>External authority URL</x:v>
      </x:c>
    </x:row>
    <x:row r="5" ht="58" customHeight="1">
      <x:c r="A5" s="90" t="str">
        <x:v>CL-CA-001</x:v>
      </x:c>
      <x:c r="B5" s="90" t="str">
        <x:v>Patient Assessment — Comprehensive</x:v>
      </x:c>
      <x:c r="C5" s="90" t="str">
        <x:v>REQUIRED</x:v>
      </x:c>
      <x:c r="D5" s="90" t="str">
        <x:v>ACTIVE</x:v>
      </x:c>
      <x:c r="E5" s="90" t="str">
        <x:v>Director of Nursing</x:v>
      </x:c>
      <x:c r="F5" s="90" t="str">
        <x:v>This policy applies to: All registered nurses (RNs) authorized to conduct comprehensive assessments at Care Indeed Home Health Care, Inc. — only RNs may conduct comprehensive assessments; LVNs, therapists, and other disciplines may not independently conduct the comprehensive a…</x:v>
      </x:c>
      <x:c r="G5" s="90" t="str">
        <x:v>Hold — correction required</x:v>
      </x:c>
      <x:c r="H5" s="90" t="str">
        <x:v>RN, PT, OT, SLP, DON</x:v>
      </x:c>
      <x:c r="I5" s="90" t="str">
        <x:v>RN-03, PT-03, OT-03, SLP-01, DON-03</x:v>
      </x:c>
      <x:c r="J5" s="90" t="str">
        <x:v>RNs need assessment, homebound, face-to-face, and recertification competence; the course must not repeat the incorrect therapist prohibition. Federal rules permit PT assessment in therapy-only cases, but the supplied RN-only policy text must be corrected before this module is released. Federal rules permit OT assessment in specified therapy-only cases, but the supplied RN-only policy text must be corrected before …</x:v>
      </x:c>
      <x:c r="K5" s="90" t="str">
        <x:v>Conflict/correction required</x:v>
      </x:c>
      <x:c r="L5" s="90" t="str">
        <x:v>12-allPoliciesContent.generated.ts — CL-CA-001</x:v>
      </x:c>
      <x:c r="M5" s="90" t="str">
        <x:v>https://www.ecfr.gov/current/title-42/part-484/section-484.55</x:v>
      </x:c>
    </x:row>
    <x:row r="6" ht="58" customHeight="1">
      <x:c r="A6" s="90" t="str">
        <x:v>CL-CA-002</x:v>
      </x:c>
      <x:c r="B6" s="90" t="str">
        <x:v>OASIS Data Collection &amp; Accuracy</x:v>
      </x:c>
      <x:c r="C6" s="90" t="str">
        <x:v>REQUIRED</x:v>
      </x:c>
      <x:c r="D6" s="90" t="str">
        <x:v>ACTIVE</x:v>
      </x:c>
      <x:c r="E6" s="90" t="str">
        <x:v>Director of Nursing</x:v>
      </x:c>
      <x:c r="F6" s="90" t="str">
        <x:v>This policy applies to: All registered nurses (RNs) authorized to conduct comprehensive assessments and collect OASIS data The Director of Nursing / Clinical Manager responsible for OASIS quality oversight The OASIS Quality Reviewer (a designated RN with advanced OASIS trainin…</x:v>
      </x:c>
      <x:c r="G6" s="90" t="str">
        <x:v>Hold — correction required</x:v>
      </x:c>
      <x:c r="H6" s="90" t="str">
        <x:v>RN, PT, OT, SLP, DON</x:v>
      </x:c>
      <x:c r="I6" s="90" t="str">
        <x:v>RN-04, PT-03, OT-03, SLP-01, DON-03</x:v>
      </x:c>
      <x:c r="J6"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6" s="90" t="str">
        <x:v>Conflict/correction required</x:v>
      </x:c>
      <x:c r="L6" s="90" t="str">
        <x:v>12-allPoliciesContent.generated.ts — CL-CA-002</x:v>
      </x:c>
      <x:c r="M6" s="90" t="str">
        <x:v>https://www.ecfr.gov/current/title-42/part-484/section-484.55</x:v>
      </x:c>
    </x:row>
    <x:row r="7" ht="58" customHeight="1">
      <x:c r="A7" s="90" t="str">
        <x:v>CL-CA-003</x:v>
      </x:c>
      <x:c r="B7" s="90" t="str">
        <x:v>OASIS Transmission &amp; Correction</x:v>
      </x:c>
      <x:c r="C7" s="90" t="str">
        <x:v>REQUIRED</x:v>
      </x:c>
      <x:c r="D7" s="90" t="str">
        <x:v>ACTIVE</x:v>
      </x:c>
      <x:c r="E7" s="90" t="str">
        <x:v>Director of Nursing</x:v>
      </x:c>
      <x:c r="F7" s="90" t="str">
        <x:v>This policy applies to: The designated OASIS Transmission Coordinator (the staff member responsible for managing the agency's OASIS data submission to CMS) The Director of Nursing / Clinical Manager who provides clinical oversight of the transmission and correction process The…</x:v>
      </x:c>
      <x:c r="G7" s="90" t="str">
        <x:v>Hold — correction required</x:v>
      </x:c>
      <x:c r="H7" s="90" t="str">
        <x:v>RN, DON</x:v>
      </x:c>
      <x:c r="I7" s="90" t="str">
        <x:v>RN-04, DON-03</x:v>
      </x:c>
      <x:c r="J7" s="90" t="str">
        <x:v>OASIS is high-risk and requires a single controlled competency course rather than 20 separate quizzes. DON owns authorization, competency, correction, and quality controls; publish only after the source hierarchy and therapist eligibility are corrected.</x:v>
      </x:c>
      <x:c r="K7" s="90" t="str">
        <x:v>Conflict/correction required</x:v>
      </x:c>
      <x:c r="L7" s="90" t="str">
        <x:v>12-allPoliciesContent.generated.ts — CL-CA-003</x:v>
      </x:c>
      <x:c r="M7" s="90" t="str">
        <x:v>https://www.ecfr.gov/current/title-42/part-484/section-484.55</x:v>
      </x:c>
    </x:row>
    <x:row r="8" ht="58" customHeight="1">
      <x:c r="A8" s="90" t="str">
        <x:v>CL-CA-004</x:v>
      </x:c>
      <x:c r="B8" s="90" t="str">
        <x:v>Recertification Assessment &amp; Process</x:v>
      </x:c>
      <x:c r="C8" s="90" t="str">
        <x:v>REQUIRED</x:v>
      </x:c>
      <x:c r="D8" s="90" t="str">
        <x:v>ACTIVE</x:v>
      </x:c>
      <x:c r="E8" s="90" t="str">
        <x:v>Director of Nursing</x:v>
      </x:c>
      <x:c r="F8" s="90" t="str">
        <x:v>This policy applies to: All registered nurses conducting recertification assessments The Director of Nursing / Clinical Manager responsible for recertification oversight Clinical Coordinators managing the recertification tracking schedule per CL-CP-008 Physicians and allowed p…</x:v>
      </x:c>
      <x:c r="G8" s="90" t="str">
        <x:v>Assign, with held component</x:v>
      </x:c>
      <x:c r="H8" s="90" t="str">
        <x:v>RN, PT, OT, SLP, DON</x:v>
      </x:c>
      <x:c r="I8" s="90" t="str">
        <x:v>RN-03, PT-03, OT-03, SLP-01, DON-03</x:v>
      </x:c>
      <x:c r="J8" s="90" t="str">
        <x:v>RNs need assessment, homebound, face-to-face, and recertification competence; the course must not repeat the incorrect therapist prohibition. Federal rules permit PT assessment in therapy-only cases, but the supplied RN-only policy text must be corrected before this module is released. Federal rules permit OT assessment in specified therapy-only cases, but the supplied RN-only policy text must be corrected before …</x:v>
      </x:c>
      <x:c r="K8" s="90" t="str">
        <x:v>Conflict/correction required</x:v>
      </x:c>
      <x:c r="L8" s="90" t="str">
        <x:v>12-allPoliciesContent.generated.ts — CL-CA-004</x:v>
      </x:c>
      <x:c r="M8" s="90" t="str">
        <x:v>https://www.ecfr.gov/current/title-42/part-484/section-484.55</x:v>
      </x:c>
    </x:row>
    <x:row r="9" ht="58" customHeight="1">
      <x:c r="A9" s="90" t="str">
        <x:v>CL-CA-005</x:v>
      </x:c>
      <x:c r="B9" s="90" t="str">
        <x:v>Homebound Status Determination &amp; Documentation</x:v>
      </x:c>
      <x:c r="C9" s="90" t="str">
        <x:v>REQUIRED</x:v>
      </x:c>
      <x:c r="D9" s="90" t="str">
        <x:v>ACTIVE</x:v>
      </x:c>
      <x:c r="E9" s="90" t="str">
        <x:v>Director of Nursing</x:v>
      </x:c>
      <x:c r="F9" s="90" t="str">
        <x:v>This policy applies to: All registered nurses conducting comprehensive assessments, recertification assessments, and all OASIS time point assessments The Director of Nursing / Clinical Manager responsible for homebound documentation quality The OASIS Quality Reviewer who valid…</x:v>
      </x:c>
      <x:c r="G9" s="90" t="str">
        <x:v>Assign, with held component</x:v>
      </x:c>
      <x:c r="H9" s="90" t="str">
        <x:v>RN, PT, OT, SLP, DON</x:v>
      </x:c>
      <x:c r="I9" s="90" t="str">
        <x:v>RN-03, PT-03, OT-03, SLP-01, DON-03</x:v>
      </x:c>
      <x:c r="J9" s="90" t="str">
        <x:v>RNs need assessment, homebound, face-to-face, and recertification competence; the course must not repeat the incorrect therapist prohibition. Federal rules permit PT assessment in therapy-only cases, but the supplied RN-only policy text must be corrected before this module is released. Federal rules permit OT assessment in specified therapy-only cases, but the supplied RN-only policy text must be corrected before …</x:v>
      </x:c>
      <x:c r="K9" s="90" t="str">
        <x:v>Conflict/correction required</x:v>
      </x:c>
      <x:c r="L9" s="90" t="str">
        <x:v>12-allPoliciesContent.generated.ts — CL-CA-005</x:v>
      </x:c>
      <x:c r="M9" s="90" t="str">
        <x:v>https://www.ecfr.gov/current/title-42/part-484/section-484.55</x:v>
      </x:c>
    </x:row>
    <x:row r="10" ht="58" customHeight="1">
      <x:c r="A10" s="90" t="str">
        <x:v>CL-CA-006</x:v>
      </x:c>
      <x:c r="B10" s="90" t="str">
        <x:v>Face-to-Face Encounter Compliance</x:v>
      </x:c>
      <x:c r="C10" s="90" t="str">
        <x:v>REQUIRED</x:v>
      </x:c>
      <x:c r="D10" s="90" t="str">
        <x:v>ACTIVE</x:v>
      </x:c>
      <x:c r="E10" s="90" t="str">
        <x:v>Director of Nursing</x:v>
      </x:c>
      <x:c r="F10" s="90" t="str">
        <x:v>This policy applies to: All registered nurses conducting SOC assessments who are responsible for verifying F2F compliance at the initiation of each episode Clinical Coordinators responsible for F2F tracking per CL-CA-007 The Director of Nursing / Clinical Manager responsible f…</x:v>
      </x:c>
      <x:c r="G10" s="90" t="str">
        <x:v>Assign — read + bundled quiz</x:v>
      </x:c>
      <x:c r="H10" s="90" t="str">
        <x:v>RN, DON</x:v>
      </x:c>
      <x:c r="I10" s="90" t="str">
        <x:v>RN-03, DON-03</x:v>
      </x:c>
      <x:c r="J10" s="90" t="str">
        <x:v>RNs need assessment, homebound, face-to-face, and recertification competence; the course must not repeat the incorrect therapist prohibition. DON owns authorization, competency, correction, and quality controls; publish only after the source hierarchy and therapist eligibility are corrected.</x:v>
      </x:c>
      <x:c r="K10" s="90" t="str">
        <x:v>Internal body reviewed</x:v>
      </x:c>
      <x:c r="L10" s="90" t="str">
        <x:v>12-allPoliciesContent.generated.ts — CL-CA-006</x:v>
      </x:c>
      <x:c r="M10" s="90" t="str">
        <x:v>https://www.ecfr.gov/current/title-42/part-484/section-484.55</x:v>
      </x:c>
    </x:row>
    <x:row r="11" ht="58" customHeight="1">
      <x:c r="A11" s="90" t="str">
        <x:v>CL-CA-007</x:v>
      </x:c>
      <x:c r="B11" s="90" t="str">
        <x:v>Face-to-Face Encounter Tracking &amp; Expiration Monitoring</x:v>
      </x:c>
      <x:c r="C11" s="90" t="str">
        <x:v>REQUIRED</x:v>
      </x:c>
      <x:c r="D11" s="90" t="str">
        <x:v>ACTIVE</x:v>
      </x:c>
      <x:c r="E11" s="90" t="str">
        <x:v>Director of Nursing</x:v>
      </x:c>
      <x:c r="F11" s="90" t="str">
        <x:v>This policy applies to: Clinical Coordinators who manage the F2F Tracking System daily Medical Records staff who obtain and verify F2F documentation The Director of Nursing / Clinical Manager who reviews F2F compliance status weekly Revenue Cycle staff who perform pre-bill F2F…</x:v>
      </x:c>
      <x:c r="G11" s="90" t="str">
        <x:v>Assign — read + bundled quiz</x:v>
      </x:c>
      <x:c r="H11" s="90" t="str">
        <x:v>RN, DON</x:v>
      </x:c>
      <x:c r="I11" s="90" t="str">
        <x:v>RN-03, DON-03</x:v>
      </x:c>
      <x:c r="J11" s="90" t="str">
        <x:v>RNs need assessment, homebound, face-to-face, and recertification competence; the course must not repeat the incorrect therapist prohibition. DON owns authorization, competency, correction, and quality controls; publish only after the source hierarchy and therapist eligibility are corrected.</x:v>
      </x:c>
      <x:c r="K11" s="90" t="str">
        <x:v>Internal body reviewed</x:v>
      </x:c>
      <x:c r="L11" s="90" t="str">
        <x:v>12-allPoliciesContent.generated.ts — CL-CA-007</x:v>
      </x:c>
      <x:c r="M11" s="90" t="str">
        <x:v>https://www.ecfr.gov/current/title-42/part-484/section-484.55</x:v>
      </x:c>
    </x:row>
    <x:row r="12" ht="58" customHeight="1">
      <x:c r="A12" s="90" t="str">
        <x:v>CL-CD-001</x:v>
      </x:c>
      <x:c r="B12" s="90" t="str">
        <x:v>Clinical Documentation Standards</x:v>
      </x:c>
      <x:c r="C12" s="90" t="str">
        <x:v>REQUIRED</x:v>
      </x:c>
      <x:c r="D12" s="90" t="str">
        <x:v>ACTIVE</x:v>
      </x:c>
      <x:c r="E12" s="90" t="str">
        <x:v>Director of Nursing</x:v>
      </x:c>
      <x:c r="F12" s="90" t="str">
        <x:v>This policy applies to: All registered nurses (RNs) creating clinical record entries All licensed vocational nurses (LVNs) creating clinical record entries All physical therapists (PTs) and physical therapist assistants (PTAs) creating clinical record entries All occupational …</x:v>
      </x:c>
      <x:c r="G12" s="90" t="str">
        <x:v>Assign — read + bundled quiz</x:v>
      </x:c>
      <x:c r="H12" s="90" t="str">
        <x:v>LVN, RN, HHA, PT, PTA, OT, COTA, SLP, MSW, DON</x:v>
      </x:c>
      <x:c r="I12" s="90" t="str">
        <x:v>LVN-02, RN-02, HHA-03, PT-02, PTA-02, OT-02, COTA-02, SLP-01, MSW-01, DON-02</x:v>
      </x:c>
      <x:c r="J12" s="90" t="str">
        <x:v>LVNs document care, communicate plan changes, and receive/implement orders within scope. RN case management depends on compliant documentation, order handling, coordination, recertification, transfer, and discharge. Aides must document tasks, report changes, coordinate with the supervisor, and follow visit scheduling/frequency rules. Common professional therapy duties for documentation, orders, transitions, patien…</x:v>
      </x:c>
      <x:c r="K12" s="90" t="str">
        <x:v>Internal body reviewed</x:v>
      </x:c>
      <x:c r="L12" s="90" t="str">
        <x:v>12-allPoliciesContent.generated.ts — CL-CD-001</x:v>
      </x:c>
      <x:c r="M12" s="90" t="str">
        <x:v>https://www.ecfr.gov/current/title-42/part-484/section-484.110</x:v>
      </x:c>
    </x:row>
    <x:row r="13" ht="58" customHeight="1">
      <x:c r="A13" s="90" t="str">
        <x:v>CL-CD-002</x:v>
      </x:c>
      <x:c r="B13" s="90" t="str">
        <x:v>Clinical Record Content &amp; Organization</x:v>
      </x:c>
      <x:c r="C13" s="90" t="str">
        <x:v>REQUIRED</x:v>
      </x:c>
      <x:c r="D13" s="90" t="str">
        <x:v>ACTIVE</x:v>
      </x:c>
      <x:c r="E13" s="90" t="str">
        <x:v>Director of Nursing</x:v>
      </x:c>
      <x:c r="F13" s="90" t="str">
        <x:v>This policy applies to all clinical staff responsible for creating or maintaining patient documentation, including Registered Nurses, Licensed Vocational Nurses, Physical Therapists, Occupational Therapists, Speech-Language Pathologists, Medical Social Workers, and Home Health…</x:v>
      </x:c>
      <x:c r="G13" s="90" t="str">
        <x:v>Assign — read + bundled quiz</x:v>
      </x:c>
      <x:c r="H13" s="90" t="str">
        <x:v>LVN, RN, HHA, PT, PTA, OT, COTA, SLP, MSW, DON</x:v>
      </x:c>
      <x:c r="I13" s="90" t="str">
        <x:v>LVN-02, RN-02, HHA-03, PT-02, PTA-02, OT-02, COTA-02, SLP-01, MSW-01, DON-02</x:v>
      </x:c>
      <x:c r="J13" s="90" t="str">
        <x:v>LVNs document care, communicate plan changes, and receive/implement orders within scope. RN case management depends on compliant documentation, order handling, coordination, recertification, transfer, and discharge. Aides must document tasks, report changes, coordinate with the supervisor, and follow visit scheduling/frequency rules. Common professional therapy duties for documentation, orders, transitions, patien…</x:v>
      </x:c>
      <x:c r="K13" s="90" t="str">
        <x:v>Internal body reviewed</x:v>
      </x:c>
      <x:c r="L13" s="90" t="str">
        <x:v>12-allPoliciesContent.generated.ts — CL-CD-002</x:v>
      </x:c>
      <x:c r="M13" s="90" t="str">
        <x:v>https://www.ecfr.gov/current/title-42/part-484/section-484.110</x:v>
      </x:c>
    </x:row>
    <x:row r="14" ht="58" customHeight="1">
      <x:c r="A14" s="90" t="str">
        <x:v>CL-CD-003</x:v>
      </x:c>
      <x:c r="B14" s="90" t="str">
        <x:v>Clinical Record Authentication &amp; Signature Requirements</x:v>
      </x:c>
      <x:c r="C14" s="90" t="str">
        <x:v>REQUIRED</x:v>
      </x:c>
      <x:c r="D14" s="90" t="str">
        <x:v>ACTIVE</x:v>
      </x:c>
      <x:c r="E14" s="90" t="str">
        <x:v>Director of Nursing</x:v>
      </x:c>
      <x:c r="F14" s="90" t="str">
        <x:v>All employees and contractors who create or co-sign entries in patient clinical records, including all clinical disciplines, supervising clinicians, and agency administrators who countersign documentation. ---</x:v>
      </x:c>
      <x:c r="G14" s="90" t="str">
        <x:v>Assign — read + bundled quiz</x:v>
      </x:c>
      <x:c r="H14" s="90" t="str">
        <x:v>LVN, RN, HHA, PT, PTA, OT, COTA, SLP, MSW, DON</x:v>
      </x:c>
      <x:c r="I14" s="90" t="str">
        <x:v>LVN-02, RN-02, HHA-03, PT-02, PTA-02, OT-02, COTA-02, SLP-01, MSW-01, DON-02</x:v>
      </x:c>
      <x:c r="J14" s="90" t="str">
        <x:v>LVNs document care, communicate plan changes, and receive/implement orders within scope. RN case management depends on compliant documentation, order handling, coordination, recertification, transfer, and discharge. Aides must document tasks, report changes, coordinate with the supervisor, and follow visit scheduling/frequency rules. Common professional therapy duties for documentation, orders, transitions, patien…</x:v>
      </x:c>
      <x:c r="K14" s="90" t="str">
        <x:v>Internal body reviewed</x:v>
      </x:c>
      <x:c r="L14" s="90" t="str">
        <x:v>12-allPoliciesContent.generated.ts — CL-CD-003</x:v>
      </x:c>
      <x:c r="M14" s="90" t="str">
        <x:v>https://www.ecfr.gov/current/title-42/part-484/section-484.110</x:v>
      </x:c>
    </x:row>
    <x:row r="15" ht="58" customHeight="1">
      <x:c r="A15" s="90" t="str">
        <x:v>CL-CD-004</x:v>
      </x:c>
      <x:c r="B15" s="90" t="str">
        <x:v>Timely Documentation Completion &amp; Lock Requirements</x:v>
      </x:c>
      <x:c r="C15" s="90" t="str">
        <x:v>REQUIRED</x:v>
      </x:c>
      <x:c r="D15" s="90" t="str">
        <x:v>ACTIVE</x:v>
      </x:c>
      <x:c r="E15" s="90" t="str">
        <x:v>Director of Nursing</x:v>
      </x:c>
      <x:c r="F15" s="90" t="str">
        <x:v>All clinicians and clinical staff documenting patient care, including RNs, LVNs, PT, OT, SLP, MSW, and HHA. Also applies to supervisory and administrative staff with documentation responsibilities. ---</x:v>
      </x:c>
      <x:c r="G15" s="90" t="str">
        <x:v>Assign — read + bundled quiz</x:v>
      </x:c>
      <x:c r="H15" s="90" t="str">
        <x:v>LVN, RN, HHA, PT, PTA, OT, COTA, SLP, MSW, DON</x:v>
      </x:c>
      <x:c r="I15" s="90" t="str">
        <x:v>LVN-02, RN-02, HHA-03, PT-02, PTA-02, OT-02, COTA-02, SLP-01, MSW-01, DON-02</x:v>
      </x:c>
      <x:c r="J15" s="90" t="str">
        <x:v>LVNs document care, communicate plan changes, and receive/implement orders within scope. RN case management depends on compliant documentation, order handling, coordination, recertification, transfer, and discharge. Aides must document tasks, report changes, coordinate with the supervisor, and follow visit scheduling/frequency rules. Common professional therapy duties for documentation, orders, transitions, patien…</x:v>
      </x:c>
      <x:c r="K15" s="90" t="str">
        <x:v>Internal body reviewed</x:v>
      </x:c>
      <x:c r="L15" s="90" t="str">
        <x:v>12-allPoliciesContent.generated.ts — CL-CD-004</x:v>
      </x:c>
      <x:c r="M15" s="90" t="str">
        <x:v>https://www.ecfr.gov/current/title-42/part-484/section-484.110</x:v>
      </x:c>
    </x:row>
    <x:row r="16" ht="58" customHeight="1">
      <x:c r="A16" s="90" t="str">
        <x:v>CL-CP-001</x:v>
      </x:c>
      <x:c r="B16" s="90" t="str">
        <x:v>Plan of Care Development &amp; Approval</x:v>
      </x:c>
      <x:c r="C16" s="90" t="str">
        <x:v>REQUIRED</x:v>
      </x:c>
      <x:c r="D16" s="90" t="str">
        <x:v>ACTIVE</x:v>
      </x:c>
      <x:c r="E16" s="90" t="str">
        <x:v>Director of Nursing</x:v>
      </x:c>
      <x:c r="F16" s="90" t="str">
        <x:v>This policy applies to: All registered nurses (RNs) responsible for completing the comprehensive assessment and establishing the plan of care All clinical disciplines contributing to the plan of care (PT, OT, SLP, MSW, HHA) The Director of Nursing / Clinical Manager All intake…</x:v>
      </x:c>
      <x:c r="G16" s="90" t="str">
        <x:v>Assign — read + bundled quiz</x:v>
      </x:c>
      <x:c r="H16" s="90" t="str">
        <x:v>LVN, RN, HHA, PT, PTA, OT, COTA, SLP, MSW, DON</x:v>
      </x:c>
      <x:c r="I16" s="90" t="str">
        <x:v>LVN-02, RN-02, HHA-01, PT-02, PTA-02, OT-02, COTA-02, SLP-01, MSW-01, DON-02</x:v>
      </x:c>
      <x:c r="J16" s="90" t="str">
        <x:v>LVNs document care, communicate plan changes, and receive/implement orders within scope. RN case management depends on compliant documentation, order handling, coordination, recertification, transfer, and discharge. Defines permitted tasks, prohibited independent decisions, and the duty to follow the aide care plan. Common professional therapy duties for documentation, orders, transitions, patient safeguards, and …</x:v>
      </x:c>
      <x:c r="K16" s="90" t="str">
        <x:v>Internal body reviewed</x:v>
      </x:c>
      <x:c r="L16" s="90" t="str">
        <x:v>12-allPoliciesContent.generated.ts — CL-CP-001</x:v>
      </x:c>
      <x:c r="M16" s="90" t="str">
        <x:v>https://www.ecfr.gov/current/title-42/part-484/section-484.60</x:v>
      </x:c>
    </x:row>
    <x:row r="17" ht="58" customHeight="1">
      <x:c r="A17" s="90" t="str">
        <x:v>CL-CP-002</x:v>
      </x:c>
      <x:c r="B17" s="90" t="str">
        <x:v>Plan of Care Review &amp; Update</x:v>
      </x:c>
      <x:c r="C17" s="90" t="str">
        <x:v>REQUIRED</x:v>
      </x:c>
      <x:c r="D17" s="90" t="str">
        <x:v>ACTIVE</x:v>
      </x:c>
      <x:c r="E17" s="90" t="str">
        <x:v>Director of Nursing</x:v>
      </x:c>
      <x:c r="F17" s="90" t="str">
        <x:v>This policy applies to: All registered nurses managing active patient caseloads All clinical disciplines (PT, OT, SLP, MSW) providing services under the plan of care The Director of Nursing / Clinical Manager Clinical Coordinators responsible for recertification tracking Physi…</x:v>
      </x:c>
      <x:c r="G17" s="90" t="str">
        <x:v>Assign — read + bundled quiz</x:v>
      </x:c>
      <x:c r="H17" s="90" t="str">
        <x:v>LVN, RN, PT, OT, SLP, MSW, DON</x:v>
      </x:c>
      <x:c r="I17" s="90" t="str">
        <x:v>LVN-02, RN-02, PT-02, OT-02, SLP-01, MSW-01, DON-02</x:v>
      </x:c>
      <x:c r="J17" s="90" t="str">
        <x:v>LVNs document care, communicate plan changes, and receive/implement orders within scope. RN case management depends on compliant documentation, order handling, coordination, recertification, transfer, and discharge. Common professional therapy duties for documentation, orders, transitions, patient safeguards, and field safety. One integrated SLP course covers the smaller pathway while gating OASIS and specialty co…</x:v>
      </x:c>
      <x:c r="K17" s="90" t="str">
        <x:v>Internal body reviewed</x:v>
      </x:c>
      <x:c r="L17" s="90" t="str">
        <x:v>12-allPoliciesContent.generated.ts — CL-CP-002</x:v>
      </x:c>
      <x:c r="M17" s="90" t="str">
        <x:v>https://www.ecfr.gov/current/title-42/part-484/section-484.60</x:v>
      </x:c>
    </x:row>
    <x:row r="18" ht="58" customHeight="1">
      <x:c r="A18" s="90" t="str">
        <x:v>CL-CP-003</x:v>
      </x:c>
      <x:c r="B18" s="90" t="str">
        <x:v>Physician Orders &amp; Order Management</x:v>
      </x:c>
      <x:c r="C18" s="90" t="str">
        <x:v>REQUIRED</x:v>
      </x:c>
      <x:c r="D18" s="90" t="str">
        <x:v>ACTIVE</x:v>
      </x:c>
      <x:c r="E18" s="90" t="str">
        <x:v>Director of Nursing</x:v>
      </x:c>
      <x:c r="F18" s="90" t="str">
        <x:v>This policy applies to: All registered nurses and licensed vocational nurses receiving, transcribing, or documenting physician orders All clinical disciplines (PT, OT, SLP, MSW) receiving discipline-specific orders Physicians, nurse practitioners, clinical nurse specialists, a…</x:v>
      </x:c>
      <x:c r="G18" s="90" t="str">
        <x:v>Assign — read + bundled quiz</x:v>
      </x:c>
      <x:c r="H18" s="90" t="str">
        <x:v>LVN, RN, PT, OT, SLP, MSW, DON</x:v>
      </x:c>
      <x:c r="I18" s="90" t="str">
        <x:v>LVN-02, RN-02, PT-02, OT-02, SLP-01, MSW-01, DON-02</x:v>
      </x:c>
      <x:c r="J18" s="90" t="str">
        <x:v>LVNs document care, communicate plan changes, and receive/implement orders within scope. RN case management depends on compliant documentation, order handling, coordination, recertification, transfer, and discharge. Common professional therapy duties for documentation, orders, transitions, patient safeguards, and field safety. One integrated SLP course covers the smaller pathway while gating OASIS and specialty co…</x:v>
      </x:c>
      <x:c r="K18" s="90" t="str">
        <x:v>Internal body reviewed</x:v>
      </x:c>
      <x:c r="L18" s="90" t="str">
        <x:v>12-allPoliciesContent.generated.ts — CL-CP-003</x:v>
      </x:c>
      <x:c r="M18" s="90" t="str">
        <x:v>https://www.ecfr.gov/current/title-42/part-484/section-484.60</x:v>
      </x:c>
    </x:row>
    <x:row r="19" ht="58" customHeight="1">
      <x:c r="A19" s="90" t="str">
        <x:v>CL-CP-004</x:v>
      </x:c>
      <x:c r="B19" s="90" t="str">
        <x:v>Verbal Order Receipt &amp; Authentication</x:v>
      </x:c>
      <x:c r="C19" s="90" t="str">
        <x:v>REQUIRED</x:v>
      </x:c>
      <x:c r="D19" s="90" t="str">
        <x:v>ACTIVE</x:v>
      </x:c>
      <x:c r="E19" s="90" t="str">
        <x:v>Director of Nursing</x:v>
      </x:c>
      <x:c r="F19" s="90" t="str">
        <x:v>This policy applies to: All registered nurses authorized to receive verbal orders from physicians and allowed practitioners Licensed vocational nurses who receive verbal orders within their California BPC § 2859 scope limitations All physicians, nurse practitioners, clinical n…</x:v>
      </x:c>
      <x:c r="G19" s="90" t="str">
        <x:v>Assign — read + bundled quiz</x:v>
      </x:c>
      <x:c r="H19" s="90" t="str">
        <x:v>LVN, RN, DON</x:v>
      </x:c>
      <x:c r="I19" s="90" t="str">
        <x:v>LVN-02, RN-02, DON-02</x:v>
      </x:c>
      <x:c r="J19" s="90" t="str">
        <x:v>LVNs document care, communicate plan changes, and receive/implement orders within scope. RN case management depends on compliant documentation, order handling, coordination, recertification, transfer, and discharge. DON must set and audit clinical documentation, orders, coordination, transfers, discharge, and recertification controls.</x:v>
      </x:c>
      <x:c r="K19" s="90" t="str">
        <x:v>Internal body reviewed</x:v>
      </x:c>
      <x:c r="L19" s="90" t="str">
        <x:v>12-allPoliciesContent.generated.ts — CL-CP-004</x:v>
      </x:c>
      <x:c r="M19" s="90" t="str">
        <x:v>https://www.ecfr.gov/current/title-42/part-484/section-484.60</x:v>
      </x:c>
    </x:row>
    <x:row r="20" ht="58" customHeight="1">
      <x:c r="A20" s="90" t="str">
        <x:v>CL-CP-005</x:v>
      </x:c>
      <x:c r="B20" s="90" t="str">
        <x:v>Coordination of Care</x:v>
      </x:c>
      <x:c r="C20" s="90" t="str">
        <x:v>REQUIRED</x:v>
      </x:c>
      <x:c r="D20" s="90" t="str">
        <x:v>ACTIVE</x:v>
      </x:c>
      <x:c r="E20" s="90" t="str">
        <x:v>Director of Nursing</x:v>
      </x:c>
      <x:c r="F20" s="90" t="str">
        <x:v>This policy applies to: All registered nurses managing patient care All clinical disciplines (PT, OT, SLP, MSW) providing patient services The Director of Nursing / Clinical Manager The Medical Social Worker (primary community resource coordination role) Operations staff manag…</x:v>
      </x:c>
      <x:c r="G20" s="90" t="str">
        <x:v>Assign — read + bundled quiz</x:v>
      </x:c>
      <x:c r="H20" s="90" t="str">
        <x:v>LVN, RN, HHA, PT, PTA, OT, COTA, SLP, MSW, DON</x:v>
      </x:c>
      <x:c r="I20" s="90" t="str">
        <x:v>LVN-02, RN-02, HHA-03, PT-02, PTA-02, OT-02, COTA-02, SLP-01, MSW-01, DON-02</x:v>
      </x:c>
      <x:c r="J20" s="90" t="str">
        <x:v>LVNs document care, communicate plan changes, and receive/implement orders within scope. RN case management depends on compliant documentation, order handling, coordination, recertification, transfer, and discharge. Aides must document tasks, report changes, coordinate with the supervisor, and follow visit scheduling/frequency rules. Common professional therapy duties for documentation, orders, transitions, patien…</x:v>
      </x:c>
      <x:c r="K20" s="90" t="str">
        <x:v>Internal body reviewed</x:v>
      </x:c>
      <x:c r="L20" s="90" t="str">
        <x:v>12-allPoliciesContent.generated.ts — CL-CP-005</x:v>
      </x:c>
      <x:c r="M20" s="90" t="str">
        <x:v>https://www.ecfr.gov/current/title-42/part-484/section-484.60</x:v>
      </x:c>
    </x:row>
    <x:row r="21" ht="58" customHeight="1">
      <x:c r="A21" s="90" t="str">
        <x:v>CL-CP-006</x:v>
      </x:c>
      <x:c r="B21" s="90" t="str">
        <x:v>Discharge Planning &amp; Criteria</x:v>
      </x:c>
      <x:c r="C21" s="90" t="str">
        <x:v>REQUIRED</x:v>
      </x:c>
      <x:c r="D21" s="90" t="str">
        <x:v>ACTIVE</x:v>
      </x:c>
      <x:c r="E21" s="90" t="str">
        <x:v>Director of Nursing</x:v>
      </x:c>
      <x:c r="F21" s="90" t="str">
        <x:v>This policy applies to: All registered nurses managing active patient caseloads All clinical disciplines providing services at discharge The Director of Nursing / Clinical Manager Medical Social Workers coordinating community resources at discharge Clinical Coordinators managi…</x:v>
      </x:c>
      <x:c r="G21" s="90" t="str">
        <x:v>Assign — read + bundled quiz</x:v>
      </x:c>
      <x:c r="H21" s="90" t="str">
        <x:v>LVN, RN, PT, PTA, OT, COTA, SLP, MSW, DON</x:v>
      </x:c>
      <x:c r="I21" s="90" t="str">
        <x:v>LVN-05, RN-02, PT-02, PTA-02, OT-02, COTA-02, SLP-01, MSW-01, DON-02</x:v>
      </x:c>
      <x:c r="J21" s="90" t="str">
        <x:v>Combines universal transition duties with task-, population-, and field-triggered procedures. RN case management depends on compliant documentation, order handling, coordination, recertification, transfer, and discharge. Common professional therapy duties for documentation, orders, transitions, patient safeguards, and field safety. Assistant-level documentation, coordination, safeguards, and field safety under PT …</x:v>
      </x:c>
      <x:c r="K21" s="90" t="str">
        <x:v>Internal body reviewed</x:v>
      </x:c>
      <x:c r="L21" s="90" t="str">
        <x:v>12-allPoliciesContent.generated.ts — CL-CP-006</x:v>
      </x:c>
      <x:c r="M21" s="90" t="str">
        <x:v>https://www.ecfr.gov/current/title-42/part-484/section-484.60</x:v>
      </x:c>
    </x:row>
    <x:row r="22" ht="58" customHeight="1">
      <x:c r="A22" s="90" t="str">
        <x:v>CL-CP-007</x:v>
      </x:c>
      <x:c r="B22" s="90" t="str">
        <x:v>Transfer &amp; Referral Procedures</x:v>
      </x:c>
      <x:c r="C22" s="90" t="str">
        <x:v>REQUIRED</x:v>
      </x:c>
      <x:c r="D22" s="90" t="str">
        <x:v>ACTIVE</x:v>
      </x:c>
      <x:c r="E22" s="90" t="str">
        <x:v>Director of Nursing</x:v>
      </x:c>
      <x:c r="F22" s="90" t="str">
        <x:v>This policy applies to: All registered nurses managing active patient caseloads All clinical disciplines involved in the patient's care at the time of transfer The Director of Nursing / Clinical Manager Clinical Coordinators managing transfer scheduling and OASIS documentation…</x:v>
      </x:c>
      <x:c r="G22" s="90" t="str">
        <x:v>Assign — read + bundled quiz</x:v>
      </x:c>
      <x:c r="H22" s="90" t="str">
        <x:v>LVN, RN, PT, PTA, OT, COTA, SLP, MSW, DON</x:v>
      </x:c>
      <x:c r="I22" s="90" t="str">
        <x:v>LVN-05, RN-02, PT-02, PTA-02, OT-02, COTA-02, SLP-01, MSW-01, DON-02</x:v>
      </x:c>
      <x:c r="J22" s="90" t="str">
        <x:v>Combines universal transition duties with task-, population-, and field-triggered procedures. RN case management depends on compliant documentation, order handling, coordination, recertification, transfer, and discharge. Common professional therapy duties for documentation, orders, transitions, patient safeguards, and field safety. Assistant-level documentation, coordination, safeguards, and field safety under PT …</x:v>
      </x:c>
      <x:c r="K22" s="90" t="str">
        <x:v>Internal body reviewed</x:v>
      </x:c>
      <x:c r="L22" s="90" t="str">
        <x:v>12-allPoliciesContent.generated.ts — CL-CP-007</x:v>
      </x:c>
      <x:c r="M22" s="90" t="str">
        <x:v>https://www.ecfr.gov/current/title-42/part-484/section-484.60</x:v>
      </x:c>
    </x:row>
    <x:row r="23" ht="58" customHeight="1">
      <x:c r="A23" s="90" t="str">
        <x:v>CL-CP-008</x:v>
      </x:c>
      <x:c r="B23" s="90" t="str">
        <x:v>Physician Recertification Timing Compliance</x:v>
      </x:c>
      <x:c r="C23" s="90" t="str">
        <x:v>REQUIRED</x:v>
      </x:c>
      <x:c r="D23" s="90" t="str">
        <x:v>ACTIVE</x:v>
      </x:c>
      <x:c r="E23" s="90" t="str">
        <x:v>Director of Nursing</x:v>
      </x:c>
      <x:c r="F23" s="90" t="str">
        <x:v>This policy applies to: All registered nurses managing active patient caseloads responsible for initiating the recertification assessment Clinical Coordinators responsible for tracking recertification timelines The Director of Nursing / Clinical Manager responsible for oversig…</x:v>
      </x:c>
      <x:c r="G23" s="90" t="str">
        <x:v>Assign — read + bundled quiz</x:v>
      </x:c>
      <x:c r="H23" s="90" t="str">
        <x:v>RN, DON</x:v>
      </x:c>
      <x:c r="I23" s="90" t="str">
        <x:v>RN-02, DON-02</x:v>
      </x:c>
      <x:c r="J23" s="90" t="str">
        <x:v>RN case management depends on compliant documentation, order handling, coordination, recertification, transfer, and discharge. DON must set and audit clinical documentation, orders, coordination, transfers, discharge, and recertification controls.</x:v>
      </x:c>
      <x:c r="K23" s="90" t="str">
        <x:v>Internal body reviewed</x:v>
      </x:c>
      <x:c r="L23" s="90" t="str">
        <x:v>12-allPoliciesContent.generated.ts — CL-CP-008</x:v>
      </x:c>
      <x:c r="M23" s="90" t="str">
        <x:v>https://www.ecfr.gov/current/title-42/part-484/section-484.60</x:v>
      </x:c>
    </x:row>
    <x:row r="24" ht="58" customHeight="1">
      <x:c r="A24" s="90" t="str">
        <x:v>CL-CP-009</x:v>
      </x:c>
      <x:c r="B24" s="90" t="str">
        <x:v>Physician Order Signature Tracking &amp; Escalation</x:v>
      </x:c>
      <x:c r="C24" s="90" t="str">
        <x:v>REQUIRED</x:v>
      </x:c>
      <x:c r="D24" s="90" t="str">
        <x:v>ACTIVE</x:v>
      </x:c>
      <x:c r="E24" s="90" t="str">
        <x:v>Director of Nursing</x:v>
      </x:c>
      <x:c r="F24" s="90" t="str">
        <x:v>This policy applies to: Clinical Coordinators who operate the tracking system daily All registered nurses who transmit orders and plans of care to physicians The Director of Nursing / Clinical Manager who is responsible for escalation oversight The Administrator who is the fin…</x:v>
      </x:c>
      <x:c r="G24" s="90" t="str">
        <x:v>Assign — read + bundled quiz</x:v>
      </x:c>
      <x:c r="H24" s="90" t="str">
        <x:v>RN, DON</x:v>
      </x:c>
      <x:c r="I24" s="90" t="str">
        <x:v>RN-02, DON-02</x:v>
      </x:c>
      <x:c r="J24" s="90" t="str">
        <x:v>RN case management depends on compliant documentation, order handling, coordination, recertification, transfer, and discharge. DON must set and audit clinical documentation, orders, coordination, transfers, discharge, and recertification controls.</x:v>
      </x:c>
      <x:c r="K24" s="90" t="str">
        <x:v>Internal body reviewed</x:v>
      </x:c>
      <x:c r="L24" s="90" t="str">
        <x:v>12-allPoliciesContent.generated.ts — CL-CP-009</x:v>
      </x:c>
      <x:c r="M24" s="90" t="str">
        <x:v>https://www.ecfr.gov/current/title-42/part-484/section-484.60</x:v>
      </x:c>
    </x:row>
    <x:row r="25" ht="58" customHeight="1">
      <x:c r="A25" s="90" t="str">
        <x:v>CL-OA-001</x:v>
      </x:c>
      <x:c r="B25" s="90" t="str">
        <x:v>OASIS Completion Timeliness &amp; Accountability</x:v>
      </x:c>
      <x:c r="C25" s="90" t="str">
        <x:v>REQUIRED</x:v>
      </x:c>
      <x:c r="D25" s="90" t="str">
        <x:v>ACTIVE</x:v>
      </x:c>
      <x:c r="E25" s="90" t="str">
        <x:v>Director of Nursing</x:v>
      </x:c>
      <x:c r="F25" s="90" t="str">
        <x:v>This policy applies to: All registered nurses authorized to conduct comprehensive OASIS assessments (per the OASIS Authorized Assessor Roster maintained per CL-CA-002 and CL-OA-003) The Director of Nursing / Clinical Manager who is ultimately accountable for OASIS completion t…</x:v>
      </x:c>
      <x:c r="G25" s="90" t="str">
        <x:v>Hold — correction required</x:v>
      </x:c>
      <x:c r="H25" s="90" t="str">
        <x:v>RN, PT, OT, SLP, DON</x:v>
      </x:c>
      <x:c r="I25" s="90" t="str">
        <x:v>RN-04, PT-03, OT-03, SLP-01, DON-03</x:v>
      </x:c>
      <x:c r="J25"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25" s="90" t="str">
        <x:v>Conflict/correction required</x:v>
      </x:c>
      <x:c r="L25" s="90" t="str">
        <x:v>12-allPoliciesContent.generated.ts — CL-OA-001</x:v>
      </x:c>
      <x:c r="M25" s="90" t="str">
        <x:v>https://www.ecfr.gov/current/title-42/part-484/section-484.55</x:v>
      </x:c>
    </x:row>
    <x:row r="26" ht="58" customHeight="1">
      <x:c r="A26" s="90" t="str">
        <x:v>CL-OA-002</x:v>
      </x:c>
      <x:c r="B26" s="90" t="str">
        <x:v>OASIS Quality Review &amp; Error Correction</x:v>
      </x:c>
      <x:c r="C26" s="90" t="str">
        <x:v>REQUIRED</x:v>
      </x:c>
      <x:c r="D26" s="90" t="str">
        <x:v>ACTIVE</x:v>
      </x:c>
      <x:c r="E26" s="90" t="str">
        <x:v>Director of Nursing</x:v>
      </x:c>
      <x:c r="F26" s="90" t="str">
        <x:v>This policy applies to: All authorized RN assessors who conduct comprehensive OASIS assessments The designated OASIS Quality Reviewer (a role defined in Section 5 and CL-CA-002) — typically the Director of Nursing or a clinician with advanced OASIS training designated by the D…</x:v>
      </x:c>
      <x:c r="G26" s="90" t="str">
        <x:v>Hold — correction required</x:v>
      </x:c>
      <x:c r="H26" s="90" t="str">
        <x:v>RN, PT, OT, SLP, DON</x:v>
      </x:c>
      <x:c r="I26" s="90" t="str">
        <x:v>RN-04, PT-03, OT-03, SLP-01, DON-03</x:v>
      </x:c>
      <x:c r="J26"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26" s="90" t="str">
        <x:v>Conflict/correction required</x:v>
      </x:c>
      <x:c r="L26" s="90" t="str">
        <x:v>12-allPoliciesContent.generated.ts — CL-OA-002</x:v>
      </x:c>
      <x:c r="M26" s="90" t="str">
        <x:v>https://www.ecfr.gov/current/title-42/part-484/section-484.55</x:v>
      </x:c>
    </x:row>
    <x:row r="27" ht="58" customHeight="1">
      <x:c r="A27" s="90" t="str">
        <x:v>CL-OA-003</x:v>
      </x:c>
      <x:c r="B27" s="90" t="str">
        <x:v>OASIS Clinician Authorization &amp; Competency</x:v>
      </x:c>
      <x:c r="C27" s="90" t="str">
        <x:v>REQUIRED</x:v>
      </x:c>
      <x:c r="D27" s="90" t="str">
        <x:v>ACTIVE</x:v>
      </x:c>
      <x:c r="E27" s="90" t="str">
        <x:v>Director of Nursing</x:v>
      </x:c>
      <x:c r="F27" s="90" t="str">
        <x:v>This policy applies to: All registered nurses who are assigned or wish to be assigned to conduct comprehensive OASIS assessments The Director of Nursing who maintains the Authorized Assessor Roster and the competency validation program HR Director who maintains competency docu…</x:v>
      </x:c>
      <x:c r="G27" s="90" t="str">
        <x:v>Hold — correction required</x:v>
      </x:c>
      <x:c r="H27" s="90" t="str">
        <x:v>RN, PT, OT, SLP, DON</x:v>
      </x:c>
      <x:c r="I27" s="90" t="str">
        <x:v>RN-04, PT-03, OT-03, SLP-01, DON-03</x:v>
      </x:c>
      <x:c r="J27"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27" s="90" t="str">
        <x:v>Conflict/correction required</x:v>
      </x:c>
      <x:c r="L27" s="90" t="str">
        <x:v>12-allPoliciesContent.generated.ts — CL-OA-003</x:v>
      </x:c>
      <x:c r="M27" s="90" t="str">
        <x:v>https://www.ecfr.gov/current/title-42/part-484/section-484.55</x:v>
      </x:c>
    </x:row>
    <x:row r="28" ht="58" customHeight="1">
      <x:c r="A28" s="90" t="str">
        <x:v>CL-OA-004</x:v>
      </x:c>
      <x:c r="B28" s="90" t="str">
        <x:v>OASIS Item-Level Guidance Compliance</x:v>
      </x:c>
      <x:c r="C28" s="90" t="str">
        <x:v>REQUIRED</x:v>
      </x:c>
      <x:c r="D28" s="90" t="str">
        <x:v>ACTIVE</x:v>
      </x:c>
      <x:c r="E28" s="90" t="str">
        <x:v>Director of Nursing</x:v>
      </x:c>
      <x:c r="F28" s="90" t="str">
        <x:v>This policy applies to: All authorized OASIS assessors who make item-level coding decisions The Director of Nursing who oversees coding guidance compliance The OASIS Quality Reviewer who validates item-level coding against the Guidance Manual The Compliance Officer who oversee…</x:v>
      </x:c>
      <x:c r="G28" s="90" t="str">
        <x:v>Hold — correction required</x:v>
      </x:c>
      <x:c r="H28" s="90" t="str">
        <x:v>RN, PT, OT, SLP, DON</x:v>
      </x:c>
      <x:c r="I28" s="90" t="str">
        <x:v>RN-04, PT-03, OT-03, SLP-01, DON-03</x:v>
      </x:c>
      <x:c r="J28"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28" s="90" t="str">
        <x:v>Conflict/correction required</x:v>
      </x:c>
      <x:c r="L28" s="90" t="str">
        <x:v>12-allPoliciesContent.generated.ts — CL-OA-004</x:v>
      </x:c>
      <x:c r="M28" s="90" t="str">
        <x:v>https://www.ecfr.gov/current/title-42/part-484/section-484.55</x:v>
      </x:c>
    </x:row>
    <x:row r="29" ht="58" customHeight="1">
      <x:c r="A29" s="90" t="str">
        <x:v>CL-OA-005</x:v>
      </x:c>
      <x:c r="B29" s="90" t="str">
        <x:v>OASIS Data Integrity &amp; Security</x:v>
      </x:c>
      <x:c r="C29" s="90" t="str">
        <x:v>REQUIRED</x:v>
      </x:c>
      <x:c r="D29" s="90" t="str">
        <x:v>ACTIVE</x:v>
      </x:c>
      <x:c r="E29" s="90" t="str">
        <x:v>Director of Nursing</x:v>
      </x:c>
      <x:c r="F29" s="90" t="str">
        <x:v>This policy applies to: All authorized OASIS assessors who create, access, and authenticate OASIS data The Director of Nursing who oversees OASIS data governance IT Director / CISO who configures and maintains EHR security controls for OASIS data OASIS Transmission Coordinator…</x:v>
      </x:c>
      <x:c r="G29" s="90" t="str">
        <x:v>Hold — correction required</x:v>
      </x:c>
      <x:c r="H29" s="90" t="str">
        <x:v>RN, PT, OT, SLP, DON</x:v>
      </x:c>
      <x:c r="I29" s="90" t="str">
        <x:v>RN-04, PT-03, OT-03, SLP-01, DON-03</x:v>
      </x:c>
      <x:c r="J29"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29" s="90" t="str">
        <x:v>Conflict/correction required</x:v>
      </x:c>
      <x:c r="L29" s="90" t="str">
        <x:v>12-allPoliciesContent.generated.ts — CL-OA-005</x:v>
      </x:c>
      <x:c r="M29" s="90" t="str">
        <x:v>https://www.ecfr.gov/current/title-42/part-484/section-484.55</x:v>
      </x:c>
    </x:row>
    <x:row r="30" ht="58" customHeight="1">
      <x:c r="A30" s="90" t="str">
        <x:v>CL-OA-006</x:v>
      </x:c>
      <x:c r="B30" s="90" t="str">
        <x:v>Documentation Hierarchy and Evidence Source Prioritization</x:v>
      </x:c>
      <x:c r="C30" s="90" t="str">
        <x:v>REQUIRED</x:v>
      </x:c>
      <x:c r="D30" s="90" t="str">
        <x:v>ACTIVE</x:v>
      </x:c>
      <x:c r="E30" s="90" t="str">
        <x:v>Director of Nursing</x:v>
      </x:c>
      <x:c r="F30" s="90" t="str">
        <x:v>This policy applies to: All registered nurses (RNs) authorized to conduct comprehensive OASIS assessments per CL-OA-003 The OASIS Quality Reviewer who validates evidence source use during quality reviews The Director of Nursing / Clinical Manager who oversees assessment accura…</x:v>
      </x:c>
      <x:c r="G30" s="90" t="str">
        <x:v>Hold — correction required</x:v>
      </x:c>
      <x:c r="H30" s="90" t="str">
        <x:v>RN, PT, OT, SLP, DON</x:v>
      </x:c>
      <x:c r="I30" s="90" t="str">
        <x:v>RN-04, PT-03, OT-03, SLP-01, DON-03</x:v>
      </x:c>
      <x:c r="J30"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0" s="90" t="str">
        <x:v>Conflict/correction required</x:v>
      </x:c>
      <x:c r="L30" s="90" t="str">
        <x:v>12-allPoliciesContent.generated.ts — CL-OA-006</x:v>
      </x:c>
      <x:c r="M30" s="90" t="str">
        <x:v>https://www.ecfr.gov/current/title-42/part-484/section-484.55</x:v>
      </x:c>
    </x:row>
    <x:row r="31" ht="58" customHeight="1">
      <x:c r="A31" s="90" t="str">
        <x:v>CL-OA-007</x:v>
      </x:c>
      <x:c r="B31" s="90" t="str">
        <x:v>Evidence-Based OASIS Coding Substantiation</x:v>
      </x:c>
      <x:c r="C31" s="90" t="str">
        <x:v>REQUIRED</x:v>
      </x:c>
      <x:c r="D31" s="90" t="str">
        <x:v>ACTIVE</x:v>
      </x:c>
      <x:c r="E31" s="90" t="str">
        <x:v>Director of Nursing</x:v>
      </x:c>
      <x:c r="F31" s="90" t="str">
        <x:v>This policy applies to: All authorized OASIS assessors who complete and authenticate OASIS assessments The OASIS Quality Reviewer who conducts pre-submission and post-submission accuracy reviews The Director of Nursing / Clinical Manager who oversees assessment documentation q…</x:v>
      </x:c>
      <x:c r="G31" s="90" t="str">
        <x:v>Hold — correction required</x:v>
      </x:c>
      <x:c r="H31" s="90" t="str">
        <x:v>RN, PT, OT, SLP, DON</x:v>
      </x:c>
      <x:c r="I31" s="90" t="str">
        <x:v>RN-04, PT-03, OT-03, SLP-01, DON-03</x:v>
      </x:c>
      <x:c r="J31"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1" s="90" t="str">
        <x:v>Conflict/correction required</x:v>
      </x:c>
      <x:c r="L31" s="90" t="str">
        <x:v>12-allPoliciesContent.generated.ts — CL-OA-007</x:v>
      </x:c>
      <x:c r="M31" s="90" t="str">
        <x:v>https://www.ecfr.gov/current/title-42/part-484/section-484.55</x:v>
      </x:c>
    </x:row>
    <x:row r="32" ht="58" customHeight="1">
      <x:c r="A32" s="90" t="str">
        <x:v>CL-OA-008</x:v>
      </x:c>
      <x:c r="B32" s="90" t="str">
        <x:v>Conflicting Documentation Source Resolution</x:v>
      </x:c>
      <x:c r="C32" s="90" t="str">
        <x:v>REQUIRED</x:v>
      </x:c>
      <x:c r="D32" s="90" t="str">
        <x:v>ACTIVE</x:v>
      </x:c>
      <x:c r="E32" s="90" t="str">
        <x:v>Director of Nursing</x:v>
      </x:c>
      <x:c r="F32" s="90" t="str">
        <x:v>This policy applies to: All authorized OASIS assessors who encounter conflicting documentation sources during comprehensive assessments The OASIS Quality Reviewer who identifies conflicting source issues during quality reviews The Director of Nursing / Clinical Manager who pro…</x:v>
      </x:c>
      <x:c r="G32" s="90" t="str">
        <x:v>Hold — correction required</x:v>
      </x:c>
      <x:c r="H32" s="90" t="str">
        <x:v>RN, PT, OT, SLP, DON</x:v>
      </x:c>
      <x:c r="I32" s="90" t="str">
        <x:v>RN-04, PT-03, OT-03, SLP-01, DON-03</x:v>
      </x:c>
      <x:c r="J32"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2" s="90" t="str">
        <x:v>Conflict/correction required</x:v>
      </x:c>
      <x:c r="L32" s="90" t="str">
        <x:v>12-allPoliciesContent.generated.ts — CL-OA-008</x:v>
      </x:c>
      <x:c r="M32" s="90" t="str">
        <x:v>https://www.ecfr.gov/current/title-42/part-484/section-484.55</x:v>
      </x:c>
    </x:row>
    <x:row r="33" ht="58" customHeight="1">
      <x:c r="A33" s="90" t="str">
        <x:v>CL-OA-009</x:v>
      </x:c>
      <x:c r="B33" s="90" t="str">
        <x:v>Point-in-Time Assessment at Start of Care</x:v>
      </x:c>
      <x:c r="C33" s="90" t="str">
        <x:v>REQUIRED</x:v>
      </x:c>
      <x:c r="D33" s="90" t="str">
        <x:v>ACTIVE</x:v>
      </x:c>
      <x:c r="E33" s="90" t="str">
        <x:v>Director of Nursing</x:v>
      </x:c>
      <x:c r="F33" s="90" t="str">
        <x:v>This policy applies to all authorized OASIS assessors conducting SOC and ROC assessments, the OASIS Quality Reviewer, and the Director of Nursing. The point-in-time principle also applies at all other OASIS time points (RECERT, FU/SCIC, TRN, DC), where it is addressed in the r…</x:v>
      </x:c>
      <x:c r="G33" s="90" t="str">
        <x:v>Hold — correction required</x:v>
      </x:c>
      <x:c r="H33" s="90" t="str">
        <x:v>RN, PT, OT, SLP, DON</x:v>
      </x:c>
      <x:c r="I33" s="90" t="str">
        <x:v>RN-04, PT-03, OT-03, SLP-01, DON-03</x:v>
      </x:c>
      <x:c r="J33"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3" s="90" t="str">
        <x:v>Conflict/correction required</x:v>
      </x:c>
      <x:c r="L33" s="90" t="str">
        <x:v>12-allPoliciesContent.generated.ts — CL-OA-009</x:v>
      </x:c>
      <x:c r="M33" s="90" t="str">
        <x:v>https://www.ecfr.gov/current/title-42/part-484/section-484.55</x:v>
      </x:c>
    </x:row>
    <x:row r="34" ht="58" customHeight="1">
      <x:c r="A34" s="90" t="str">
        <x:v>CL-OA-010</x:v>
      </x:c>
      <x:c r="B34" s="90" t="str">
        <x:v>CMS Look-Back Period Compliance for Assessment Items</x:v>
      </x:c>
      <x:c r="C34" s="90" t="str">
        <x:v>REQUIRED</x:v>
      </x:c>
      <x:c r="D34" s="90" t="str">
        <x:v>ACTIVE</x:v>
      </x:c>
      <x:c r="E34" s="90" t="str">
        <x:v>Director of Nursing</x:v>
      </x:c>
      <x:c r="F34" s="90" t="str">
        <x:v>This policy applies to all authorized OASIS assessors, the OASIS Quality Reviewer, and the Director of Nursing. It governs all OASIS assessment time points where look-back period items are applicable. ---</x:v>
      </x:c>
      <x:c r="G34" s="90" t="str">
        <x:v>Hold — correction required</x:v>
      </x:c>
      <x:c r="H34" s="90" t="str">
        <x:v>RN, PT, OT, SLP, DON</x:v>
      </x:c>
      <x:c r="I34" s="90" t="str">
        <x:v>RN-04, PT-03, OT-03, SLP-01, DON-03</x:v>
      </x:c>
      <x:c r="J34"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4" s="90" t="str">
        <x:v>Conflict/correction required</x:v>
      </x:c>
      <x:c r="L34" s="90" t="str">
        <x:v>12-allPoliciesContent.generated.ts — CL-OA-010</x:v>
      </x:c>
      <x:c r="M34" s="90" t="str">
        <x:v>https://www.ecfr.gov/current/title-42/part-484/section-484.55</x:v>
      </x:c>
    </x:row>
    <x:row r="35" ht="58" customHeight="1">
      <x:c r="A35" s="90" t="str">
        <x:v>CL-OA-011</x:v>
      </x:c>
      <x:c r="B35" s="90" t="str">
        <x:v>Standardized Assessment Tool Administration and Validity</x:v>
      </x:c>
      <x:c r="C35" s="90" t="str">
        <x:v>REQUIRED</x:v>
      </x:c>
      <x:c r="D35" s="90" t="str">
        <x:v>ACTIVE</x:v>
      </x:c>
      <x:c r="E35" s="90" t="str">
        <x:v>Director of Nursing</x:v>
      </x:c>
      <x:c r="F35" s="90" t="str">
        <x:v>This policy applies to all authorized OASIS assessors who administer standardized assessment tools, the OASIS Quality Reviewer who validates tool administration, and the Director of Nursing who oversees tool competency. ---</x:v>
      </x:c>
      <x:c r="G35" s="90" t="str">
        <x:v>Hold — correction required</x:v>
      </x:c>
      <x:c r="H35" s="90" t="str">
        <x:v>RN, PT, OT, SLP, DON</x:v>
      </x:c>
      <x:c r="I35" s="90" t="str">
        <x:v>RN-04, PT-03, OT-03, SLP-01, DON-03</x:v>
      </x:c>
      <x:c r="J35"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5" s="90" t="str">
        <x:v>Conflict/correction required</x:v>
      </x:c>
      <x:c r="L35" s="90" t="str">
        <x:v>12-allPoliciesContent.generated.ts — CL-OA-011</x:v>
      </x:c>
      <x:c r="M35" s="90" t="str">
        <x:v>https://www.ecfr.gov/current/title-42/part-484/section-484.55</x:v>
      </x:c>
    </x:row>
    <x:row r="36" ht="58" customHeight="1">
      <x:c r="A36" s="90" t="str">
        <x:v>CL-OA-012</x:v>
      </x:c>
      <x:c r="B36" s="90" t="str">
        <x:v>Clinical Reasoning Documentation for Coding Decisions</x:v>
      </x:c>
      <x:c r="C36" s="90" t="str">
        <x:v>REQUIRED</x:v>
      </x:c>
      <x:c r="D36" s="90" t="str">
        <x:v>ACTIVE</x:v>
      </x:c>
      <x:c r="E36" s="90" t="str">
        <x:v>Director of Nursing</x:v>
      </x:c>
      <x:c r="F36" s="90" t="str">
        <x:v>This policy applies to all authorized OASIS assessors, the OASIS Quality Reviewer, and the Director of Nursing. ---</x:v>
      </x:c>
      <x:c r="G36" s="90" t="str">
        <x:v>Hold — correction required</x:v>
      </x:c>
      <x:c r="H36" s="90" t="str">
        <x:v>RN, PT, OT, SLP, DON</x:v>
      </x:c>
      <x:c r="I36" s="90" t="str">
        <x:v>RN-04, PT-03, OT-03, SLP-01, DON-03</x:v>
      </x:c>
      <x:c r="J36"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6" s="90" t="str">
        <x:v>Conflict/correction required</x:v>
      </x:c>
      <x:c r="L36" s="90" t="str">
        <x:v>12-allPoliciesContent.generated.ts — CL-OA-012</x:v>
      </x:c>
      <x:c r="M36" s="90" t="str">
        <x:v>https://www.ecfr.gov/current/title-42/part-484/section-484.55</x:v>
      </x:c>
    </x:row>
    <x:row r="37" ht="58" customHeight="1">
      <x:c r="A37" s="90" t="str">
        <x:v>CL-OA-013</x:v>
      </x:c>
      <x:c r="B37" s="90" t="str">
        <x:v>Cross-Document Verification Prior to Assessment Finalization</x:v>
      </x:c>
      <x:c r="C37" s="90" t="str">
        <x:v>REQUIRED</x:v>
      </x:c>
      <x:c r="D37" s="90" t="str">
        <x:v>ACTIVE</x:v>
      </x:c>
      <x:c r="E37" s="90" t="str">
        <x:v>Director of Nursing</x:v>
      </x:c>
      <x:c r="F37" s="90" t="str">
        <x:v>This policy applies to: All registered nurses (RNs) authorized to conduct comprehensive OASIS assessments per CL-OA-003 The OASIS Quality Reviewer who conducts pre-submission and post-submission accuracy reviews The Director of Nursing / Clinical Manager who oversees assessmen…</x:v>
      </x:c>
      <x:c r="G37" s="90" t="str">
        <x:v>Hold — correction required</x:v>
      </x:c>
      <x:c r="H37" s="90" t="str">
        <x:v>RN, PT, OT, SLP, DON</x:v>
      </x:c>
      <x:c r="I37" s="90" t="str">
        <x:v>RN-04, PT-03, OT-03, SLP-01, DON-03</x:v>
      </x:c>
      <x:c r="J37"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7" s="90" t="str">
        <x:v>Conflict/correction required</x:v>
      </x:c>
      <x:c r="L37" s="90" t="str">
        <x:v>12-allPoliciesContent.generated.ts — CL-OA-013</x:v>
      </x:c>
      <x:c r="M37" s="90" t="str">
        <x:v>https://www.ecfr.gov/current/title-42/part-484/section-484.55</x:v>
      </x:c>
    </x:row>
    <x:row r="38" ht="58" customHeight="1">
      <x:c r="A38" s="90" t="str">
        <x:v>CL-OA-014</x:v>
      </x:c>
      <x:c r="B38" s="90" t="str">
        <x:v>Medication Reconciliation — Prescribed Regimen vs. Actual Patient Behavior</x:v>
      </x:c>
      <x:c r="C38" s="90" t="str">
        <x:v>REQUIRED</x:v>
      </x:c>
      <x:c r="D38" s="90" t="str">
        <x:v>ACTIVE</x:v>
      </x:c>
      <x:c r="E38" s="90" t="str">
        <x:v>Director of Nursing</x:v>
      </x:c>
      <x:c r="F38" s="90" t="str">
        <x:v>This policy applies to all authorized OASIS assessors who complete medication management OASIS items, the OASIS Quality Reviewer, and the Director of Nursing. It also applies to all clinical disciplines who perform medication reviews during routine visits and who may identify …</x:v>
      </x:c>
      <x:c r="G38" s="90" t="str">
        <x:v>Hold — correction required</x:v>
      </x:c>
      <x:c r="H38" s="90" t="str">
        <x:v>RN, PT, OT, SLP, DON</x:v>
      </x:c>
      <x:c r="I38" s="90" t="str">
        <x:v>RN-04, PT-03, OT-03, SLP-01, DON-03</x:v>
      </x:c>
      <x:c r="J38"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8" s="90" t="str">
        <x:v>Conflict/correction required</x:v>
      </x:c>
      <x:c r="L38" s="90" t="str">
        <x:v>12-allPoliciesContent.generated.ts — CL-OA-014</x:v>
      </x:c>
      <x:c r="M38" s="90" t="str">
        <x:v>https://www.ecfr.gov/current/title-42/part-484/section-484.55</x:v>
      </x:c>
    </x:row>
    <x:row r="39" ht="58" customHeight="1">
      <x:c r="A39" s="90" t="str">
        <x:v>CL-OA-015</x:v>
      </x:c>
      <x:c r="B39" s="90" t="str">
        <x:v>Assessment Completion Timeframe Compliance</x:v>
      </x:c>
      <x:c r="C39" s="90" t="str">
        <x:v>REQUIRED</x:v>
      </x:c>
      <x:c r="D39" s="90" t="str">
        <x:v>ACTIVE</x:v>
      </x:c>
      <x:c r="E39" s="90" t="str">
        <x:v>Director of Nursing</x:v>
      </x:c>
      <x:c r="F39" s="90" t="str">
        <x:v>This policy applies to all authorized OASIS assessors, the Director of Nursing, the OASIS Transmission Coordinator, Clinical Coordinators, and Revenue Cycle staff. It governs all OASIS time points at all assessment windows. ---</x:v>
      </x:c>
      <x:c r="G39" s="90" t="str">
        <x:v>Hold — correction required</x:v>
      </x:c>
      <x:c r="H39" s="90" t="str">
        <x:v>RN, PT, OT, SLP, DON</x:v>
      </x:c>
      <x:c r="I39" s="90" t="str">
        <x:v>RN-04, PT-03, OT-03, SLP-01, DON-03</x:v>
      </x:c>
      <x:c r="J39"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39" s="90" t="str">
        <x:v>Conflict/correction required</x:v>
      </x:c>
      <x:c r="L39" s="90" t="str">
        <x:v>12-allPoliciesContent.generated.ts — CL-OA-015</x:v>
      </x:c>
      <x:c r="M39" s="90" t="str">
        <x:v>https://www.ecfr.gov/current/title-42/part-484/section-484.55</x:v>
      </x:c>
    </x:row>
    <x:row r="40" ht="58" customHeight="1">
      <x:c r="A40" s="90" t="str">
        <x:v>CL-OA-016</x:v>
      </x:c>
      <x:c r="B40" s="90" t="str">
        <x:v>Scoring Methodology Integrity for Multi-Item Assessments</x:v>
      </x:c>
      <x:c r="C40" s="90" t="str">
        <x:v>ESSENTIAL</x:v>
      </x:c>
      <x:c r="D40" s="90" t="str">
        <x:v>ACTIVE</x:v>
      </x:c>
      <x:c r="E40" s="90" t="str">
        <x:v>Director of Nursing</x:v>
      </x:c>
      <x:c r="F40" s="90" t="str">
        <x:v>This policy applies to all authorized OASIS assessors who administer and score the BIMS, PHQ-2/PHQ-9, and MAHC-10, and to the OASIS Quality Reviewer and Director of Nursing who validate scoring accuracy. ---</x:v>
      </x:c>
      <x:c r="G40" s="90" t="str">
        <x:v>Hold — correction required</x:v>
      </x:c>
      <x:c r="H40" s="90" t="str">
        <x:v>RN, PT, OT, SLP, DON</x:v>
      </x:c>
      <x:c r="I40" s="90" t="str">
        <x:v>RN-04, PT-03, OT-03, SLP-01, DON-03</x:v>
      </x:c>
      <x:c r="J40"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40" s="90" t="str">
        <x:v>Conflict/correction required</x:v>
      </x:c>
      <x:c r="L40" s="90" t="str">
        <x:v>12-allPoliciesContent.generated.ts — CL-OA-016</x:v>
      </x:c>
      <x:c r="M40" s="90" t="str">
        <x:v>https://www.ecfr.gov/current/title-42/part-484/section-484.55</x:v>
      </x:c>
    </x:row>
    <x:row r="41" ht="58" customHeight="1">
      <x:c r="A41" s="90" t="str">
        <x:v>CL-OA-017</x:v>
      </x:c>
      <x:c r="B41" s="90" t="str">
        <x:v>Contemporaneous Documentation Requirement</x:v>
      </x:c>
      <x:c r="C41" s="90" t="str">
        <x:v>REQUIRED</x:v>
      </x:c>
      <x:c r="D41" s="90" t="str">
        <x:v>ACTIVE</x:v>
      </x:c>
      <x:c r="E41" s="90" t="str">
        <x:v>Director of Nursing</x:v>
      </x:c>
      <x:c r="F41" s="90" t="str">
        <x:v>This policy applies to all authorized OASIS assessors, the Director of Nursing, the OASIS Quality Reviewer, and Medical Records staff. It governs the timing and sequence of all clinical documentation created in connection with comprehensive OASIS assessments at all applicable …</x:v>
      </x:c>
      <x:c r="G41" s="90" t="str">
        <x:v>Hold — correction required</x:v>
      </x:c>
      <x:c r="H41" s="90" t="str">
        <x:v>RN, PT, OT, SLP, DON</x:v>
      </x:c>
      <x:c r="I41" s="90" t="str">
        <x:v>RN-04, PT-03, OT-03, SLP-01, DON-03</x:v>
      </x:c>
      <x:c r="J41"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41" s="90" t="str">
        <x:v>Conflict/correction required</x:v>
      </x:c>
      <x:c r="L41" s="90" t="str">
        <x:v>12-allPoliciesContent.generated.ts — CL-OA-017</x:v>
      </x:c>
      <x:c r="M41" s="90" t="str">
        <x:v>https://www.ecfr.gov/current/title-42/part-484/section-484.55</x:v>
      </x:c>
    </x:row>
    <x:row r="42" ht="58" customHeight="1">
      <x:c r="A42" s="90" t="str">
        <x:v>CL-OA-018</x:v>
      </x:c>
      <x:c r="B42" s="90" t="str">
        <x:v>Clinician Competency Validation for OASIS Assessment</x:v>
      </x:c>
      <x:c r="C42" s="90" t="str">
        <x:v>REQUIRED</x:v>
      </x:c>
      <x:c r="D42" s="90" t="str">
        <x:v>ACTIVE</x:v>
      </x:c>
      <x:c r="E42" s="90" t="str">
        <x:v>Director of Nursing</x:v>
      </x:c>
      <x:c r="F42" s="90" t="str">
        <x:v>This policy applies to all registered nurses who are candidates for OASIS assessor authorization, all currently authorized OASIS assessors, the Director of Nursing who serves as the designated Competency Evaluator, and the OASIS Quality Reviewer who has evaluator responsibilit…</x:v>
      </x:c>
      <x:c r="G42" s="90" t="str">
        <x:v>Hold — correction required</x:v>
      </x:c>
      <x:c r="H42" s="90" t="str">
        <x:v>RN, PT, OT, SLP, DON</x:v>
      </x:c>
      <x:c r="I42" s="90" t="str">
        <x:v>RN-04, PT-03, OT-03, SLP-01, DON-03</x:v>
      </x:c>
      <x:c r="J42"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42" s="90" t="str">
        <x:v>Conflict/correction required</x:v>
      </x:c>
      <x:c r="L42" s="90" t="str">
        <x:v>12-allPoliciesContent.generated.ts — CL-OA-018</x:v>
      </x:c>
      <x:c r="M42" s="90" t="str">
        <x:v>https://www.ecfr.gov/current/title-42/part-484/section-484.55</x:v>
      </x:c>
    </x:row>
    <x:row r="43" ht="58" customHeight="1">
      <x:c r="A43" s="90" t="str">
        <x:v>CL-OA-019</x:v>
      </x:c>
      <x:c r="B43" s="90" t="str">
        <x:v>Pre-Submission Quality Review for Comprehensive Assessments</x:v>
      </x:c>
      <x:c r="C43" s="90" t="str">
        <x:v>ESSENTIAL</x:v>
      </x:c>
      <x:c r="D43" s="90" t="str">
        <x:v>ACTIVE</x:v>
      </x:c>
      <x:c r="E43" s="90" t="str">
        <x:v>Director of Nursing</x:v>
      </x:c>
      <x:c r="F43" s="90" t="str">
        <x:v>This policy applies to all authorized OASIS assessors, the OASIS Quality Reviewer, and the Director of Nursing. The Pre-Submission Quality Review Checklist (Appendix A) is the operative document of this policy — no assessment shall be locked without the checklist being complet…</x:v>
      </x:c>
      <x:c r="G43" s="90" t="str">
        <x:v>Hold — correction required</x:v>
      </x:c>
      <x:c r="H43" s="90" t="str">
        <x:v>RN, PT, OT, SLP, DON</x:v>
      </x:c>
      <x:c r="I43" s="90" t="str">
        <x:v>RN-04, PT-03, OT-03, SLP-01, DON-03</x:v>
      </x:c>
      <x:c r="J43"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43" s="90" t="str">
        <x:v>Conflict/correction required</x:v>
      </x:c>
      <x:c r="L43" s="90" t="str">
        <x:v>12-allPoliciesContent.generated.ts — CL-OA-019</x:v>
      </x:c>
      <x:c r="M43" s="90" t="str">
        <x:v>https://www.ecfr.gov/current/title-42/part-484/section-484.55</x:v>
      </x:c>
    </x:row>
    <x:row r="44" ht="58" customHeight="1">
      <x:c r="A44" s="90" t="str">
        <x:v>CL-PR-001</x:v>
      </x:c>
      <x:c r="B44" s="90" t="str">
        <x:v>Patient Rights &amp; Responsibilities</x:v>
      </x:c>
      <x:c r="C44" s="90" t="str">
        <x:v>REQUIRED</x:v>
      </x:c>
      <x:c r="D44" s="90" t="str">
        <x:v>ACTIVE</x:v>
      </x:c>
      <x:c r="E44" s="90" t="str">
        <x:v>Administrator</x:v>
      </x:c>
      <x:c r="F44" s="90" t="str">
        <x:v>This policy applies to all patients and their designated representatives, all clinical and administrative staff, all contracted providers, and anyone acting on behalf of the agency in patient interactions. ---</x:v>
      </x:c>
      <x:c r="G44" s="90" t="str">
        <x:v>Assign — read + bundled quiz</x:v>
      </x:c>
      <x:c r="H44" s="90" t="str">
        <x:v>General</x:v>
      </x:c>
      <x:c r="I44" s="90" t="str">
        <x:v>G-04</x:v>
      </x:c>
      <x:c r="J44" s="90" t="str">
        <x:v>Every employee must protect patient rights and know immediate abuse and grievance reporting duties.</x:v>
      </x:c>
      <x:c r="K44" s="90" t="str">
        <x:v>Internal body reviewed</x:v>
      </x:c>
      <x:c r="L44" s="90" t="str">
        <x:v>12-allPoliciesContent.generated.ts — CL-PR-001</x:v>
      </x:c>
      <x:c r="M44" s="90" t="str">
        <x:v>https://www.ecfr.gov/current/title-42/part-484/section-484.50</x:v>
      </x:c>
    </x:row>
    <x:row r="45" ht="58" customHeight="1">
      <x:c r="A45" s="90" t="str">
        <x:v>CL-PR-002</x:v>
      </x:c>
      <x:c r="B45" s="90" t="str">
        <x:v>Advance Directive Compliance</x:v>
      </x:c>
      <x:c r="C45" s="90" t="str">
        <x:v>REQUIRED</x:v>
      </x:c>
      <x:c r="D45" s="90" t="str">
        <x:v>ACTIVE</x:v>
      </x:c>
      <x:c r="E45" s="90" t="str">
        <x:v>Administrator / Director of Nursing</x:v>
      </x:c>
      <x:c r="F45" s="90" t="str">
        <x:v>All patients admitted to home health services and all clinical and administrative staff involved in patient intake, admission, and ongoing care. ---</x:v>
      </x:c>
      <x:c r="G45" s="90" t="str">
        <x:v>Assign — read + bundled quiz</x:v>
      </x:c>
      <x:c r="H45" s="90" t="str">
        <x:v>LVN, RN, HHA, PT, PTA, OT, COTA, SLP, MSW</x:v>
      </x:c>
      <x:c r="I45" s="90" t="str">
        <x:v>LVN-03, RN-07, HHA-04, PT-02, PTA-02, OT-02, COTA-02, SLP-01, MSW-01</x:v>
      </x:c>
      <x:c r="J45"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45" s="90" t="str">
        <x:v>Internal body reviewed</x:v>
      </x:c>
      <x:c r="L45" s="90" t="str">
        <x:v>12-allPoliciesContent.generated.ts — CL-PR-002</x:v>
      </x:c>
      <x:c r="M45" s="90" t="str">
        <x:v>https://www.ecfr.gov/current/title-42/part-484/section-484.50</x:v>
      </x:c>
    </x:row>
    <x:row r="46" ht="58" customHeight="1">
      <x:c r="A46" s="90" t="str">
        <x:v>CL-PR-003</x:v>
      </x:c>
      <x:c r="B46" s="90" t="str">
        <x:v>Informed Consent</x:v>
      </x:c>
      <x:c r="C46" s="90" t="str">
        <x:v>REQUIRED</x:v>
      </x:c>
      <x:c r="D46" s="90" t="str">
        <x:v>ACTIVE</x:v>
      </x:c>
      <x:c r="E46" s="90" t="str">
        <x:v>Director of Nursing / Administrator</x:v>
      </x:c>
      <x:c r="F46" s="90" t="str">
        <x:v>All patients, their authorized representatives, and all clinical and administrative staff involved in obtaining and documenting consent. ---</x:v>
      </x:c>
      <x:c r="G46" s="90" t="str">
        <x:v>Assign — read + bundled quiz</x:v>
      </x:c>
      <x:c r="H46" s="90" t="str">
        <x:v>LVN, RN, HHA, PT, PTA, OT, COTA, SLP, MSW</x:v>
      </x:c>
      <x:c r="I46" s="90" t="str">
        <x:v>LVN-03, RN-07, HHA-04, PT-02, PTA-02, OT-02, COTA-02, SLP-01, MSW-01</x:v>
      </x:c>
      <x:c r="J46"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46" s="90" t="str">
        <x:v>Internal body reviewed</x:v>
      </x:c>
      <x:c r="L46" s="90" t="str">
        <x:v>12-allPoliciesContent.generated.ts — CL-PR-003</x:v>
      </x:c>
      <x:c r="M46" s="90" t="str">
        <x:v>https://www.ecfr.gov/current/title-42/part-484/section-484.50</x:v>
      </x:c>
    </x:row>
    <x:row r="47" ht="58" customHeight="1">
      <x:c r="A47" s="90" t="str">
        <x:v>CL-PR-004</x:v>
      </x:c>
      <x:c r="B47" s="90" t="str">
        <x:v>Restraint &amp; Seclusion Prohibition</x:v>
      </x:c>
      <x:c r="C47" s="90" t="str">
        <x:v>REQUIRED</x:v>
      </x:c>
      <x:c r="D47" s="90" t="str">
        <x:v>ACTIVE</x:v>
      </x:c>
      <x:c r="E47" s="90" t="str">
        <x:v>Director of Nursing / Administrator</x:v>
      </x:c>
      <x:c r="F47" s="90" t="str">
        <x:v>All agency employees, contractors, volunteers, and any person acting on behalf of Care Indeed Home Health Care, Inc. in any patient care context. ---</x:v>
      </x:c>
      <x:c r="G47" s="90" t="str">
        <x:v>Assign — read + bundled quiz</x:v>
      </x:c>
      <x:c r="H47" s="90" t="str">
        <x:v>LVN, RN, HHA, PT, PTA, OT, COTA, SLP, MSW</x:v>
      </x:c>
      <x:c r="I47" s="90" t="str">
        <x:v>LVN-03, RN-07, HHA-04, PT-02, PTA-02, OT-02, COTA-02, SLP-01, MSW-01</x:v>
      </x:c>
      <x:c r="J47"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47" s="90" t="str">
        <x:v>Internal body reviewed</x:v>
      </x:c>
      <x:c r="L47" s="90" t="str">
        <x:v>12-allPoliciesContent.generated.ts — CL-PR-004</x:v>
      </x:c>
      <x:c r="M47" s="90" t="str">
        <x:v>https://www.ecfr.gov/current/title-42/part-484/section-484.50</x:v>
      </x:c>
    </x:row>
    <x:row r="48" ht="58" customHeight="1">
      <x:c r="A48" s="90" t="str">
        <x:v>CL-PR-005</x:v>
      </x:c>
      <x:c r="B48" s="90" t="str">
        <x:v>Emergency Preparedness — Clinical</x:v>
      </x:c>
      <x:c r="C48" s="90" t="str">
        <x:v>REQUIRED</x:v>
      </x:c>
      <x:c r="D48" s="90" t="str">
        <x:v>ACTIVE</x:v>
      </x:c>
      <x:c r="E48" s="90" t="str">
        <x:v>Director of Nursing</x:v>
      </x:c>
      <x:c r="F48" s="90" t="str">
        <x:v>This policy applies to: All registered nurses and licensed vocational nurses responsible for assigned patient caseloads All clinical disciplines (PT, OT, SLP, MSW, HHA) whose patients may be affected by emergencies The Director of Nursing / Clinical Manager who directs clinica…</x:v>
      </x:c>
      <x:c r="G48" s="90" t="str">
        <x:v>Assign — read + bundled quiz</x:v>
      </x:c>
      <x:c r="H48" s="90" t="str">
        <x:v>LVN, RN, HHA, PT, PTA, OT, COTA, SLP, MSW</x:v>
      </x:c>
      <x:c r="I48" s="90" t="str">
        <x:v>LVN-03, RN-07, HHA-04, PT-02, PTA-02, OT-02, COTA-02, SLP-01, MSW-01</x:v>
      </x:c>
      <x:c r="J48"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48" s="90" t="str">
        <x:v>Internal body reviewed</x:v>
      </x:c>
      <x:c r="L48" s="90" t="str">
        <x:v>12-allPoliciesContent.generated.ts — CL-PR-005</x:v>
      </x:c>
      <x:c r="M48" s="90" t="str">
        <x:v>https://www.ecfr.gov/current/title-42/part-484/section-484.50</x:v>
      </x:c>
    </x:row>
    <x:row r="49" ht="58" customHeight="1">
      <x:c r="A49" s="90" t="str">
        <x:v>CL-PR-006</x:v>
      </x:c>
      <x:c r="B49" s="90" t="str">
        <x:v>Abuse, Neglect &amp; Exploitation Reporting</x:v>
      </x:c>
      <x:c r="C49" s="90" t="str">
        <x:v>REQUIRED</x:v>
      </x:c>
      <x:c r="D49" s="90" t="str">
        <x:v>ACTIVE</x:v>
      </x:c>
      <x:c r="E49" s="90" t="str">
        <x:v>Director of Nursing</x:v>
      </x:c>
      <x:c r="F49" s="90" t="str">
        <x:v>This policy applies to: All agency personnel — every individual employed by or contracted with Care Indeed Home Health Care, Inc. who has any contact with patients or who becomes aware of information suggesting abuse, neglect, or exploitation of a patient. This explicitly incl…</x:v>
      </x:c>
      <x:c r="G49" s="90" t="str">
        <x:v>Assign — read + bundled quiz</x:v>
      </x:c>
      <x:c r="H49" s="90" t="str">
        <x:v>General</x:v>
      </x:c>
      <x:c r="I49" s="90" t="str">
        <x:v>G-04</x:v>
      </x:c>
      <x:c r="J49" s="90" t="str">
        <x:v>Every employee must protect patient rights and know immediate abuse and grievance reporting duties.</x:v>
      </x:c>
      <x:c r="K49" s="90" t="str">
        <x:v>Internal body reviewed</x:v>
      </x:c>
      <x:c r="L49" s="90" t="str">
        <x:v>12-allPoliciesContent.generated.ts — CL-PR-006</x:v>
      </x:c>
      <x:c r="M49" s="90" t="str">
        <x:v>https://www.ecfr.gov/current/title-42/part-484/section-484.50</x:v>
      </x:c>
    </x:row>
    <x:row r="50" ht="58" customHeight="1">
      <x:c r="A50" s="90" t="str">
        <x:v>CL-SD-001</x:v>
      </x:c>
      <x:c r="B50" s="90" t="str">
        <x:v>Skilled Nursing Assessment &amp; Services</x:v>
      </x:c>
      <x:c r="C50" s="90" t="str">
        <x:v>REQUIRED</x:v>
      </x:c>
      <x:c r="D50" s="90" t="str">
        <x:v>ACTIVE</x:v>
      </x:c>
      <x:c r="E50" s="90" t="str">
        <x:v>Director of Nursing</x:v>
      </x:c>
      <x:c r="F50" s="90" t="str">
        <x:v>This policy applies to: All registered nurses (RNs) providing direct patient care All licensed vocational nurses (LVNs) providing skilled nursing services under RN supervision and within their California BPC § 2859 scope The Director of Nursing / Clinical Manager responsible f…</x:v>
      </x:c>
      <x:c r="G50" s="90" t="str">
        <x:v>Assign — read + bundled quiz</x:v>
      </x:c>
      <x:c r="H50" s="90" t="str">
        <x:v>LVN, RN, DON</x:v>
      </x:c>
      <x:c r="I50" s="90" t="str">
        <x:v>LVN-01, RN-01, DON-04</x:v>
      </x:c>
      <x:c r="J50" s="90" t="str">
        <x:v>Defines LVN scope, delegation limits, supervision, and the competency gate. Defines RN accountability, delegation, aide supervision, and competency expectations. DON oversees all clinical disciplines, assistant/aide supervision, and competency evidence.</x:v>
      </x:c>
      <x:c r="K50" s="90" t="str">
        <x:v>Internal body reviewed</x:v>
      </x:c>
      <x:c r="L50" s="90" t="str">
        <x:v>12-allPoliciesContent.generated.ts — CL-SD-001</x:v>
      </x:c>
      <x:c r="M50" s="90" t="str">
        <x:v>https://www.ecfr.gov/current/title-42/part-484/section-484.75</x:v>
      </x:c>
    </x:row>
    <x:row r="51" ht="58" customHeight="1">
      <x:c r="A51" s="90" t="str">
        <x:v>CL-SD-002</x:v>
      </x:c>
      <x:c r="B51" s="90" t="str">
        <x:v>Physical Therapy Services</x:v>
      </x:c>
      <x:c r="C51" s="90" t="str">
        <x:v>REQUIRED</x:v>
      </x:c>
      <x:c r="D51" s="90" t="str">
        <x:v>ACTIVE</x:v>
      </x:c>
      <x:c r="E51" s="90" t="str">
        <x:v>Director of Nursing</x:v>
      </x:c>
      <x:c r="F51" s="90" t="str">
        <x:v>This policy applies to: All physical therapists (PTs) providing direct patient care All physical therapist assistants (PTAs) providing services under PT supervision The Director of Nursing / Clinical Manager responsible for clinical service oversight Clinical Coordinators mana…</x:v>
      </x:c>
      <x:c r="G51" s="90" t="str">
        <x:v>Assign — read + bundled quiz</x:v>
      </x:c>
      <x:c r="H51" s="90" t="str">
        <x:v>PT, PTA, DON</x:v>
      </x:c>
      <x:c r="I51" s="90" t="str">
        <x:v>PT-01, PTA-01, DON-04</x:v>
      </x:c>
      <x:c r="J51" s="90" t="str">
        <x:v>Defines PT evaluation/treatment scope and PTA supervision duties. PTA duties must be anchored to a dedicated job description and PT-supervised scope. DON oversees all clinical disciplines, assistant/aide supervision, and competency evidence.</x:v>
      </x:c>
      <x:c r="K51" s="90" t="str">
        <x:v>Internal body reviewed</x:v>
      </x:c>
      <x:c r="L51" s="90" t="str">
        <x:v>12-allPoliciesContent.generated.ts — CL-SD-002</x:v>
      </x:c>
      <x:c r="M51" s="90" t="str">
        <x:v>https://www.ecfr.gov/current/title-42/part-484/section-484.75</x:v>
      </x:c>
    </x:row>
    <x:row r="52" ht="58" customHeight="1">
      <x:c r="A52" s="90" t="str">
        <x:v>CL-SD-003</x:v>
      </x:c>
      <x:c r="B52" s="90" t="str">
        <x:v>Occupational Therapy Services</x:v>
      </x:c>
      <x:c r="C52" s="90" t="str">
        <x:v>REQUIRED</x:v>
      </x:c>
      <x:c r="D52" s="90" t="str">
        <x:v>ACTIVE</x:v>
      </x:c>
      <x:c r="E52" s="90" t="str">
        <x:v>Director of Nursing</x:v>
      </x:c>
      <x:c r="F52" s="90" t="str">
        <x:v>This policy applies to all occupational therapists (OTs), certified occupational therapy assistants (COTAs), the Director of Nursing / Clinical Manager, Clinical Coordinators, and Revenue Cycle staff verifying OT documentation supports billed claims. ---</x:v>
      </x:c>
      <x:c r="G52" s="90" t="str">
        <x:v>Assign — read + bundled quiz</x:v>
      </x:c>
      <x:c r="H52" s="90" t="str">
        <x:v>OT, COTA, DON</x:v>
      </x:c>
      <x:c r="I52" s="90" t="str">
        <x:v>OT-01, COTA-01, DON-04</x:v>
      </x:c>
      <x:c r="J52" s="90" t="str">
        <x:v>Defines OT evaluation/treatment scope and COTA supervision duties. COTA duties must be anchored to a dedicated job description and OT-supervised scope. DON oversees all clinical disciplines, assistant/aide supervision, and competency evidence.</x:v>
      </x:c>
      <x:c r="K52" s="90" t="str">
        <x:v>Internal body reviewed</x:v>
      </x:c>
      <x:c r="L52" s="90" t="str">
        <x:v>12-allPoliciesContent.generated.ts — CL-SD-003</x:v>
      </x:c>
      <x:c r="M52" s="90" t="str">
        <x:v>https://www.ecfr.gov/current/title-42/part-484/section-484.75</x:v>
      </x:c>
    </x:row>
    <x:row r="53" ht="58" customHeight="1">
      <x:c r="A53" s="90" t="str">
        <x:v>CL-SD-004</x:v>
      </x:c>
      <x:c r="B53" s="90" t="str">
        <x:v>Speech-Language Pathology Services</x:v>
      </x:c>
      <x:c r="C53" s="90" t="str">
        <x:v>REQUIRED</x:v>
      </x:c>
      <x:c r="D53" s="90" t="str">
        <x:v>ACTIVE</x:v>
      </x:c>
      <x:c r="E53" s="90" t="str">
        <x:v>Director of Nursing</x:v>
      </x:c>
      <x:c r="F53" s="90" t="str">
        <x:v>This policy applies to all speech-language pathologists providing direct patient care, the Director of Nursing / Clinical Manager, Clinical Coordinators, and Revenue Cycle staff verifying SLP documentation. Note: Speech-language pathology assistants (SLPAs) are not independent…</x:v>
      </x:c>
      <x:c r="G53" s="90" t="str">
        <x:v>Assign — read + bundled quiz</x:v>
      </x:c>
      <x:c r="H53" s="90" t="str">
        <x:v>SLP, DON</x:v>
      </x:c>
      <x:c r="I53" s="90" t="str">
        <x:v>SLP-01, DON-04</x:v>
      </x:c>
      <x:c r="J53" s="90" t="str">
        <x:v>One integrated SLP course covers the smaller pathway while gating OASIS and specialty content by assignment. DON oversees all clinical disciplines, assistant/aide supervision, and competency evidence.</x:v>
      </x:c>
      <x:c r="K53" s="90" t="str">
        <x:v>Internal body reviewed</x:v>
      </x:c>
      <x:c r="L53" s="90" t="str">
        <x:v>12-allPoliciesContent.generated.ts — CL-SD-004</x:v>
      </x:c>
      <x:c r="M53" s="90" t="str">
        <x:v>https://www.ecfr.gov/current/title-42/part-484/section-484.75</x:v>
      </x:c>
    </x:row>
    <x:row r="54" ht="58" customHeight="1">
      <x:c r="A54" s="90" t="str">
        <x:v>CL-SD-005</x:v>
      </x:c>
      <x:c r="B54" s="90" t="str">
        <x:v>Medical Social Work Services</x:v>
      </x:c>
      <x:c r="C54" s="90" t="str">
        <x:v>REQUIRED</x:v>
      </x:c>
      <x:c r="D54" s="90" t="str">
        <x:v>ACTIVE</x:v>
      </x:c>
      <x:c r="E54" s="90" t="str">
        <x:v>Director of Nursing</x:v>
      </x:c>
      <x:c r="F54" s="90" t="str">
        <x:v>This policy applies to all medical social workers (MSWs) providing direct patient services, the Director of Nursing / Clinical Manager, assigned RNs making MSW referrals, and Revenue Cycle staff verifying MSW documentation. ---</x:v>
      </x:c>
      <x:c r="G54" s="90" t="str">
        <x:v>Assign — read + bundled quiz</x:v>
      </x:c>
      <x:c r="H54" s="90" t="str">
        <x:v>MSW, DON</x:v>
      </x:c>
      <x:c r="I54" s="90" t="str">
        <x:v>MSW-01, DON-04</x:v>
      </x:c>
      <x:c r="J54" s="90" t="str">
        <x:v>MSW duties center on psychosocial assessment, SDOH coordination, documentation, transitions, safety, and reporting. DON oversees all clinical disciplines, assistant/aide supervision, and competency evidence.</x:v>
      </x:c>
      <x:c r="K54" s="90" t="str">
        <x:v>Internal body reviewed</x:v>
      </x:c>
      <x:c r="L54" s="90" t="str">
        <x:v>12-allPoliciesContent.generated.ts — CL-SD-005</x:v>
      </x:c>
      <x:c r="M54" s="90" t="str">
        <x:v>https://www.ecfr.gov/current/title-42/part-484/section-484.75</x:v>
      </x:c>
    </x:row>
    <x:row r="55" ht="58" customHeight="1">
      <x:c r="A55" s="90" t="str">
        <x:v>CL-SD-006</x:v>
      </x:c>
      <x:c r="B55" s="90" t="str">
        <x:v>Home Health Aide Services &amp; Supervision</x:v>
      </x:c>
      <x:c r="C55" s="90" t="str">
        <x:v>REQUIRED</x:v>
      </x:c>
      <x:c r="D55" s="90" t="str">
        <x:v>ACTIVE</x:v>
      </x:c>
      <x:c r="E55" s="90" t="str">
        <x:v>Director of Nursing</x:v>
      </x:c>
      <x:c r="F55" s="90" t="str">
        <x:v>This policy applies to all home health aides providing direct patient care, all RNs providing HHA supervision, the Director of Nursing / Clinical Manager, Clinical Coordinators managing HHA scheduling, and Operations staff coordinating HHA assignments. ---</x:v>
      </x:c>
      <x:c r="G55" s="90" t="str">
        <x:v>Assign — read + bundled quiz</x:v>
      </x:c>
      <x:c r="H55" s="90" t="str">
        <x:v>RN, HHA, DON</x:v>
      </x:c>
      <x:c r="I55" s="90" t="str">
        <x:v>RN-01, HHA-01, DON-04</x:v>
      </x:c>
      <x:c r="J55" s="90" t="str">
        <x:v>Defines RN accountability, delegation, aide supervision, and competency expectations. Defines permitted tasks, prohibited independent decisions, and the duty to follow the aide care plan. DON oversees all clinical disciplines, assistant/aide supervision, and competency evidence.</x:v>
      </x:c>
      <x:c r="K55" s="90" t="str">
        <x:v>Internal body reviewed</x:v>
      </x:c>
      <x:c r="L55" s="90" t="str">
        <x:v>12-allPoliciesContent.generated.ts — CL-SD-006</x:v>
      </x:c>
      <x:c r="M55" s="90" t="str">
        <x:v>https://www.ecfr.gov/current/title-42/part-484/section-484.80</x:v>
      </x:c>
    </x:row>
    <x:row r="56" ht="58" customHeight="1">
      <x:c r="A56" s="90" t="str">
        <x:v>CL-SD-007</x:v>
      </x:c>
      <x:c r="B56" s="90" t="str">
        <x:v>Home Health Aide Competency Evaluation</x:v>
      </x:c>
      <x:c r="C56" s="90" t="str">
        <x:v>REQUIRED</x:v>
      </x:c>
      <x:c r="D56" s="90" t="str">
        <x:v>ACTIVE</x:v>
      </x:c>
      <x:c r="E56" s="90" t="str">
        <x:v>Director of Nursing</x:v>
      </x:c>
      <x:c r="F56" s="90" t="str">
        <x:v>This policy applies to all home health aides (employees and contracted staff), the Director of Nursing / Clinical Manager, all RNs conducting HHA competency evaluations, and HR staff managing competency records in personnel files per HR-WM-007. ---</x:v>
      </x:c>
      <x:c r="G56" s="90" t="str">
        <x:v>Assign — read + bundled quiz</x:v>
      </x:c>
      <x:c r="H56" s="90" t="str">
        <x:v>RN, HHA, DON</x:v>
      </x:c>
      <x:c r="I56" s="90" t="str">
        <x:v>RN-01, HHA-02, DON-04</x:v>
      </x:c>
      <x:c r="J56" s="90" t="str">
        <x:v>Defines RN accountability, delegation, aide supervision, and competency expectations. Federal competency elements require observation for specified aide tasks and RN-supervised remediation. DON oversees all clinical disciplines, assistant/aide supervision, and competency evidence.</x:v>
      </x:c>
      <x:c r="K56" s="90" t="str">
        <x:v>Internal body reviewed</x:v>
      </x:c>
      <x:c r="L56" s="90" t="str">
        <x:v>12-allPoliciesContent.generated.ts — CL-SD-007</x:v>
      </x:c>
      <x:c r="M56" s="90" t="str">
        <x:v>https://www.ecfr.gov/current/title-42/part-484/section-484.80</x:v>
      </x:c>
    </x:row>
    <x:row r="57" ht="58" customHeight="1">
      <x:c r="A57" s="90" t="str">
        <x:v>CL-SD-008</x:v>
      </x:c>
      <x:c r="B57" s="90" t="str">
        <x:v>Clinical Supervision &amp; Oversight</x:v>
      </x:c>
      <x:c r="C57" s="90" t="str">
        <x:v>REQUIRED</x:v>
      </x:c>
      <x:c r="D57" s="90" t="str">
        <x:v>ACTIVE</x:v>
      </x:c>
      <x:c r="E57" s="90" t="str">
        <x:v>Director of Nursing</x:v>
      </x:c>
      <x:c r="F57" s="90" t="str">
        <x:v>This policy applies to the Director of Nursing / Clinical Manager, all clinical supervisors (RNs, PTs, OTs), all supervised staff (LVNs, PTAs, COTAs, HHAs), and all professional staff (RNs, PTs, OTs, SLPs, MSWs) subject to administrative and clinical oversight. ---</x:v>
      </x:c>
      <x:c r="G57" s="90" t="str">
        <x:v>Assign — read + bundled quiz</x:v>
      </x:c>
      <x:c r="H57" s="90" t="str">
        <x:v>LVN, RN, HHA, PT, PTA, OT, COTA, DON</x:v>
      </x:c>
      <x:c r="I57" s="90" t="str">
        <x:v>LVN-01, RN-01, HHA-02, PT-01, PTA-01, OT-01, COTA-01, DON-04</x:v>
      </x:c>
      <x:c r="J57" s="90" t="str">
        <x:v>Defines LVN scope, delegation limits, supervision, and the competency gate. Defines RN accountability, delegation, aide supervision, and competency expectations. Federal competency elements require observation for specified aide tasks and RN-supervised remediation. Defines PT evaluation/treatment scope and PTA supervision duties. PTA duties must be anchored to a dedicated job description and PT-supervised scope. D…</x:v>
      </x:c>
      <x:c r="K57" s="90" t="str">
        <x:v>Internal body reviewed</x:v>
      </x:c>
      <x:c r="L57" s="90" t="str">
        <x:v>12-allPoliciesContent.generated.ts — CL-SD-008</x:v>
      </x:c>
      <x:c r="M57" s="90" t="str">
        <x:v>https://www.ecfr.gov/current/title-42/part-484/section-484.75</x:v>
      </x:c>
    </x:row>
    <x:row r="58" ht="58" customHeight="1">
      <x:c r="A58" s="90" t="str">
        <x:v>CL-SD-009</x:v>
      </x:c>
      <x:c r="B58" s="90" t="str">
        <x:v>Telehealth &amp; Remote Monitoring Services</x:v>
      </x:c>
      <x:c r="C58" s="90" t="str">
        <x:v>RECOMMENDED</x:v>
      </x:c>
      <x:c r="D58" s="90" t="str">
        <x:v>ACTIVE</x:v>
      </x:c>
      <x:c r="E58" s="90" t="str">
        <x:v>Director of Nursing</x:v>
      </x:c>
      <x:c r="F58" s="90" t="str">
        <x:v>This policy applies to all clinical staff using telehealth or RPM technology with patients, the Director of Nursing / Clinical Manager, IT staff supporting telehealth platforms, and Operations staff managing telehealth scheduling. ---</x:v>
      </x:c>
      <x:c r="G58" s="90" t="str">
        <x:v>Assign conditionally — read + bundled quiz</x:v>
      </x:c>
      <x:c r="H58" s="90" t="str">
        <x:v>LVN, RN, PT, PTA, OT, COTA, SLP, DON</x:v>
      </x:c>
      <x:c r="I58" s="90" t="str">
        <x:v>LVN-05, RN-06, PT-03, PTA-03, OT-03, COTA-03, SLP-01, DON-05</x:v>
      </x:c>
      <x:c r="J58" s="90" t="str">
        <x:v>Combines universal transition duties with task-, population-, and field-triggered procedures. Assign only when the RN will perform or oversee the specialty service. Federal rules permit PT assessment in therapy-only cases, but the supplied RN-only policy text must be corrected before this module is released. Assign only for services within PTA scope and the supervising PT plan; no independent OASIS assignment. Fed…</x:v>
      </x:c>
      <x:c r="K58" s="90" t="str">
        <x:v>Internal body reviewed</x:v>
      </x:c>
      <x:c r="L58" s="90" t="str">
        <x:v>12-allPoliciesContent.generated.ts — CL-SD-009</x:v>
      </x:c>
      <x:c r="M58" s="90" t="str">
        <x:v>https://www.ecfr.gov/current/title-42/part-484/section-484.75</x:v>
      </x:c>
    </x:row>
    <x:row r="59" ht="58" customHeight="1">
      <x:c r="A59" s="90" t="str">
        <x:v>CL-SD-010</x:v>
      </x:c>
      <x:c r="B59" s="90" t="str">
        <x:v>IV Therapy &amp; Infusion Services</x:v>
      </x:c>
      <x:c r="C59" s="90" t="str">
        <x:v>ESSENTIAL</x:v>
      </x:c>
      <x:c r="D59" s="90" t="str">
        <x:v>ACTIVE</x:v>
      </x:c>
      <x:c r="E59" s="90" t="str">
        <x:v>Director of Nursing</x:v>
      </x:c>
      <x:c r="F59" s="90" t="str">
        <x:v>This policy applies to all RNs providing IV therapy and infusion services, the Director of Nursing / Clinical Manager, Clinical Coordinators scheduling IV visits, pharmacy partners providing IV medications and supplies, and Revenue Cycle staff verifying IV service documentatio…</x:v>
      </x:c>
      <x:c r="G59" s="90" t="str">
        <x:v>Assign conditionally — read + bundled quiz</x:v>
      </x:c>
      <x:c r="H59" s="90" t="str">
        <x:v>LVN, RN, DON</x:v>
      </x:c>
      <x:c r="I59" s="90" t="str">
        <x:v>LVN-05, RN-06, DON-05</x:v>
      </x:c>
      <x:c r="J59" s="90" t="str">
        <x:v>Combines universal transition duties with task-, population-, and field-triggered procedures. Assign only when the RN will perform or oversee the specialty service. DON governs high-risk care and activates specialty modules only when the agency provides the service.</x:v>
      </x:c>
      <x:c r="K59" s="90" t="str">
        <x:v>Internal body reviewed</x:v>
      </x:c>
      <x:c r="L59" s="90" t="str">
        <x:v>12-allPoliciesContent.generated.ts — CL-SD-010</x:v>
      </x:c>
      <x:c r="M59" s="90" t="str">
        <x:v>https://www.ecfr.gov/current/title-42/part-484/section-484.75</x:v>
      </x:c>
    </x:row>
    <x:row r="60" ht="58" customHeight="1">
      <x:c r="A60" s="90" t="str">
        <x:v>CL-SD-011</x:v>
      </x:c>
      <x:c r="B60" s="90" t="str">
        <x:v>Wound Care Assessment &amp; Management</x:v>
      </x:c>
      <x:c r="C60" s="90" t="str">
        <x:v>ESSENTIAL</x:v>
      </x:c>
      <x:c r="D60" s="90" t="str">
        <x:v>ACTIVE</x:v>
      </x:c>
      <x:c r="E60" s="90" t="str">
        <x:v>Director of Nursing</x:v>
      </x:c>
      <x:c r="F60" s="90" t="str">
        <x:v>This policy applies to all RNs and LVNs providing wound care services, the Director of Nursing / Clinical Manager, all clinicians completing OASIS wound items, and Revenue Cycle staff relying on wound documentation for coding and billing. ---</x:v>
      </x:c>
      <x:c r="G60" s="90" t="str">
        <x:v>Assign conditionally — read + bundled quiz</x:v>
      </x:c>
      <x:c r="H60" s="90" t="str">
        <x:v>LVN, RN, PT, PTA, OT, COTA, SLP, DON</x:v>
      </x:c>
      <x:c r="I60" s="90" t="str">
        <x:v>LVN-05, RN-06, PT-03, PTA-03, OT-03, COTA-03, SLP-01, DON-05</x:v>
      </x:c>
      <x:c r="J60" s="90" t="str">
        <x:v>Combines universal transition duties with task-, population-, and field-triggered procedures. Assign only when the RN will perform or oversee the specialty service. Federal rules permit PT assessment in therapy-only cases, but the supplied RN-only policy text must be corrected before this module is released. Assign only for services within PTA scope and the supervising PT plan; no independent OASIS assignment. Fed…</x:v>
      </x:c>
      <x:c r="K60" s="90" t="str">
        <x:v>Internal body reviewed</x:v>
      </x:c>
      <x:c r="L60" s="90" t="str">
        <x:v>12-allPoliciesContent.generated.ts — CL-SD-011</x:v>
      </x:c>
      <x:c r="M60" s="90" t="str">
        <x:v>https://www.ecfr.gov/current/title-42/part-484/section-484.75</x:v>
      </x:c>
    </x:row>
    <x:row r="61" ht="58" customHeight="1">
      <x:c r="A61" s="90" t="str">
        <x:v>CL-SD-012</x:v>
      </x:c>
      <x:c r="B61" s="90" t="str">
        <x:v>Medication Management &amp; Administration</x:v>
      </x:c>
      <x:c r="C61" s="90" t="str">
        <x:v>REQUIRED</x:v>
      </x:c>
      <x:c r="D61" s="90" t="str">
        <x:v>ACTIVE</x:v>
      </x:c>
      <x:c r="E61" s="90" t="str">
        <x:v>Director of Nursing</x:v>
      </x:c>
      <x:c r="F61" s="90" t="str">
        <x:v>This policy applies to: All registered nurses (RNs) providing medication administration and management services All licensed vocational nurses (LVNs) administering medications within their California BPC § 2859 scope Home health aides — to the extent of their observation and r…</x:v>
      </x:c>
      <x:c r="G61" s="90" t="str">
        <x:v>Assign — read + bundled quiz</x:v>
      </x:c>
      <x:c r="H61" s="90" t="str">
        <x:v>LVN, RN, HHA, DON</x:v>
      </x:c>
      <x:c r="I61" s="90" t="str">
        <x:v>LVN-04, RN-05, HHA-04, DON-05</x:v>
      </x:c>
      <x:c r="J61" s="90" t="str">
        <x:v>Covers common nursing safety risks and condition-specific competencies within the LVN assignment. Addresses recurring nursing risks and condition-specific competency triggers. Aides observe and report medication, pain, fall, and infection concerns while reinforcing—not independently changing—the plan. DON governs high-risk care and activates specialty modules only when the agency provides the service.</x:v>
      </x:c>
      <x:c r="K61" s="90" t="str">
        <x:v>Internal body reviewed</x:v>
      </x:c>
      <x:c r="L61" s="90" t="str">
        <x:v>12-allPoliciesContent.generated.ts — CL-SD-012</x:v>
      </x:c>
      <x:c r="M61" s="90" t="str">
        <x:v>https://www.ecfr.gov/current/title-42/part-484/section-484.75</x:v>
      </x:c>
    </x:row>
    <x:row r="62" ht="58" customHeight="1">
      <x:c r="A62" s="90" t="str">
        <x:v>CL-SD-013</x:v>
      </x:c>
      <x:c r="B62" s="90" t="str">
        <x:v>Medication Reconciliation at Transitions</x:v>
      </x:c>
      <x:c r="C62" s="90" t="str">
        <x:v>REQUIRED</x:v>
      </x:c>
      <x:c r="D62" s="90" t="str">
        <x:v>ACTIVE</x:v>
      </x:c>
      <x:c r="E62" s="90" t="str">
        <x:v>Director of Nursing</x:v>
      </x:c>
      <x:c r="F62" s="90" t="str">
        <x:v>This policy applies to: All registered nurses conducting SOC, ROC, transfer, and discharge assessments All clinicians who identify medication changes during an episode The Director of Nursing / Clinical Manager Physicians and allowed practitioners whose orders are the subject …</x:v>
      </x:c>
      <x:c r="G62" s="90" t="str">
        <x:v>Assign — read + bundled quiz</x:v>
      </x:c>
      <x:c r="H62" s="90" t="str">
        <x:v>RN, DON</x:v>
      </x:c>
      <x:c r="I62" s="90" t="str">
        <x:v>RN-05, DON-05</x:v>
      </x:c>
      <x:c r="J62" s="90" t="str">
        <x:v>Addresses recurring nursing risks and condition-specific competency triggers. DON governs high-risk care and activates specialty modules only when the agency provides the service.</x:v>
      </x:c>
      <x:c r="K62" s="90" t="str">
        <x:v>Internal body reviewed</x:v>
      </x:c>
      <x:c r="L62" s="90" t="str">
        <x:v>12-allPoliciesContent.generated.ts — CL-SD-013</x:v>
      </x:c>
      <x:c r="M62" s="90" t="str">
        <x:v>https://www.ecfr.gov/current/title-42/part-484/section-484.75</x:v>
      </x:c>
    </x:row>
    <x:row r="63" ht="58" customHeight="1">
      <x:c r="A63" s="90" t="str">
        <x:v>CL-SD-014</x:v>
      </x:c>
      <x:c r="B63" s="90" t="str">
        <x:v>Pain Assessment &amp; Management</x:v>
      </x:c>
      <x:c r="C63" s="90" t="str">
        <x:v>REQUIRED</x:v>
      </x:c>
      <x:c r="D63" s="90" t="str">
        <x:v>ACTIVE</x:v>
      </x:c>
      <x:c r="E63" s="90" t="str">
        <x:v>Director of Nursing</x:v>
      </x:c>
      <x:c r="F63" s="90" t="str">
        <x:v>This policy applies to all clinical disciplines (RN, LVN, PT, OT, SLP, MSW, HHA) — as each discipline has a role in pain identification, assessment, and/or management within their scope. Specifically: RNs conduct comprehensive pain assessments and manage pharmacologic and non-…</x:v>
      </x:c>
      <x:c r="G63" s="90" t="str">
        <x:v>Assign — read + bundled quiz</x:v>
      </x:c>
      <x:c r="H63" s="90" t="str">
        <x:v>LVN, RN, HHA, PT, PTA, OT, COTA, SLP, MSW, DON</x:v>
      </x:c>
      <x:c r="I63" s="90" t="str">
        <x:v>LVN-04, RN-05, HHA-04, PT-03, PTA-03, OT-03, COTA-03, SLP-01, MSW-01, DON-05</x:v>
      </x:c>
      <x:c r="J63" s="90" t="str">
        <x:v>Covers common nursing safety risks and condition-specific competencies within the LVN assignment. Addresses recurring nursing risks and condition-specific competency triggers. Aides observe and report medication, pain, fall, and infection concerns while reinforcing—not independently changing—the plan. Federal rules permit PT assessment in therapy-only cases, but the supplied RN-only policy text must be corrected b…</x:v>
      </x:c>
      <x:c r="K63" s="90" t="str">
        <x:v>Internal body reviewed</x:v>
      </x:c>
      <x:c r="L63" s="90" t="str">
        <x:v>12-allPoliciesContent.generated.ts — CL-SD-014</x:v>
      </x:c>
      <x:c r="M63" s="90" t="str">
        <x:v>https://www.ecfr.gov/current/title-42/part-484/section-484.75</x:v>
      </x:c>
    </x:row>
    <x:row r="64" ht="58" customHeight="1">
      <x:c r="A64" s="90" t="str">
        <x:v>CL-SD-015</x:v>
      </x:c>
      <x:c r="B64" s="90" t="str">
        <x:v>Fall Risk Assessment &amp; Prevention</x:v>
      </x:c>
      <x:c r="C64" s="90" t="str">
        <x:v>REQUIRED</x:v>
      </x:c>
      <x:c r="D64" s="90" t="str">
        <x:v>ACTIVE</x:v>
      </x:c>
      <x:c r="E64" s="90" t="str">
        <x:v>Director of Nursing</x:v>
      </x:c>
      <x:c r="F64" s="90" t="str">
        <x:v>This policy applies to all clinical disciplines (RN, LVN, PT, OT, SLP, MSW, HHA), as every clinician has a role in fall risk identification and prevention. PTs and OTs have primary responsibility for functional mobility and balance assessment; RNs have primary responsibility f…</x:v>
      </x:c>
      <x:c r="G64" s="90" t="str">
        <x:v>Assign — read + bundled quiz</x:v>
      </x:c>
      <x:c r="H64" s="90" t="str">
        <x:v>LVN, RN, HHA, PT, PTA, OT, COTA, SLP, MSW, DON</x:v>
      </x:c>
      <x:c r="I64" s="90" t="str">
        <x:v>LVN-04, RN-05, HHA-04, PT-03, PTA-03, OT-03, COTA-03, SLP-01, MSW-01, DON-05</x:v>
      </x:c>
      <x:c r="J64" s="90" t="str">
        <x:v>Covers common nursing safety risks and condition-specific competencies within the LVN assignment. Addresses recurring nursing risks and condition-specific competency triggers. Aides observe and report medication, pain, fall, and infection concerns while reinforcing—not independently changing—the plan. Federal rules permit PT assessment in therapy-only cases, but the supplied RN-only policy text must be corrected b…</x:v>
      </x:c>
      <x:c r="K64" s="90" t="str">
        <x:v>Internal body reviewed</x:v>
      </x:c>
      <x:c r="L64" s="90" t="str">
        <x:v>12-allPoliciesContent.generated.ts — CL-SD-015</x:v>
      </x:c>
      <x:c r="M64" s="90" t="str">
        <x:v>https://www.ecfr.gov/current/title-42/part-484/section-484.75</x:v>
      </x:c>
    </x:row>
    <x:row r="65" ht="58" customHeight="1">
      <x:c r="A65" s="90" t="str">
        <x:v>CL-SD-016</x:v>
      </x:c>
      <x:c r="B65" s="90" t="str">
        <x:v>Infection Prevention &amp; Control</x:v>
      </x:c>
      <x:c r="C65" s="90" t="str">
        <x:v>REQUIRED</x:v>
      </x:c>
      <x:c r="D65" s="90" t="str">
        <x:v>ACTIVE</x:v>
      </x:c>
      <x:c r="E65" s="90" t="str">
        <x:v>Director of Nursing</x:v>
      </x:c>
      <x:c r="F65" s="90" t="str">
        <x:v>This policy applies to all personnel who have direct or indirect contact with patients or patient care materials — including all clinical disciplines (RN, LVN, PT, OT, SLP, MSW, HHA), administrative staff who enter patient homes, and contracted clinical staff. ---</x:v>
      </x:c>
      <x:c r="G65" s="90" t="str">
        <x:v>Assign — read + bundled quiz</x:v>
      </x:c>
      <x:c r="H65" s="90" t="str">
        <x:v>LVN, RN, HHA, PT, PTA, OT, COTA, SLP, MSW, DON</x:v>
      </x:c>
      <x:c r="I65" s="90" t="str">
        <x:v>LVN-04, RN-05, HHA-04, PT-03, PTA-03, OT-03, COTA-03, SLP-01, MSW-01, DON-05</x:v>
      </x:c>
      <x:c r="J65" s="90" t="str">
        <x:v>Covers common nursing safety risks and condition-specific competencies within the LVN assignment. Addresses recurring nursing risks and condition-specific competency triggers. Aides observe and report medication, pain, fall, and infection concerns while reinforcing—not independently changing—the plan. Federal rules permit PT assessment in therapy-only cases, but the supplied RN-only policy text must be corrected b…</x:v>
      </x:c>
      <x:c r="K65" s="90" t="str">
        <x:v>Internal body reviewed</x:v>
      </x:c>
      <x:c r="L65" s="90" t="str">
        <x:v>12-allPoliciesContent.generated.ts — CL-SD-016</x:v>
      </x:c>
      <x:c r="M65" s="90" t="str">
        <x:v>https://www.ecfr.gov/current/title-42/part-484/section-484.75</x:v>
      </x:c>
    </x:row>
    <x:row r="66" ht="58" customHeight="1">
      <x:c r="A66" s="90" t="str">
        <x:v>CL-SD-017</x:v>
      </x:c>
      <x:c r="B66" s="90" t="str">
        <x:v>Patient Education &amp; Self-Management</x:v>
      </x:c>
      <x:c r="C66" s="90" t="str">
        <x:v>ESSENTIAL</x:v>
      </x:c>
      <x:c r="D66" s="90" t="str">
        <x:v>ACTIVE</x:v>
      </x:c>
      <x:c r="E66" s="90" t="str">
        <x:v>Director of Nursing</x:v>
      </x:c>
      <x:c r="F66" s="90" t="str">
        <x:v>This policy applies to all clinical disciplines — each discipline is responsible for education within their scope: RNs for disease management, medication, safety; PTs for mobility and exercise programs; OTs for ADL techniques and adaptive equipment; SLPs for communication stra…</x:v>
      </x:c>
      <x:c r="G66" s="90" t="str">
        <x:v>Assign — read + bundled quiz</x:v>
      </x:c>
      <x:c r="H66" s="90" t="str">
        <x:v>LVN, RN, HHA, PT, PTA, OT, COTA, SLP, MSW, DON</x:v>
      </x:c>
      <x:c r="I66" s="90" t="str">
        <x:v>LVN-04, RN-05, HHA-04, PT-03, PTA-03, OT-03, COTA-03, SLP-01, MSW-01, DON-05</x:v>
      </x:c>
      <x:c r="J66" s="90" t="str">
        <x:v>Covers common nursing safety risks and condition-specific competencies within the LVN assignment. Addresses recurring nursing risks and condition-specific competency triggers. Aides observe and report medication, pain, fall, and infection concerns while reinforcing—not independently changing—the plan. Federal rules permit PT assessment in therapy-only cases, but the supplied RN-only policy text must be corrected b…</x:v>
      </x:c>
      <x:c r="K66" s="90" t="str">
        <x:v>Internal body reviewed</x:v>
      </x:c>
      <x:c r="L66" s="90" t="str">
        <x:v>12-allPoliciesContent.generated.ts — CL-SD-017</x:v>
      </x:c>
      <x:c r="M66" s="90" t="str">
        <x:v>https://www.ecfr.gov/current/title-42/part-484/section-484.75</x:v>
      </x:c>
    </x:row>
    <x:row r="67" ht="58" customHeight="1">
      <x:c r="A67" s="90" t="str">
        <x:v>CL-SD-018</x:v>
      </x:c>
      <x:c r="B67" s="90" t="str">
        <x:v>Diabetic Management &amp; Monitoring</x:v>
      </x:c>
      <x:c r="C67" s="90" t="str">
        <x:v>ESSENTIAL</x:v>
      </x:c>
      <x:c r="D67" s="90" t="str">
        <x:v>ACTIVE</x:v>
      </x:c>
      <x:c r="E67" s="90" t="str">
        <x:v>Director of Nursing</x:v>
      </x:c>
      <x:c r="F67" s="90" t="str">
        <x:v>This policy applies to all RNs and LVNs providing skilled nursing services to diabetic patients, PTs and OTs whose interventions may affect glycemic control (exercise programs), the Director of Nursing, and Revenue Cycle staff relying on diabetic documentation for coding and b…</x:v>
      </x:c>
      <x:c r="G67" s="90" t="str">
        <x:v>Assign conditionally — read + bundled quiz</x:v>
      </x:c>
      <x:c r="H67" s="90" t="str">
        <x:v>LVN, RN, PT, PTA, OT, COTA, SLP, DON</x:v>
      </x:c>
      <x:c r="I67" s="90" t="str">
        <x:v>LVN-04, RN-05, PT-03, PTA-03, OT-03, COTA-03, SLP-01, DON-05</x:v>
      </x:c>
      <x:c r="J67" s="90" t="str">
        <x:v>Covers common nursing safety risks and condition-specific competencies within the LVN assignment. Addresses recurring nursing risks and condition-specific competency triggers. Federal rules permit PT assessment in therapy-only cases, but the supplied RN-only policy text must be corrected before this module is released. Assign only for services within PTA scope and the supervising PT plan; no independent OASIS assi…</x:v>
      </x:c>
      <x:c r="K67" s="90" t="str">
        <x:v>Internal body reviewed</x:v>
      </x:c>
      <x:c r="L67" s="90" t="str">
        <x:v>12-allPoliciesContent.generated.ts — CL-SD-018</x:v>
      </x:c>
      <x:c r="M67" s="90" t="str">
        <x:v>https://www.ecfr.gov/current/title-42/part-484/section-484.75</x:v>
      </x:c>
    </x:row>
    <x:row r="68" ht="58" customHeight="1">
      <x:c r="A68" s="90" t="str">
        <x:v>CL-SD-019</x:v>
      </x:c>
      <x:c r="B68" s="90" t="str">
        <x:v>Cardiac Care &amp; Monitoring</x:v>
      </x:c>
      <x:c r="C68" s="90" t="str">
        <x:v>ESSENTIAL</x:v>
      </x:c>
      <x:c r="D68" s="90" t="str">
        <x:v>ACTIVE</x:v>
      </x:c>
      <x:c r="E68" s="90" t="str">
        <x:v>Director of Nursing</x:v>
      </x:c>
      <x:c r="F68" s="90" t="str">
        <x:v>This policy applies to all RNs and LVNs providing skilled nursing to cardiac patients, PTs providing cardiac rehabilitation and activity progression, OTs addressing cardiac-related ADL limitations and energy conservation, the Director of Nursing / Clinical Manager, and Revenue…</x:v>
      </x:c>
      <x:c r="G68" s="90" t="str">
        <x:v>Assign conditionally — read + bundled quiz</x:v>
      </x:c>
      <x:c r="H68" s="90" t="str">
        <x:v>LVN, RN, PT, PTA, OT, COTA, SLP, DON</x:v>
      </x:c>
      <x:c r="I68" s="90" t="str">
        <x:v>LVN-04, RN-05, PT-03, PTA-03, OT-03, COTA-03, SLP-01, DON-05</x:v>
      </x:c>
      <x:c r="J68" s="90" t="str">
        <x:v>Covers common nursing safety risks and condition-specific competencies within the LVN assignment. Addresses recurring nursing risks and condition-specific competency triggers. Federal rules permit PT assessment in therapy-only cases, but the supplied RN-only policy text must be corrected before this module is released. Assign only for services within PTA scope and the supervising PT plan; no independent OASIS assi…</x:v>
      </x:c>
      <x:c r="K68" s="90" t="str">
        <x:v>Internal body reviewed</x:v>
      </x:c>
      <x:c r="L68" s="90" t="str">
        <x:v>12-allPoliciesContent.generated.ts — CL-SD-019</x:v>
      </x:c>
      <x:c r="M68" s="90" t="str">
        <x:v>https://www.ecfr.gov/current/title-42/part-484/section-484.75</x:v>
      </x:c>
    </x:row>
    <x:row r="69" ht="58" customHeight="1">
      <x:c r="A69" s="90" t="str">
        <x:v>CL-SD-020</x:v>
      </x:c>
      <x:c r="B69" s="90" t="str">
        <x:v>Respiratory Care &amp; Management</x:v>
      </x:c>
      <x:c r="C69" s="90" t="str">
        <x:v>ESSENTIAL</x:v>
      </x:c>
      <x:c r="D69" s="90" t="str">
        <x:v>ACTIVE</x:v>
      </x:c>
      <x:c r="E69" s="90" t="str">
        <x:v>Director of Nursing</x:v>
      </x:c>
      <x:c r="F69" s="90" t="str">
        <x:v>This policy applies to: All registered nurses (RNs) providing skilled nursing to patients with respiratory diagnoses All licensed vocational nurses (LVNs) providing respiratory monitoring within their California BPC § 2859 scope under RN supervision All physical therapists (PT…</x:v>
      </x:c>
      <x:c r="G69" s="90" t="str">
        <x:v>Assign conditionally — read + bundled quiz</x:v>
      </x:c>
      <x:c r="H69" s="90" t="str">
        <x:v>LVN, RN, PT, PTA, OT, COTA, SLP, DON</x:v>
      </x:c>
      <x:c r="I69" s="90" t="str">
        <x:v>LVN-04, RN-05, PT-03, PTA-03, OT-03, COTA-03, SLP-01, DON-05</x:v>
      </x:c>
      <x:c r="J69" s="90" t="str">
        <x:v>Covers common nursing safety risks and condition-specific competencies within the LVN assignment. Addresses recurring nursing risks and condition-specific competency triggers. Federal rules permit PT assessment in therapy-only cases, but the supplied RN-only policy text must be corrected before this module is released. Assign only for services within PTA scope and the supervising PT plan; no independent OASIS assi…</x:v>
      </x:c>
      <x:c r="K69" s="90" t="str">
        <x:v>Internal body reviewed</x:v>
      </x:c>
      <x:c r="L69" s="90" t="str">
        <x:v>12-allPoliciesContent.generated.ts — CL-SD-020</x:v>
      </x:c>
      <x:c r="M69" s="90" t="str">
        <x:v>https://www.ecfr.gov/current/title-42/part-484/section-484.75</x:v>
      </x:c>
    </x:row>
    <x:row r="70" ht="58" customHeight="1">
      <x:c r="A70" s="90" t="str">
        <x:v>CL-SD-021</x:v>
      </x:c>
      <x:c r="B70" s="90" t="str">
        <x:v>Pediatric Home Health Services</x:v>
      </x:c>
      <x:c r="C70" s="90" t="str">
        <x:v>RECOMMENDED</x:v>
      </x:c>
      <x:c r="D70" s="90" t="str">
        <x:v>ACTIVE</x:v>
      </x:c>
      <x:c r="E70" s="90" t="str">
        <x:v>Director of Nursing</x:v>
      </x:c>
      <x:c r="F70" s="90" t="str">
        <x:v>This policy applies to: All registered nurses (RNs) and licensed vocational nurses (LVNs) providing skilled nursing to pediatric patients All physical therapists (PTs) and physical therapist assistants (PTAs) providing pediatric therapy All occupational therapists (OTs) and ce…</x:v>
      </x:c>
      <x:c r="G70" s="90" t="str">
        <x:v>Assign conditionally — read + bundled quiz</x:v>
      </x:c>
      <x:c r="H70" s="90" t="str">
        <x:v>LVN, RN, HHA, PT, PTA, OT, COTA, SLP, MSW, DON</x:v>
      </x:c>
      <x:c r="I70" s="90" t="str">
        <x:v>LVN-05, RN-07, HHA-05, PT-03, PTA-03, OT-03, COTA-03, SLP-01, MSW-01, DON-05</x:v>
      </x:c>
      <x:c r="J70" s="90" t="str">
        <x:v>Combines universal transition duties with task-, population-, and field-triggered procedures. Covers missed visits, ordered frequency, advance directives, consent, emergencies, and population-specific escalation. Federal HHA in-service hours must be documented; specialty, exposure, equipment, driving, and weather modules are assigned by work performed. Federal rules permit PT assessment in therapy-only cases, but …</x:v>
      </x:c>
      <x:c r="K70" s="90" t="str">
        <x:v>Internal body reviewed</x:v>
      </x:c>
      <x:c r="L70" s="90" t="str">
        <x:v>12-allPoliciesContent.generated.ts — CL-SD-021</x:v>
      </x:c>
      <x:c r="M70" s="90" t="str">
        <x:v>https://www.ecfr.gov/current/title-42/part-484/section-484.75</x:v>
      </x:c>
    </x:row>
    <x:row r="71" ht="58" customHeight="1">
      <x:c r="A71" s="90" t="str">
        <x:v>CL-SD-022</x:v>
      </x:c>
      <x:c r="B71" s="90" t="str">
        <x:v>Behavioral Health Screening &amp; Referral</x:v>
      </x:c>
      <x:c r="C71" s="90" t="str">
        <x:v>ESSENTIAL</x:v>
      </x:c>
      <x:c r="D71" s="90" t="str">
        <x:v>ACTIVE</x:v>
      </x:c>
      <x:c r="E71" s="90" t="str">
        <x:v>Director of Nursing</x:v>
      </x:c>
      <x:c r="F71" s="90" t="str">
        <x:v>This policy applies to: All registered nurses (RNs) responsible for conducting OASIS assessments and behavioral health screening at SOC and applicable time points All licensed vocational nurses (LVNs) who observe and report behavioral health indicators between RN assessment vi…</x:v>
      </x:c>
      <x:c r="G71" s="90" t="str">
        <x:v>Assign conditionally — read + bundled quiz</x:v>
      </x:c>
      <x:c r="H71" s="90" t="str">
        <x:v>LVN, RN, HHA, PT, PTA, OT, COTA, SLP, MSW, DON</x:v>
      </x:c>
      <x:c r="I71" s="90" t="str">
        <x:v>LVN-05, RN-07, HHA-05, PT-03, PTA-03, OT-03, COTA-03, SLP-01, MSW-01, DON-05</x:v>
      </x:c>
      <x:c r="J71" s="90" t="str">
        <x:v>Combines universal transition duties with task-, population-, and field-triggered procedures. Covers missed visits, ordered frequency, advance directives, consent, emergencies, and population-specific escalation. Federal HHA in-service hours must be documented; specialty, exposure, equipment, driving, and weather modules are assigned by work performed. Federal rules permit PT assessment in therapy-only cases, but …</x:v>
      </x:c>
      <x:c r="K71" s="90" t="str">
        <x:v>Internal body reviewed</x:v>
      </x:c>
      <x:c r="L71" s="90" t="str">
        <x:v>12-allPoliciesContent.generated.ts — CL-SD-022</x:v>
      </x:c>
      <x:c r="M71" s="90" t="str">
        <x:v>https://www.ecfr.gov/current/title-42/part-484/section-484.75</x:v>
      </x:c>
    </x:row>
    <x:row r="72" ht="58" customHeight="1">
      <x:c r="A72" s="90" t="str">
        <x:v>CL-SD-023</x:v>
      </x:c>
      <x:c r="B72" s="90" t="str">
        <x:v>Palliative &amp; End-of-Life Care</x:v>
      </x:c>
      <x:c r="C72" s="90" t="str">
        <x:v>ESSENTIAL</x:v>
      </x:c>
      <x:c r="D72" s="90" t="str">
        <x:v>ACTIVE</x:v>
      </x:c>
      <x:c r="E72" s="90" t="str">
        <x:v>Director of Nursing</x:v>
      </x:c>
      <x:c r="F72" s="90" t="str">
        <x:v>This policy applies to: All registered nurses (RNs) providing skilled nursing to patients with serious, advanced, or life-limiting illness All licensed vocational nurses (LVNs) who may encounter patients with palliative care needs All clinical disciplines (PT, OT, SLP, MSW) wh…</x:v>
      </x:c>
      <x:c r="G72" s="90" t="str">
        <x:v>Assign conditionally — read + bundled quiz</x:v>
      </x:c>
      <x:c r="H72" s="90" t="str">
        <x:v>LVN, RN, HHA, PT, PTA, OT, COTA, SLP, MSW, DON</x:v>
      </x:c>
      <x:c r="I72" s="90" t="str">
        <x:v>LVN-05, RN-07, HHA-05, PT-03, PTA-03, OT-03, COTA-03, SLP-01, MSW-01, DON-05</x:v>
      </x:c>
      <x:c r="J72" s="90" t="str">
        <x:v>Combines universal transition duties with task-, population-, and field-triggered procedures. Covers missed visits, ordered frequency, advance directives, consent, emergencies, and population-specific escalation. Federal HHA in-service hours must be documented; specialty, exposure, equipment, driving, and weather modules are assigned by work performed. Federal rules permit PT assessment in therapy-only cases, but …</x:v>
      </x:c>
      <x:c r="K72" s="90" t="str">
        <x:v>Internal body reviewed</x:v>
      </x:c>
      <x:c r="L72" s="90" t="str">
        <x:v>12-allPoliciesContent.generated.ts — CL-SD-023</x:v>
      </x:c>
      <x:c r="M72" s="90" t="str">
        <x:v>https://www.ecfr.gov/current/title-42/part-484/section-484.75</x:v>
      </x:c>
    </x:row>
    <x:row r="73" ht="58" customHeight="1">
      <x:c r="A73" s="90" t="str">
        <x:v>CL-SD-024</x:v>
      </x:c>
      <x:c r="B73" s="90" t="str">
        <x:v>Missed Visit &amp; Rescheduling</x:v>
      </x:c>
      <x:c r="C73" s="90" t="str">
        <x:v>ESSENTIAL</x:v>
      </x:c>
      <x:c r="D73" s="90" t="str">
        <x:v>ACTIVE</x:v>
      </x:c>
      <x:c r="E73" s="90" t="str">
        <x:v>Director of Nursing</x:v>
      </x:c>
      <x:c r="F73" s="90" t="str">
        <x:v>This policy applies to: All clinical disciplines (RN, LVN, PT, OT, SLP, MSW, HHA) who experience or identify missed patient visits Clinical Coordinators responsible for managing visit scheduling and rescheduling The Director of Nursing / Clinical Manager responsible for clinic…</x:v>
      </x:c>
      <x:c r="G73" s="90" t="str">
        <x:v>Assign — read + bundled quiz</x:v>
      </x:c>
      <x:c r="H73" s="90" t="str">
        <x:v>LVN, RN, HHA, PT, PTA, OT, COTA, SLP, MSW, DON</x:v>
      </x:c>
      <x:c r="I73" s="90" t="str">
        <x:v>LVN-05, RN-07, HHA-03, PT-03, PTA-03, OT-03, COTA-03, SLP-01, MSW-01, DON-05</x:v>
      </x:c>
      <x:c r="J73" s="90" t="str">
        <x:v>Combines universal transition duties with task-, population-, and field-triggered procedures. Covers missed visits, ordered frequency, advance directives, consent, emergencies, and population-specific escalation. Aides must document tasks, report changes, coordinate with the supervisor, and follow visit scheduling/frequency rules. Federal rules permit PT assessment in therapy-only cases, but the supplied RN-only p…</x:v>
      </x:c>
      <x:c r="K73" s="90" t="str">
        <x:v>Internal body reviewed</x:v>
      </x:c>
      <x:c r="L73" s="90" t="str">
        <x:v>12-allPoliciesContent.generated.ts — CL-SD-024</x:v>
      </x:c>
      <x:c r="M73" s="90" t="str">
        <x:v>https://www.ecfr.gov/current/title-42/part-484/section-484.75</x:v>
      </x:c>
    </x:row>
    <x:row r="74" ht="58" customHeight="1">
      <x:c r="A74" s="90" t="str">
        <x:v>CL-SD-025</x:v>
      </x:c>
      <x:c r="B74" s="90" t="str">
        <x:v>Ordered Visit Frequency Compliance &amp; Monitoring</x:v>
      </x:c>
      <x:c r="C74" s="90" t="str">
        <x:v>REQUIRED</x:v>
      </x:c>
      <x:c r="D74" s="90" t="str">
        <x:v>ACTIVE</x:v>
      </x:c>
      <x:c r="E74" s="90" t="str">
        <x:v>Director of Nursing</x:v>
      </x:c>
      <x:c r="F74" s="90" t="str">
        <x:v>This policy applies to: All registered nurses (RNs) managing active patient caseloads All clinical disciplines (PT, OT, SLP, MSW, HHA) delivering patient visits Clinical Coordinators managing visit scheduling and monitoring The Director of Nursing / Clinical Manager responsibl…</x:v>
      </x:c>
      <x:c r="G74" s="90" t="str">
        <x:v>Assign — read + bundled quiz</x:v>
      </x:c>
      <x:c r="H74" s="90" t="str">
        <x:v>LVN, RN, HHA, PT, PTA, OT, COTA, SLP, MSW, DON</x:v>
      </x:c>
      <x:c r="I74" s="90" t="str">
        <x:v>LVN-05, RN-07, HHA-03, PT-03, PTA-03, OT-03, COTA-03, SLP-01, MSW-01, DON-05</x:v>
      </x:c>
      <x:c r="J74" s="90" t="str">
        <x:v>Combines universal transition duties with task-, population-, and field-triggered procedures. Covers missed visits, ordered frequency, advance directives, consent, emergencies, and population-specific escalation. Aides must document tasks, report changes, coordinate with the supervisor, and follow visit scheduling/frequency rules. Federal rules permit PT assessment in therapy-only cases, but the supplied RN-only p…</x:v>
      </x:c>
      <x:c r="K74" s="90" t="str">
        <x:v>Internal body reviewed</x:v>
      </x:c>
      <x:c r="L74" s="90" t="str">
        <x:v>12-allPoliciesContent.generated.ts — CL-SD-025</x:v>
      </x:c>
      <x:c r="M74" s="90" t="str">
        <x:v>https://www.ecfr.gov/current/title-42/part-484/section-484.75</x:v>
      </x:c>
    </x:row>
    <x:row r="75" ht="58" customHeight="1">
      <x:c r="A75" s="90" t="str">
        <x:v>CO-AI-101</x:v>
      </x:c>
      <x:c r="B75" s="90" t="str">
        <x:v>AI &amp; Automated Systems Governance</x:v>
      </x:c>
      <x:c r="C75" s="90" t="str">
        <x:v>REQUIRED</x:v>
      </x:c>
      <x:c r="D75" s="90" t="str">
        <x:v>ACTIVE</x:v>
      </x:c>
      <x:c r="E75" s="90" t="str">
        <x:v>Compliance Officer</x:v>
      </x:c>
      <x:c r="F75" s="90" t="str">
        <x:v>This policy applies to all AI, ML, LLM, robotic process automation (RPA), and other automated systems used by the agency for any purpose including but not limited to: clinical decision support, documentation assistance, coding/billing support, scheduling optimization, quality …</x:v>
      </x:c>
      <x:c r="G75" s="90" t="str">
        <x:v>Assign conditionally — read + bundled quiz</x:v>
      </x:c>
      <x:c r="H75" s="90" t="str">
        <x:v>General</x:v>
      </x:c>
      <x:c r="I75" s="90" t="str">
        <x:v>G-03</x:v>
      </x:c>
      <x:c r="J75" s="90" t="str">
        <x:v>Workforce-wide privacy and cyber hygiene, with tool-specific policies assigned before use.</x:v>
      </x:c>
      <x:c r="K75" s="90" t="str">
        <x:v>Internal body reviewed</x:v>
      </x:c>
      <x:c r="L75" s="90" t="str">
        <x:v>12-allPoliciesContent.generated.ts — CO-AI-101</x:v>
      </x:c>
      <x:c r="M75" s="90" t="str"/>
    </x:row>
    <x:row r="76" ht="58" customHeight="1">
      <x:c r="A76" s="90" t="str">
        <x:v>CO-BA-101</x:v>
      </x:c>
      <x:c r="B76" s="90" t="str">
        <x:v>Business Associate &amp; Vendor PHI Management</x:v>
      </x:c>
      <x:c r="C76" s="90" t="str">
        <x:v>REQUIRED</x:v>
      </x:c>
      <x:c r="D76" s="90" t="str">
        <x:v>ACTIVE</x:v>
      </x:c>
      <x:c r="E76" s="90" t="str">
        <x:v>Compliance Officer</x:v>
      </x:c>
      <x:c r="F76" s="90" t="str">
        <x:v>This policy applies to: All third-party entities that access, create, receive, maintain, or transmit PHI on behalf of the agency, including but not limited to: electronic health record (EHR) vendors, billing/coding services, cloud storage providers, IT service providers, shred…</x:v>
      </x:c>
      <x:c r="G76" s="90" t="str">
        <x:v>Not a separate scored LMS assignment</x:v>
      </x:c>
      <x:c r="H76" s="90" t="str"/>
      <x:c r="I76" s="90" t="str"/>
      <x:c r="J76" s="90" t="str">
        <x:v>Reviewed — owner investigation/audit/admin procedure; workforce-facing compliance rules are assigned in G-02/G-03 or leadership bundles.</x:v>
      </x:c>
      <x:c r="K76" s="90" t="str">
        <x:v>Internal body reviewed</x:v>
      </x:c>
      <x:c r="L76" s="90" t="str">
        <x:v>12-allPoliciesContent.generated.ts — CO-BA-101</x:v>
      </x:c>
      <x:c r="M76" s="90" t="str"/>
    </x:row>
    <x:row r="77" ht="58" customHeight="1">
      <x:c r="A77" s="90" t="str">
        <x:v>CO-CA-001</x:v>
      </x:c>
      <x:c r="B77" s="90" t="str">
        <x:v>California Confidentiality of Medical Information Act (CMIA) Compliance</x:v>
      </x:c>
      <x:c r="C77" s="90" t="str">
        <x:v>REQUIRED</x:v>
      </x:c>
      <x:c r="D77" s="90" t="str">
        <x:v>ACTIVE</x:v>
      </x:c>
      <x:c r="E77" s="90" t="str">
        <x:v>Compliance Officer</x:v>
      </x:c>
      <x:c r="F77" s="90" t="str">
        <x:v>This policy applies to: * All employees, contractors, volunteers, and students of Care Indeed Home Health Care, Inc. * All Protected Health Information (PHI) as defined by HIPAA, interpreted through the additional lens of CMIA's definition of "medical information" (Civil Code …</x:v>
      </x:c>
      <x:c r="G77" s="90" t="str">
        <x:v>Not a separate scored LMS assignment</x:v>
      </x:c>
      <x:c r="H77" s="90" t="str"/>
      <x:c r="I77" s="90" t="str"/>
      <x:c r="J77" s="90" t="str">
        <x:v>Reviewed — owner investigation/audit/admin procedure; workforce-facing compliance rules are assigned in G-02/G-03 or leadership bundles.</x:v>
      </x:c>
      <x:c r="K77" s="90" t="str">
        <x:v>Internal body reviewed</x:v>
      </x:c>
      <x:c r="L77" s="90" t="str">
        <x:v>12-allPoliciesContent.generated.ts — CO-CA-001</x:v>
      </x:c>
      <x:c r="M77" s="90" t="str"/>
    </x:row>
    <x:row r="78" ht="58" customHeight="1">
      <x:c r="A78" s="90" t="str">
        <x:v>CO-CP-001</x:v>
      </x:c>
      <x:c r="B78" s="90" t="str">
        <x:v>Corporate Compliance Program</x:v>
      </x:c>
      <x:c r="C78" s="90" t="str">
        <x:v>REQUIRED</x:v>
      </x:c>
      <x:c r="D78" s="90" t="str">
        <x:v>ACTIVE</x:v>
      </x:c>
      <x:c r="E78" s="90" t="str">
        <x:v>Compliance Officer</x:v>
      </x:c>
      <x:c r="F78" s="90" t="str">
        <x:v>This policy applies to: All Governing Body members of Care Indeed Home Health Care, Inc. The Agency Administrator The Director of Nursing / Clinical Manager The Compliance Officer and Compliance Committee members All full-time, part-time, per diem, and contracted employees All…</x:v>
      </x:c>
      <x:c r="G78" s="90" t="str">
        <x:v>Assign — read + bundled quiz</x:v>
      </x:c>
      <x:c r="H78" s="90" t="str">
        <x:v>General, GB</x:v>
      </x:c>
      <x:c r="I78" s="90" t="str">
        <x:v>G-02, GB-09</x:v>
      </x:c>
      <x:c r="J78" s="90" t="str">
        <x:v>All employees need to recognize prohibited conduct, fraud risk, referral conflicts, and protected reporting routes. The board receives compliance reports and must understand reporting, non-retaliation, FWA, privacy, and security oversight.</x:v>
      </x:c>
      <x:c r="K78" s="90" t="str">
        <x:v>Internal body reviewed</x:v>
      </x:c>
      <x:c r="L78" s="90" t="str">
        <x:v>12-allPoliciesContent.generated.ts — CO-CP-001</x:v>
      </x:c>
      <x:c r="M78" s="90" t="str"/>
    </x:row>
    <x:row r="79" ht="58" customHeight="1">
      <x:c r="A79" s="90" t="str">
        <x:v>CO-CP-002</x:v>
      </x:c>
      <x:c r="B79" s="90" t="str">
        <x:v>Compliance Officer Designation &amp; Authority</x:v>
      </x:c>
      <x:c r="C79" s="90" t="str">
        <x:v>REQUIRED</x:v>
      </x:c>
      <x:c r="D79" s="90" t="str">
        <x:v>ACTIVE</x:v>
      </x:c>
      <x:c r="E79" s="90" t="str">
        <x:v>Compliance Officer</x:v>
      </x:c>
      <x:c r="F79" s="90" t="str">
        <x:v>This policy applies to: The Governing Body (as the designating authority) The individual designated as Compliance Officer The Administrator Any individual serving in an interim Compliance Officer capacity The Compliance Committee ---</x:v>
      </x:c>
      <x:c r="G79" s="90" t="str">
        <x:v>Assign — read + bundled quiz</x:v>
      </x:c>
      <x:c r="H79" s="90" t="str">
        <x:v>ADM, GB</x:v>
      </x:c>
      <x:c r="I79" s="90" t="str">
        <x:v>ADM-03, GB-09</x:v>
      </x:c>
      <x:c r="J79" s="90" t="str">
        <x:v>Administrator needs decision-level knowledge of compliance governance, audits, regulatory change, survey response, and sanctions. The board receives compliance reports and must understand reporting, non-retaliation, FWA, privacy, and security oversight.</x:v>
      </x:c>
      <x:c r="K79" s="90" t="str">
        <x:v>Internal body reviewed</x:v>
      </x:c>
      <x:c r="L79" s="90" t="str">
        <x:v>12-allPoliciesContent.generated.ts — CO-CP-002</x:v>
      </x:c>
      <x:c r="M79" s="90" t="str"/>
    </x:row>
    <x:row r="80" ht="58" customHeight="1">
      <x:c r="A80" s="90" t="str">
        <x:v>CO-CP-003</x:v>
      </x:c>
      <x:c r="B80" s="90" t="str">
        <x:v>Compliance Committee Structure &amp; Function</x:v>
      </x:c>
      <x:c r="C80" s="90" t="str">
        <x:v>REQUIRED</x:v>
      </x:c>
      <x:c r="D80" s="90" t="str">
        <x:v>ACTIVE</x:v>
      </x:c>
      <x:c r="E80" s="90" t="str">
        <x:v>Compliance Officer</x:v>
      </x:c>
      <x:c r="F80" s="90" t="str">
        <x:v>This policy applies to all Compliance Committee members, all departments represented on the Committee, and all senior leadership personnel whose operational decisions affect the agency's compliance posture. ---</x:v>
      </x:c>
      <x:c r="G80" s="90" t="str">
        <x:v>Assign — read + bundled quiz</x:v>
      </x:c>
      <x:c r="H80" s="90" t="str">
        <x:v>ADM, GB</x:v>
      </x:c>
      <x:c r="I80" s="90" t="str">
        <x:v>ADM-03, GB-09</x:v>
      </x:c>
      <x:c r="J80" s="90" t="str">
        <x:v>Administrator needs decision-level knowledge of compliance governance, audits, regulatory change, survey response, and sanctions. The board receives compliance reports and must understand reporting, non-retaliation, FWA, privacy, and security oversight.</x:v>
      </x:c>
      <x:c r="K80" s="90" t="str">
        <x:v>Internal body reviewed</x:v>
      </x:c>
      <x:c r="L80" s="90" t="str">
        <x:v>12-allPoliciesContent.generated.ts — CO-CP-003</x:v>
      </x:c>
      <x:c r="M80" s="90" t="str"/>
    </x:row>
    <x:row r="81" ht="58" customHeight="1">
      <x:c r="A81" s="90" t="str">
        <x:v>CO-CP-004</x:v>
      </x:c>
      <x:c r="B81" s="90" t="str">
        <x:v>Code of Conduct &amp; Ethics</x:v>
      </x:c>
      <x:c r="C81" s="90" t="str">
        <x:v>REQUIRED</x:v>
      </x:c>
      <x:c r="D81" s="90" t="str">
        <x:v>ACTIVE</x:v>
      </x:c>
      <x:c r="E81" s="90" t="str">
        <x:v>Compliance Officer</x:v>
      </x:c>
      <x:c r="F81" s="90" t="str">
        <x:v>This Code applies without exception to: All Governing Body members The Administrator and all senior leadership All full-time, part-time, per diem, and contracted employees All volunteers All vendors, business associates, and contractors acting on behalf of the agency ---</x:v>
      </x:c>
      <x:c r="G81" s="90" t="str">
        <x:v>Assign — read + bundled quiz</x:v>
      </x:c>
      <x:c r="H81" s="90" t="str">
        <x:v>General, GB</x:v>
      </x:c>
      <x:c r="I81" s="90" t="str">
        <x:v>G-02, GB-03</x:v>
      </x:c>
      <x:c r="J81" s="90" t="str">
        <x:v>All employees need to recognize prohibited conduct, fraud risk, referral conflicts, and protected reporting routes. Board decisions require disclosure, recusal, ethics, and referral-law awareness.</x:v>
      </x:c>
      <x:c r="K81" s="90" t="str">
        <x:v>Internal body reviewed</x:v>
      </x:c>
      <x:c r="L81" s="90" t="str">
        <x:v>12-allPoliciesContent.generated.ts — CO-CP-004</x:v>
      </x:c>
      <x:c r="M81" s="90" t="str"/>
    </x:row>
    <x:row r="82" ht="58" customHeight="1">
      <x:c r="A82" s="90" t="str">
        <x:v>CO-CP-005</x:v>
      </x:c>
      <x:c r="B82" s="90" t="str">
        <x:v>Whistleblower Protection &amp; Non-Retaliation</x:v>
      </x:c>
      <x:c r="C82" s="90" t="str">
        <x:v>REQUIRED</x:v>
      </x:c>
      <x:c r="D82" s="90" t="str">
        <x:v>ACTIVE</x:v>
      </x:c>
      <x:c r="E82" s="90" t="str">
        <x:v>Compliance Officer</x:v>
      </x:c>
      <x:c r="F82" s="90" t="str">
        <x:v>This policy applies to all workforce members of Care Indeed Home Health Care, Inc., including Governing Body members, the Administrator, all employees, contractors, volunteers, and business associates. It applies to all reports of suspected violations, regardless of whether th…</x:v>
      </x:c>
      <x:c r="G82" s="90" t="str">
        <x:v>Assign — read + bundled quiz</x:v>
      </x:c>
      <x:c r="H82" s="90" t="str">
        <x:v>General, GB</x:v>
      </x:c>
      <x:c r="I82" s="90" t="str">
        <x:v>G-02, GB-09</x:v>
      </x:c>
      <x:c r="J82" s="90" t="str">
        <x:v>All employees need to recognize prohibited conduct, fraud risk, referral conflicts, and protected reporting routes. The board receives compliance reports and must understand reporting, non-retaliation, FWA, privacy, and security oversight.</x:v>
      </x:c>
      <x:c r="K82" s="90" t="str">
        <x:v>Internal body reviewed</x:v>
      </x:c>
      <x:c r="L82" s="90" t="str">
        <x:v>12-allPoliciesContent.generated.ts — CO-CP-005</x:v>
      </x:c>
      <x:c r="M82" s="90" t="str"/>
    </x:row>
    <x:row r="83" ht="58" customHeight="1">
      <x:c r="A83" s="90" t="str">
        <x:v>CO-CP-006</x:v>
      </x:c>
      <x:c r="B83" s="90" t="str">
        <x:v>Compliance Hotline &amp; Reporting Mechanisms</x:v>
      </x:c>
      <x:c r="C83" s="90" t="str">
        <x:v>REQUIRED</x:v>
      </x:c>
      <x:c r="D83" s="90" t="str">
        <x:v>ACTIVE</x:v>
      </x:c>
      <x:c r="E83" s="90" t="str">
        <x:v>Compliance Officer</x:v>
      </x:c>
      <x:c r="F83" s="90" t="str">
        <x:v>This policy applies to all individuals who interact with Care Indeed Home Health Care, Inc. — including workforce members, patients, family members, vendors, business associates, and members of the public who have reason to report a compliance concern. ---</x:v>
      </x:c>
      <x:c r="G83" s="90" t="str">
        <x:v>Assign — read + bundled quiz</x:v>
      </x:c>
      <x:c r="H83" s="90" t="str">
        <x:v>General</x:v>
      </x:c>
      <x:c r="I83" s="90" t="str">
        <x:v>G-02</x:v>
      </x:c>
      <x:c r="J83" s="90" t="str">
        <x:v>All employees need to recognize prohibited conduct, fraud risk, referral conflicts, and protected reporting routes.</x:v>
      </x:c>
      <x:c r="K83" s="90" t="str">
        <x:v>Internal body reviewed</x:v>
      </x:c>
      <x:c r="L83" s="90" t="str">
        <x:v>12-allPoliciesContent.generated.ts — CO-CP-006</x:v>
      </x:c>
      <x:c r="M83" s="90" t="str"/>
    </x:row>
    <x:row r="84" ht="58" customHeight="1">
      <x:c r="A84" s="90" t="str">
        <x:v>CO-CP-007</x:v>
      </x:c>
      <x:c r="B84" s="90" t="str">
        <x:v>Compliance Investigation Process</x:v>
      </x:c>
      <x:c r="C84" s="90" t="str">
        <x:v>REQUIRED</x:v>
      </x:c>
      <x:c r="D84" s="90" t="str">
        <x:v>ACTIVE</x:v>
      </x:c>
      <x:c r="E84" s="90" t="str">
        <x:v>Compliance Officer</x:v>
      </x:c>
      <x:c r="F84" s="90" t="str">
        <x:v>This policy applies to: All compliance investigations initiated under the reporting mechanisms of CO-CP-006 All self-identified compliance concerns identified through internal auditing (CO-RA-002) All retaliation investigations under CO-CP-005 All investigations directed by th…</x:v>
      </x:c>
      <x:c r="G84" s="90" t="str">
        <x:v>Assign — read + bundled quiz</x:v>
      </x:c>
      <x:c r="H84" s="90" t="str">
        <x:v>ADM</x:v>
      </x:c>
      <x:c r="I84" s="90" t="str">
        <x:v>ADM-03</x:v>
      </x:c>
      <x:c r="J84" s="90" t="str">
        <x:v>Administrator needs decision-level knowledge of compliance governance, audits, regulatory change, survey response, and sanctions.</x:v>
      </x:c>
      <x:c r="K84" s="90" t="str">
        <x:v>Internal body reviewed</x:v>
      </x:c>
      <x:c r="L84" s="90" t="str">
        <x:v>12-allPoliciesContent.generated.ts — CO-CP-007</x:v>
      </x:c>
      <x:c r="M84" s="90" t="str"/>
    </x:row>
    <x:row r="85" ht="58" customHeight="1">
      <x:c r="A85" s="90" t="str">
        <x:v>CO-CP-008</x:v>
      </x:c>
      <x:c r="B85" s="90" t="str">
        <x:v>Compliance Training &amp; Education</x:v>
      </x:c>
      <x:c r="C85" s="90" t="str">
        <x:v>REQUIRED</x:v>
      </x:c>
      <x:c r="D85" s="90" t="str">
        <x:v>ACTIVE</x:v>
      </x:c>
      <x:c r="E85" s="90" t="str">
        <x:v>Compliance Officer</x:v>
      </x:c>
      <x:c r="F85" s="90" t="str">
        <x:v>This policy applies to all workforce members of Care Indeed Home Health Care, Inc. including Governing Body members, the Administrator, all clinical and administrative employees, contractors, per diem staff, and volunteers. Role-specific training requirements are defined in Se…</x:v>
      </x:c>
      <x:c r="G85" s="90" t="str">
        <x:v>Assign — read + bundled quiz</x:v>
      </x:c>
      <x:c r="H85" s="90" t="str">
        <x:v>General, GB</x:v>
      </x:c>
      <x:c r="I85" s="90" t="str">
        <x:v>G-02, GB-09</x:v>
      </x:c>
      <x:c r="J85" s="90" t="str">
        <x:v>All employees need to recognize prohibited conduct, fraud risk, referral conflicts, and protected reporting routes. The board receives compliance reports and must understand reporting, non-retaliation, FWA, privacy, and security oversight.</x:v>
      </x:c>
      <x:c r="K85" s="90" t="str">
        <x:v>Internal body reviewed</x:v>
      </x:c>
      <x:c r="L85" s="90" t="str">
        <x:v>12-allPoliciesContent.generated.ts — CO-CP-008</x:v>
      </x:c>
      <x:c r="M85" s="90" t="str"/>
    </x:row>
    <x:row r="86" ht="58" customHeight="1">
      <x:c r="A86" s="90" t="str">
        <x:v>CO-DC-001</x:v>
      </x:c>
      <x:c r="B86" s="90" t="str">
        <x:v>Assessment Audit Trail and Data Integrity</x:v>
      </x:c>
      <x:c r="C86" s="90" t="str">
        <x:v>REQUIRED</x:v>
      </x:c>
      <x:c r="D86" s="90" t="str">
        <x:v>ACTIVE</x:v>
      </x:c>
      <x:c r="E86" s="90" t="str">
        <x:v>Compliance Officer</x:v>
      </x:c>
      <x:c r="F86" s="90" t="str"/>
      <x:c r="G86" s="90" t="str">
        <x:v>Assign — read + bundled quiz</x:v>
      </x:c>
      <x:c r="H86" s="90" t="str">
        <x:v>RN, DON</x:v>
      </x:c>
      <x:c r="I86" s="90" t="str">
        <x:v>RN-02, DON-02, DON-07</x:v>
      </x:c>
      <x:c r="J86" s="90" t="str">
        <x:v>RN case management depends on compliant documentation, order handling, coordination, recertification, transfer, and discharge. DON must set and audit clinical documentation, orders, coordination, transfers, discharge, and recertification controls. DON needs decision-level survey readiness, documentation/billing alignment, medical necessity, coding, LUPA, and FWA knowledge.</x:v>
      </x:c>
      <x:c r="K86" s="90" t="str">
        <x:v>Internal body reviewed</x:v>
      </x:c>
      <x:c r="L86" s="90" t="str">
        <x:v>12-allPoliciesContent.generated.ts — CO-DC-001</x:v>
      </x:c>
      <x:c r="M86" s="90" t="str">
        <x:v>https://www.ecfr.gov/current/title-42/part-484/section-484.110</x:v>
      </x:c>
    </x:row>
    <x:row r="87" ht="58" customHeight="1">
      <x:c r="A87" s="90" t="str">
        <x:v>CO-DC-002</x:v>
      </x:c>
      <x:c r="B87" s="90" t="str">
        <x:v>Documentation Audit &amp; Monitoring Program</x:v>
      </x:c>
      <x:c r="C87" s="90" t="str">
        <x:v>REQUIRED</x:v>
      </x:c>
      <x:c r="D87" s="90" t="str">
        <x:v>ACTIVE</x:v>
      </x:c>
      <x:c r="E87" s="90" t="str">
        <x:v>Compliance Officer</x:v>
      </x:c>
      <x:c r="F87" s="90" t="str"/>
      <x:c r="G87" s="90" t="str">
        <x:v>Assign — read + bundled quiz</x:v>
      </x:c>
      <x:c r="H87" s="90" t="str">
        <x:v>RN, DON</x:v>
      </x:c>
      <x:c r="I87" s="90" t="str">
        <x:v>RN-08, DON-02, DON-07</x:v>
      </x:c>
      <x:c r="J87" s="90" t="str">
        <x:v>Links documentation and competency to outcomes, infection surveillance, utilization, and safe field practice. DON must set and audit clinical documentation, orders, coordination, transfers, discharge, and recertification controls. DON needs decision-level survey readiness, documentation/billing alignment, medical necessity, coding, LUPA, and FWA knowledge.</x:v>
      </x:c>
      <x:c r="K87" s="90" t="str">
        <x:v>Internal body reviewed</x:v>
      </x:c>
      <x:c r="L87" s="90" t="str">
        <x:v>12-allPoliciesContent.generated.ts — CO-DC-002</x:v>
      </x:c>
      <x:c r="M87" s="90" t="str">
        <x:v>https://www.ecfr.gov/current/title-42/part-484/section-484.110</x:v>
      </x:c>
    </x:row>
    <x:row r="88" ht="58" customHeight="1">
      <x:c r="A88" s="90" t="str">
        <x:v>CO-DC-003</x:v>
      </x:c>
      <x:c r="B88" s="90" t="str">
        <x:v>Late Entry, Correction &amp; Amendment Standards</x:v>
      </x:c>
      <x:c r="C88" s="90" t="str">
        <x:v>REQUIRED</x:v>
      </x:c>
      <x:c r="D88" s="90" t="str">
        <x:v>ACTIVE</x:v>
      </x:c>
      <x:c r="E88" s="90" t="str">
        <x:v>Compliance Officer</x:v>
      </x:c>
      <x:c r="F88" s="90" t="str"/>
      <x:c r="G88" s="90" t="str">
        <x:v>Assign — read + bundled quiz</x:v>
      </x:c>
      <x:c r="H88" s="90" t="str">
        <x:v>LVN, RN, PT, PTA, OT, COTA, SLP, MSW, DON</x:v>
      </x:c>
      <x:c r="I88" s="90" t="str">
        <x:v>LVN-02, RN-02, PT-02, PTA-02, OT-02, COTA-02, SLP-01, MSW-01, DON-02, DON-07</x:v>
      </x:c>
      <x:c r="J88" s="90" t="str">
        <x:v>LVNs document care, communicate plan changes, and receive/implement orders within scope. RN case management depends on compliant documentation, order handling, coordination, recertification, transfer, and discharge. Common professional therapy duties for documentation, orders, transitions, patient safeguards, and field safety. Assistant-level documentation, coordination, safeguards, and field safety under PT direc…</x:v>
      </x:c>
      <x:c r="K88" s="90" t="str">
        <x:v>Internal body reviewed</x:v>
      </x:c>
      <x:c r="L88" s="90" t="str">
        <x:v>12-allPoliciesContent.generated.ts — CO-DC-003</x:v>
      </x:c>
      <x:c r="M88" s="90" t="str">
        <x:v>https://www.ecfr.gov/current/title-42/part-484/section-484.110</x:v>
      </x:c>
    </x:row>
    <x:row r="89" ht="58" customHeight="1">
      <x:c r="A89" s="90" t="str">
        <x:v>CO-DC-004</x:v>
      </x:c>
      <x:c r="B89" s="90" t="str">
        <x:v>Clinical, Documentation, and Billing Alignment Audit</x:v>
      </x:c>
      <x:c r="C89" s="90" t="str">
        <x:v>REQUIRED</x:v>
      </x:c>
      <x:c r="D89" s="90" t="str">
        <x:v>ACTIVE</x:v>
      </x:c>
      <x:c r="E89" s="90" t="str">
        <x:v>Compliance Officer</x:v>
      </x:c>
      <x:c r="F89" s="90" t="str"/>
      <x:c r="G89" s="90" t="str">
        <x:v>Assign — read + bundled quiz</x:v>
      </x:c>
      <x:c r="H89" s="90" t="str">
        <x:v>RN, DON</x:v>
      </x:c>
      <x:c r="I89" s="90" t="str">
        <x:v>RN-08, DON-02, DON-07</x:v>
      </x:c>
      <x:c r="J89" s="90" t="str">
        <x:v>Links documentation and competency to outcomes, infection surveillance, utilization, and safe field practice. DON must set and audit clinical documentation, orders, coordination, transfers, discharge, and recertification controls. DON needs decision-level survey readiness, documentation/billing alignment, medical necessity, coding, LUPA, and FWA knowledge.</x:v>
      </x:c>
      <x:c r="K89" s="90" t="str">
        <x:v>Internal body reviewed</x:v>
      </x:c>
      <x:c r="L89" s="90" t="str">
        <x:v>12-allPoliciesContent.generated.ts — CO-DC-004</x:v>
      </x:c>
      <x:c r="M89" s="90" t="str">
        <x:v>https://www.ecfr.gov/current/title-42/part-484/section-484.110</x:v>
      </x:c>
    </x:row>
    <x:row r="90" ht="58" customHeight="1">
      <x:c r="A90" s="90" t="str">
        <x:v>CO-DG-101</x:v>
      </x:c>
      <x:c r="B90" s="90" t="str">
        <x:v>Data Governance &amp; Minimum Necessary Enforcement</x:v>
      </x:c>
      <x:c r="C90" s="90" t="str">
        <x:v>REQUIRED</x:v>
      </x:c>
      <x:c r="D90" s="90" t="str">
        <x:v>ACTIVE</x:v>
      </x:c>
      <x:c r="E90" s="90" t="str">
        <x:v>Compliance Officer</x:v>
      </x:c>
      <x:c r="F90" s="90" t="str">
        <x:v>This policy applies to all PHI and ePHI created, received, maintained, or transmitted by the agency in any medium, and to all workforce members, business associates, and systems that access, process, or store such data. ---</x:v>
      </x:c>
      <x:c r="G90" s="90" t="str">
        <x:v>Assign — read + bundled quiz</x:v>
      </x:c>
      <x:c r="H90" s="90" t="str">
        <x:v>General</x:v>
      </x:c>
      <x:c r="I90" s="90" t="str">
        <x:v>G-03</x:v>
      </x:c>
      <x:c r="J90" s="90" t="str">
        <x:v>Workforce-wide privacy and cyber hygiene, with tool-specific policies assigned before use.</x:v>
      </x:c>
      <x:c r="K90" s="90" t="str">
        <x:v>Internal body reviewed</x:v>
      </x:c>
      <x:c r="L90" s="90" t="str">
        <x:v>12-allPoliciesContent.generated.ts — CO-DG-101</x:v>
      </x:c>
      <x:c r="M90" s="90" t="str">
        <x:v>https://www.ecfr.gov/current/title-45/part-164/section-164.530</x:v>
      </x:c>
    </x:row>
    <x:row r="91" ht="58" customHeight="1">
      <x:c r="A91" s="90" t="str">
        <x:v>CO-FA-001</x:v>
      </x:c>
      <x:c r="B91" s="90" t="str">
        <x:v>Anti-Kickback &amp; Stark Law Compliance</x:v>
      </x:c>
      <x:c r="C91" s="90" t="str">
        <x:v>REQUIRED</x:v>
      </x:c>
      <x:c r="D91" s="90" t="str">
        <x:v>ACTIVE</x:v>
      </x:c>
      <x:c r="E91" s="90" t="str">
        <x:v>Compliance Officer</x:v>
      </x:c>
      <x:c r="F91" s="90" t="str">
        <x:v>Applies to all Governing Body members, the Administrator, all employees, contractors, vendors, referral sources, and any individual or entity that provides, receives, or facilitates patient referrals to or from Care Indeed Home Health Care, Inc. ---</x:v>
      </x:c>
      <x:c r="G91" s="90" t="str">
        <x:v>Assign — read + bundled quiz</x:v>
      </x:c>
      <x:c r="H91" s="90" t="str">
        <x:v>General, GB</x:v>
      </x:c>
      <x:c r="I91" s="90" t="str">
        <x:v>G-02, GB-03</x:v>
      </x:c>
      <x:c r="J91" s="90" t="str">
        <x:v>All employees need to recognize prohibited conduct, fraud risk, referral conflicts, and protected reporting routes. Board decisions require disclosure, recusal, ethics, and referral-law awareness.</x:v>
      </x:c>
      <x:c r="K91" s="90" t="str">
        <x:v>Internal body reviewed</x:v>
      </x:c>
      <x:c r="L91" s="90" t="str">
        <x:v>12-allPoliciesContent.generated.ts — CO-FA-001</x:v>
      </x:c>
      <x:c r="M91" s="90" t="str"/>
    </x:row>
    <x:row r="92" ht="58" customHeight="1">
      <x:c r="A92" s="90" t="str">
        <x:v>CO-FA-002</x:v>
      </x:c>
      <x:c r="B92" s="90" t="str">
        <x:v>False Claims Act Awareness &amp; Prevention</x:v>
      </x:c>
      <x:c r="C92" s="90" t="str">
        <x:v>REQUIRED</x:v>
      </x:c>
      <x:c r="D92" s="90" t="str">
        <x:v>ACTIVE</x:v>
      </x:c>
      <x:c r="E92" s="90" t="str">
        <x:v>Compliance Officer</x:v>
      </x:c>
      <x:c r="F92" s="90" t="str">
        <x:v>Applies to all workforce members, with particular emphasis on clinical staff who document services, billing staff who submit claims, and leadership who oversee operations. ---</x:v>
      </x:c>
      <x:c r="G92" s="90" t="str">
        <x:v>Assign — read + bundled quiz</x:v>
      </x:c>
      <x:c r="H92" s="90" t="str">
        <x:v>General, DON</x:v>
      </x:c>
      <x:c r="I92" s="90" t="str">
        <x:v>G-02, DON-07</x:v>
      </x:c>
      <x:c r="J92" s="90" t="str">
        <x:v>All employees need to recognize prohibited conduct, fraud risk, referral conflicts, and protected reporting routes. DON needs decision-level survey readiness, documentation/billing alignment, medical necessity, coding, LUPA, and FWA knowledge.</x:v>
      </x:c>
      <x:c r="K92" s="90" t="str">
        <x:v>Internal body reviewed</x:v>
      </x:c>
      <x:c r="L92" s="90" t="str">
        <x:v>12-allPoliciesContent.generated.ts — CO-FA-002</x:v>
      </x:c>
      <x:c r="M92" s="90" t="str"/>
    </x:row>
    <x:row r="93" ht="58" customHeight="1">
      <x:c r="A93" s="90" t="str">
        <x:v>CO-FA-003</x:v>
      </x:c>
      <x:c r="B93" s="90" t="str">
        <x:v>Fraud, Waste &amp; Abuse Prevention</x:v>
      </x:c>
      <x:c r="C93" s="90" t="str">
        <x:v>REQUIRED</x:v>
      </x:c>
      <x:c r="D93" s="90" t="str">
        <x:v>ACTIVE</x:v>
      </x:c>
      <x:c r="E93" s="90" t="str">
        <x:v>Compliance Officer</x:v>
      </x:c>
      <x:c r="F93" s="90" t="str">
        <x:v>Applies to all workforce members, contractors, vendors, and business associates of Care Indeed Home Health Care, Inc. ---</x:v>
      </x:c>
      <x:c r="G93" s="90" t="str">
        <x:v>Not a separate scored LMS assignment</x:v>
      </x:c>
      <x:c r="H93" s="90" t="str"/>
      <x:c r="I93" s="90" t="str"/>
      <x:c r="J93" s="90" t="str">
        <x:v>Consolidate into CO-FW-101 in G-02; do not issue a second FWA quiz.</x:v>
      </x:c>
      <x:c r="K93" s="90" t="str">
        <x:v>Internal body reviewed</x:v>
      </x:c>
      <x:c r="L93" s="90" t="str">
        <x:v>12-allPoliciesContent.generated.ts — CO-FA-003</x:v>
      </x:c>
      <x:c r="M93" s="90" t="str"/>
    </x:row>
    <x:row r="94" ht="58" customHeight="1">
      <x:c r="A94" s="90" t="str">
        <x:v>CO-FW-101</x:v>
      </x:c>
      <x:c r="B94" s="90" t="str">
        <x:v>Fraud, Waste &amp; Abuse Prevention</x:v>
      </x:c>
      <x:c r="C94" s="90" t="str">
        <x:v>REQUIRED</x:v>
      </x:c>
      <x:c r="D94" s="90" t="str">
        <x:v>ACTIVE</x:v>
      </x:c>
      <x:c r="E94" s="90" t="str">
        <x:v>Compliance Officer</x:v>
      </x:c>
      <x:c r="F94" s="90" t="str">
        <x:v>This policy applies to all workforce members, Governing Body members, contractors, subcontractors, agents, and business associates of Care Indeed Home Health Care, Inc. in connection with all federal and state healthcare program participation. ---</x:v>
      </x:c>
      <x:c r="G94" s="90" t="str">
        <x:v>Assign — read + bundled quiz</x:v>
      </x:c>
      <x:c r="H94" s="90" t="str">
        <x:v>General, DON, GB</x:v>
      </x:c>
      <x:c r="I94" s="90" t="str">
        <x:v>G-02, DON-07, GB-09</x:v>
      </x:c>
      <x:c r="J94" s="90" t="str">
        <x:v>All employees need to recognize prohibited conduct, fraud risk, referral conflicts, and protected reporting routes. DON needs decision-level survey readiness, documentation/billing alignment, medical necessity, coding, LUPA, and FWA knowledge. The board receives compliance reports and must understand reporting, non-retaliation, FWA, privacy, and security oversight.</x:v>
      </x:c>
      <x:c r="K94" s="90" t="str">
        <x:v>Internal body reviewed</x:v>
      </x:c>
      <x:c r="L94" s="90" t="str">
        <x:v>12-allPoliciesContent.generated.ts — CO-FW-101</x:v>
      </x:c>
      <x:c r="M94" s="90" t="str"/>
    </x:row>
    <x:row r="95" ht="58" customHeight="1">
      <x:c r="A95" s="90" t="str">
        <x:v>CO-HP-001</x:v>
      </x:c>
      <x:c r="B95" s="90" t="str">
        <x:v>HIPAA Privacy Program</x:v>
      </x:c>
      <x:c r="C95" s="90" t="str">
        <x:v>REQUIRED</x:v>
      </x:c>
      <x:c r="D95" s="90" t="str">
        <x:v>ACTIVE</x:v>
      </x:c>
      <x:c r="E95" s="90" t="str">
        <x:v>Compliance Officer</x:v>
      </x:c>
      <x:c r="F95" s="90" t="str">
        <x:v>All workforce members, business associates, vendors, and any individual who creates, receives, maintains, or transmits PHI on behalf of Care Indeed Home Health Care, Inc. ---</x:v>
      </x:c>
      <x:c r="G95" s="90" t="str">
        <x:v>Not a separate scored LMS assignment</x:v>
      </x:c>
      <x:c r="H95" s="90" t="str"/>
      <x:c r="I95" s="90" t="str"/>
      <x:c r="J95" s="90" t="str">
        <x:v>Reference/legacy component; G-03 uses consolidated CO-HP-101.</x:v>
      </x:c>
      <x:c r="K95" s="90" t="str">
        <x:v>Internal body reviewed</x:v>
      </x:c>
      <x:c r="L95" s="90" t="str">
        <x:v>12-allPoliciesContent.generated.ts — CO-HP-001</x:v>
      </x:c>
      <x:c r="M95" s="90" t="str">
        <x:v>https://www.ecfr.gov/current/title-45/part-164/section-164.530</x:v>
      </x:c>
    </x:row>
    <x:row r="96" ht="58" customHeight="1">
      <x:c r="A96" s="90" t="str">
        <x:v>CO-HP-002</x:v>
      </x:c>
      <x:c r="B96" s="90" t="str">
        <x:v>HIPAA Security Program</x:v>
      </x:c>
      <x:c r="C96" s="90" t="str">
        <x:v>REQUIRED</x:v>
      </x:c>
      <x:c r="D96" s="90" t="str">
        <x:v>ACTIVE</x:v>
      </x:c>
      <x:c r="E96" s="90" t="str">
        <x:v>Compliance Officer</x:v>
      </x:c>
      <x:c r="F96" s="90" t="str">
        <x:v>All workforce members and systems that create, receive, maintain, or transmit ePHI. ---</x:v>
      </x:c>
      <x:c r="G96" s="90" t="str">
        <x:v>Not a separate scored LMS assignment</x:v>
      </x:c>
      <x:c r="H96" s="90" t="str"/>
      <x:c r="I96" s="90" t="str"/>
      <x:c r="J96" s="90" t="str">
        <x:v>Reference/legacy component; G-03 uses consolidated CO-HP-101 plus IT security policies.</x:v>
      </x:c>
      <x:c r="K96" s="90" t="str">
        <x:v>Internal body reviewed</x:v>
      </x:c>
      <x:c r="L96" s="90" t="str">
        <x:v>12-allPoliciesContent.generated.ts — CO-HP-002</x:v>
      </x:c>
      <x:c r="M96" s="90" t="str">
        <x:v>https://www.ecfr.gov/current/title-45/part-164/section-164.530</x:v>
      </x:c>
    </x:row>
    <x:row r="97" ht="58" customHeight="1">
      <x:c r="A97" s="90" t="str">
        <x:v>CO-HP-003</x:v>
      </x:c>
      <x:c r="B97" s="90" t="str">
        <x:v>HIPAA Breach Notification</x:v>
      </x:c>
      <x:c r="C97" s="90" t="str">
        <x:v>REQUIRED</x:v>
      </x:c>
      <x:c r="D97" s="90" t="str">
        <x:v>ACTIVE</x:v>
      </x:c>
      <x:c r="E97" s="90" t="str">
        <x:v>Compliance Officer</x:v>
      </x:c>
      <x:c r="F97" s="90" t="str"/>
      <x:c r="G97" s="90" t="str">
        <x:v>Not a separate scored LMS assignment</x:v>
      </x:c>
      <x:c r="H97" s="90" t="str"/>
      <x:c r="I97" s="90" t="str"/>
      <x:c r="J97" s="90" t="str">
        <x:v>Reference/legacy component; G-03 uses CO-IR-101 for incident/breach response.</x:v>
      </x:c>
      <x:c r="K97" s="90" t="str">
        <x:v>Internal body reviewed</x:v>
      </x:c>
      <x:c r="L97" s="90" t="str">
        <x:v>12-allPoliciesContent.generated.ts — CO-HP-003</x:v>
      </x:c>
      <x:c r="M97" s="90" t="str">
        <x:v>https://www.ecfr.gov/current/title-45/part-164/section-164.530</x:v>
      </x:c>
    </x:row>
    <x:row r="98" ht="58" customHeight="1">
      <x:c r="A98" s="90" t="str">
        <x:v>CO-HP-004</x:v>
      </x:c>
      <x:c r="B98" s="90" t="str">
        <x:v>Minimum Necessary Standard</x:v>
      </x:c>
      <x:c r="C98" s="90" t="str">
        <x:v>REQUIRED</x:v>
      </x:c>
      <x:c r="D98" s="90" t="str">
        <x:v>ACTIVE</x:v>
      </x:c>
      <x:c r="E98" s="90" t="str">
        <x:v>Compliance Officer</x:v>
      </x:c>
      <x:c r="F98" s="90" t="str"/>
      <x:c r="G98" s="90" t="str">
        <x:v>Not a separate scored LMS assignment</x:v>
      </x:c>
      <x:c r="H98" s="90" t="str"/>
      <x:c r="I98" s="90" t="str"/>
      <x:c r="J98" s="90" t="str">
        <x:v>Reference/legacy component; G-03 uses CO-HP-101 and CO-DG-101.</x:v>
      </x:c>
      <x:c r="K98" s="90" t="str">
        <x:v>Internal body reviewed</x:v>
      </x:c>
      <x:c r="L98" s="90" t="str">
        <x:v>12-allPoliciesContent.generated.ts — CO-HP-004</x:v>
      </x:c>
      <x:c r="M98" s="90" t="str">
        <x:v>https://www.ecfr.gov/current/title-45/part-164/section-164.530</x:v>
      </x:c>
    </x:row>
    <x:row r="99" ht="58" customHeight="1">
      <x:c r="A99" s="90" t="str">
        <x:v>CO-HP-005</x:v>
      </x:c>
      <x:c r="B99" s="90" t="str">
        <x:v>Business Associate Agreement Management</x:v>
      </x:c>
      <x:c r="C99" s="90" t="str">
        <x:v>REQUIRED</x:v>
      </x:c>
      <x:c r="D99" s="90" t="str">
        <x:v>ACTIVE</x:v>
      </x:c>
      <x:c r="E99" s="90" t="str">
        <x:v>Compliance Officer</x:v>
      </x:c>
      <x:c r="F99" s="90" t="str"/>
      <x:c r="G99" s="90" t="str">
        <x:v>Not a separate scored LMS assignment</x:v>
      </x:c>
      <x:c r="H99" s="90" t="str"/>
      <x:c r="I99" s="90" t="str"/>
      <x:c r="J99" s="90" t="str">
        <x:v>Reviewed — owner investigation/audit/admin procedure; workforce-facing compliance rules are assigned in G-02/G-03 or leadership bundles.</x:v>
      </x:c>
      <x:c r="K99" s="90" t="str">
        <x:v>Internal body reviewed</x:v>
      </x:c>
      <x:c r="L99" s="90" t="str">
        <x:v>12-allPoliciesContent.generated.ts — CO-HP-005</x:v>
      </x:c>
      <x:c r="M99" s="90" t="str">
        <x:v>https://www.ecfr.gov/current/title-45/part-164/section-164.530</x:v>
      </x:c>
    </x:row>
    <x:row r="100" ht="58" customHeight="1">
      <x:c r="A100" s="90" t="str">
        <x:v>CO-HP-006</x:v>
      </x:c>
      <x:c r="B100" s="90" t="str">
        <x:v>Patient Access to Records</x:v>
      </x:c>
      <x:c r="C100" s="90" t="str">
        <x:v>REQUIRED</x:v>
      </x:c>
      <x:c r="D100" s="90" t="str">
        <x:v>ACTIVE</x:v>
      </x:c>
      <x:c r="E100" s="90" t="str">
        <x:v>Compliance Officer</x:v>
      </x:c>
      <x:c r="F100" s="90" t="str"/>
      <x:c r="G100" s="90" t="str">
        <x:v>Not a separate scored LMS assignment</x:v>
      </x:c>
      <x:c r="H100" s="90" t="str"/>
      <x:c r="I100" s="90" t="str"/>
      <x:c r="J100" s="90" t="str">
        <x:v>Reviewed — owner investigation/audit/admin procedure; workforce-facing compliance rules are assigned in G-02/G-03 or leadership bundles.</x:v>
      </x:c>
      <x:c r="K100" s="90" t="str">
        <x:v>Internal body reviewed</x:v>
      </x:c>
      <x:c r="L100" s="90" t="str">
        <x:v>12-allPoliciesContent.generated.ts — CO-HP-006</x:v>
      </x:c>
      <x:c r="M100" s="90" t="str">
        <x:v>https://www.ecfr.gov/current/title-45/part-164/section-164.530</x:v>
      </x:c>
    </x:row>
    <x:row r="101" ht="58" customHeight="1">
      <x:c r="A101" s="90" t="str">
        <x:v>CO-HP-007</x:v>
      </x:c>
      <x:c r="B101" s="90" t="str">
        <x:v>Record Retention &amp; Destruction</x:v>
      </x:c>
      <x:c r="C101" s="90" t="str">
        <x:v>REQUIRED</x:v>
      </x:c>
      <x:c r="D101" s="90" t="str">
        <x:v>ACTIVE</x:v>
      </x:c>
      <x:c r="E101" s="90" t="str">
        <x:v>Compliance Officer</x:v>
      </x:c>
      <x:c r="F101" s="90" t="str"/>
      <x:c r="G101" s="90" t="str">
        <x:v>Not a separate scored LMS assignment</x:v>
      </x:c>
      <x:c r="H101" s="90" t="str"/>
      <x:c r="I101" s="90" t="str"/>
      <x:c r="J101" s="90" t="str">
        <x:v>Reviewed — owner investigation/audit/admin procedure; workforce-facing compliance rules are assigned in G-02/G-03 or leadership bundles.</x:v>
      </x:c>
      <x:c r="K101" s="90" t="str">
        <x:v>Internal body reviewed</x:v>
      </x:c>
      <x:c r="L101" s="90" t="str">
        <x:v>12-allPoliciesContent.generated.ts — CO-HP-007</x:v>
      </x:c>
      <x:c r="M101" s="90" t="str">
        <x:v>https://www.ecfr.gov/current/title-45/part-164/section-164.530</x:v>
      </x:c>
    </x:row>
    <x:row r="102" ht="58" customHeight="1">
      <x:c r="A102" s="90" t="str">
        <x:v>CO-HP-101</x:v>
      </x:c>
      <x:c r="B102" s="90" t="str">
        <x:v>HIPAA, CMIA &amp; Sensitive Data Privacy Management</x:v>
      </x:c>
      <x:c r="C102" s="90" t="str">
        <x:v>REQUIRED</x:v>
      </x:c>
      <x:c r="D102" s="90" t="str">
        <x:v>ACTIVE</x:v>
      </x:c>
      <x:c r="E102" s="90" t="str">
        <x:v>Compliance Officer</x:v>
      </x:c>
      <x:c r="F102" s="90" t="str">
        <x:v>This policy applies to: All members of the workforce of Care Indeed Home Health Care, Inc. including employees, contractors, per diem staff, volunteers, students, and interns All members of the Governing Body The Agency Administrator The Director of Nursing / Clinical Manager …</x:v>
      </x:c>
      <x:c r="G102" s="90" t="str">
        <x:v>Assign — read + bundled quiz</x:v>
      </x:c>
      <x:c r="H102" s="90" t="str">
        <x:v>General, GB</x:v>
      </x:c>
      <x:c r="I102" s="90" t="str">
        <x:v>G-03, GB-09</x:v>
      </x:c>
      <x:c r="J102" s="90" t="str">
        <x:v>Workforce-wide privacy and cyber hygiene, with tool-specific policies assigned before use. The board receives compliance reports and must understand reporting, non-retaliation, FWA, privacy, and security oversight.</x:v>
      </x:c>
      <x:c r="K102" s="90" t="str">
        <x:v>Internal body reviewed</x:v>
      </x:c>
      <x:c r="L102" s="90" t="str">
        <x:v>12-allPoliciesContent.generated.ts — CO-HP-101</x:v>
      </x:c>
      <x:c r="M102" s="90" t="str">
        <x:v>https://www.ecfr.gov/current/title-45/part-164/section-164.530</x:v>
      </x:c>
    </x:row>
    <x:row r="103" ht="58" customHeight="1">
      <x:c r="A103" s="90" t="str">
        <x:v>CO-IR-101</x:v>
      </x:c>
      <x:c r="B103" s="90" t="str">
        <x:v>Security Incident Response &amp; Breach Notification</x:v>
      </x:c>
      <x:c r="C103" s="90" t="str">
        <x:v>REQUIRED</x:v>
      </x:c>
      <x:c r="D103" s="90" t="str">
        <x:v>ACTIVE</x:v>
      </x:c>
      <x:c r="E103" s="90" t="str">
        <x:v>Compliance Officer</x:v>
      </x:c>
      <x:c r="F103" s="90" t="str">
        <x:v>This policy applies to: All incidents involving the unauthorized acquisition, access, use, or disclosure of PHI, ePHI, or PII maintained by Care Indeed Home Health Care, Inc. All workforce members, business associates, subcontractors, and any entity with access to agency PHI A…</x:v>
      </x:c>
      <x:c r="G103" s="90" t="str">
        <x:v>Assign — read + bundled quiz</x:v>
      </x:c>
      <x:c r="H103" s="90" t="str">
        <x:v>General</x:v>
      </x:c>
      <x:c r="I103" s="90" t="str">
        <x:v>G-03</x:v>
      </x:c>
      <x:c r="J103" s="90" t="str">
        <x:v>Workforce-wide privacy and cyber hygiene, with tool-specific policies assigned before use.</x:v>
      </x:c>
      <x:c r="K103" s="90" t="str">
        <x:v>Internal body reviewed</x:v>
      </x:c>
      <x:c r="L103" s="90" t="str">
        <x:v>12-allPoliciesContent.generated.ts — CO-IR-101</x:v>
      </x:c>
      <x:c r="M103" s="90" t="str">
        <x:v>https://www.ecfr.gov/current/title-45/part-164/section-164.530</x:v>
      </x:c>
    </x:row>
    <x:row r="104" ht="58" customHeight="1">
      <x:c r="A104" s="90" t="str">
        <x:v>CO-RA-001</x:v>
      </x:c>
      <x:c r="B104" s="90" t="str">
        <x:v>Regulatory Change Monitoring &amp; Implementation</x:v>
      </x:c>
      <x:c r="C104" s="90" t="str">
        <x:v>REQUIRED</x:v>
      </x:c>
      <x:c r="D104" s="90" t="str">
        <x:v>ACTIVE</x:v>
      </x:c>
      <x:c r="E104" s="90" t="str">
        <x:v>Compliance Officer</x:v>
      </x:c>
      <x:c r="F104" s="90" t="str">
        <x:v>This policy applies to the Compliance Officer, Administrator, Director of Nursing, Revenue Cycle Director, HR Director, IT Director, and all department heads whose operational areas are subject to regulatory oversight. ---</x:v>
      </x:c>
      <x:c r="G104" s="90" t="str">
        <x:v>Assign — read + bundled quiz</x:v>
      </x:c>
      <x:c r="H104" s="90" t="str">
        <x:v>ADM</x:v>
      </x:c>
      <x:c r="I104" s="90" t="str">
        <x:v>ADM-03</x:v>
      </x:c>
      <x:c r="J104" s="90" t="str">
        <x:v>Administrator needs decision-level knowledge of compliance governance, audits, regulatory change, survey response, and sanctions.</x:v>
      </x:c>
      <x:c r="K104" s="90" t="str">
        <x:v>Internal body reviewed</x:v>
      </x:c>
      <x:c r="L104" s="90" t="str">
        <x:v>12-allPoliciesContent.generated.ts — CO-RA-001</x:v>
      </x:c>
      <x:c r="M104" s="90" t="str"/>
    </x:row>
    <x:row r="105" ht="58" customHeight="1">
      <x:c r="A105" s="90" t="str">
        <x:v>CO-RA-002</x:v>
      </x:c>
      <x:c r="B105" s="90" t="str">
        <x:v>Internal Compliance Auditing Program</x:v>
      </x:c>
      <x:c r="C105" s="90" t="str">
        <x:v>REQUIRED</x:v>
      </x:c>
      <x:c r="D105" s="90" t="str">
        <x:v>ACTIVE</x:v>
      </x:c>
      <x:c r="E105" s="90" t="str">
        <x:v>Compliance Officer</x:v>
      </x:c>
      <x:c r="F105" s="90" t="str">
        <x:v>This policy applies to all audit activities conducted by or on behalf of the Compliance Officer including billing audits, clinical documentation audits, OASIS accuracy audits, HIPAA compliance audits, exclusion screening audits, and policy acknowledgment audits. It does not go…</x:v>
      </x:c>
      <x:c r="G105" s="90" t="str">
        <x:v>Assign — read + bundled quiz</x:v>
      </x:c>
      <x:c r="H105" s="90" t="str">
        <x:v>ADM</x:v>
      </x:c>
      <x:c r="I105" s="90" t="str">
        <x:v>ADM-03</x:v>
      </x:c>
      <x:c r="J105" s="90" t="str">
        <x:v>Administrator needs decision-level knowledge of compliance governance, audits, regulatory change, survey response, and sanctions.</x:v>
      </x:c>
      <x:c r="K105" s="90" t="str">
        <x:v>Internal body reviewed</x:v>
      </x:c>
      <x:c r="L105" s="90" t="str">
        <x:v>12-allPoliciesContent.generated.ts — CO-RA-002</x:v>
      </x:c>
      <x:c r="M105" s="90" t="str"/>
    </x:row>
    <x:row r="106" ht="58" customHeight="1">
      <x:c r="A106" s="90" t="str">
        <x:v>CO-RA-003</x:v>
      </x:c>
      <x:c r="B106" s="90" t="str">
        <x:v>External Audit &amp; Survey Readiness</x:v>
      </x:c>
      <x:c r="C106" s="90" t="str">
        <x:v>REQUIRED</x:v>
      </x:c>
      <x:c r="D106" s="90" t="str">
        <x:v>ACTIVE</x:v>
      </x:c>
      <x:c r="E106" s="90" t="str">
        <x:v>Compliance Officer</x:v>
      </x:c>
      <x:c r="F106" s="90" t="str">
        <x:v>This policy applies to the Compliance Officer, Administrator, Director of Nursing, all department heads, all clinical and administrative staff who may interact with external surveyors, and all personnel responsible for maintaining documentation that may be reviewed during exte…</x:v>
      </x:c>
      <x:c r="G106" s="90" t="str">
        <x:v>Assign — read + bundled quiz</x:v>
      </x:c>
      <x:c r="H106" s="90" t="str">
        <x:v>ADM, DON</x:v>
      </x:c>
      <x:c r="I106" s="90" t="str">
        <x:v>ADM-03, DON-07</x:v>
      </x:c>
      <x:c r="J106" s="90" t="str">
        <x:v>Administrator needs decision-level knowledge of compliance governance, audits, regulatory change, survey response, and sanctions. DON needs decision-level survey readiness, documentation/billing alignment, medical necessity, coding, LUPA, and FWA knowledge.</x:v>
      </x:c>
      <x:c r="K106" s="90" t="str">
        <x:v>Internal body reviewed</x:v>
      </x:c>
      <x:c r="L106" s="90" t="str">
        <x:v>12-allPoliciesContent.generated.ts — CO-RA-003</x:v>
      </x:c>
      <x:c r="M106" s="90" t="str"/>
    </x:row>
    <x:row r="107" ht="58" customHeight="1">
      <x:c r="A107" s="90" t="str">
        <x:v>CO-RA-004</x:v>
      </x:c>
      <x:c r="B107" s="90" t="str">
        <x:v>Medicare Conditions of Participation Compliance</x:v>
      </x:c>
      <x:c r="C107" s="90" t="str">
        <x:v>REQUIRED</x:v>
      </x:c>
      <x:c r="D107" s="90" t="str">
        <x:v>ACTIVE</x:v>
      </x:c>
      <x:c r="E107" s="90" t="str">
        <x:v>Compliance Officer</x:v>
      </x:c>
      <x:c r="F107" s="90" t="str">
        <x:v>This policy applies to the Governing Body, Administrator, Director of Nursing, Compliance Officer, all department heads, and all workforce members whose functions relate to any Condition of Participation. ---</x:v>
      </x:c>
      <x:c r="G107" s="90" t="str">
        <x:v>Assign — read + bundled quiz</x:v>
      </x:c>
      <x:c r="H107" s="90" t="str">
        <x:v>ADM, DON, GB</x:v>
      </x:c>
      <x:c r="I107" s="90" t="str">
        <x:v>ADM-03, DON-07, GB-13</x:v>
      </x:c>
      <x:c r="J107" s="90" t="str">
        <x:v>Administrator needs decision-level knowledge of compliance governance, audits, regulatory change, survey response, and sanctions. DON needs decision-level survey readiness, documentation/billing alignment, medical necessity, coding, LUPA, and FWA knowledge. Board members must recognize actions that affect licensure, certification, accreditation, closure, or CHOW.</x:v>
      </x:c>
      <x:c r="K107" s="90" t="str">
        <x:v>Internal body reviewed</x:v>
      </x:c>
      <x:c r="L107" s="90" t="str">
        <x:v>12-allPoliciesContent.generated.ts — CO-RA-004</x:v>
      </x:c>
      <x:c r="M107" s="90" t="str"/>
    </x:row>
    <x:row r="108" ht="58" customHeight="1">
      <x:c r="A108" s="90" t="str">
        <x:v>CO-RA-005</x:v>
      </x:c>
      <x:c r="B108" s="90" t="str">
        <x:v>State Licensure &amp; Regulatory Compliance</x:v>
      </x:c>
      <x:c r="C108" s="90" t="str">
        <x:v>REQUIRED</x:v>
      </x:c>
      <x:c r="D108" s="90" t="str">
        <x:v>ACTIVE</x:v>
      </x:c>
      <x:c r="E108" s="90" t="str">
        <x:v>Compliance Officer</x:v>
      </x:c>
      <x:c r="F108" s="90" t="str">
        <x:v>This policy applies to the Administrator, Compliance Officer, HR Director, and all personnel responsible for maintaining documents, credentials, or operational standards required by state licensure. ---</x:v>
      </x:c>
      <x:c r="G108" s="90" t="str">
        <x:v>Assign — read + bundled quiz</x:v>
      </x:c>
      <x:c r="H108" s="90" t="str">
        <x:v>ADM, DON, GB</x:v>
      </x:c>
      <x:c r="I108" s="90" t="str">
        <x:v>ADM-03, DON-07, GB-13</x:v>
      </x:c>
      <x:c r="J108" s="90" t="str">
        <x:v>Administrator needs decision-level knowledge of compliance governance, audits, regulatory change, survey response, and sanctions. DON needs decision-level survey readiness, documentation/billing alignment, medical necessity, coding, LUPA, and FWA knowledge. Board members must recognize actions that affect licensure, certification, accreditation, closure, or CHOW.</x:v>
      </x:c>
      <x:c r="K108" s="90" t="str">
        <x:v>Internal body reviewed</x:v>
      </x:c>
      <x:c r="L108" s="90" t="str">
        <x:v>12-allPoliciesContent.generated.ts — CO-RA-005</x:v>
      </x:c>
      <x:c r="M108" s="90" t="str"/>
    </x:row>
    <x:row r="109" ht="58" customHeight="1">
      <x:c r="A109" s="90" t="str">
        <x:v>CO-RA-006</x:v>
      </x:c>
      <x:c r="B109" s="90" t="str">
        <x:v>Accreditation Standards Compliance</x:v>
      </x:c>
      <x:c r="C109" s="90" t="str">
        <x:v>ESSENTIAL</x:v>
      </x:c>
      <x:c r="D109" s="90" t="str">
        <x:v>ACTIVE</x:v>
      </x:c>
      <x:c r="E109" s="90" t="str">
        <x:v>Compliance Officer</x:v>
      </x:c>
      <x:c r="F109" s="90" t="str">
        <x:v>Applies to the Compliance Officer, Administrator, Director of Nursing, QAPI Coordinator, and all personnel responsible for maintaining standards required by the accrediting body. ---</x:v>
      </x:c>
      <x:c r="G109" s="90" t="str">
        <x:v>Assign — read + bundled quiz</x:v>
      </x:c>
      <x:c r="H109" s="90" t="str">
        <x:v>ADM, DON, GB</x:v>
      </x:c>
      <x:c r="I109" s="90" t="str">
        <x:v>ADM-03, DON-07, GB-13</x:v>
      </x:c>
      <x:c r="J109" s="90" t="str">
        <x:v>Administrator needs decision-level knowledge of compliance governance, audits, regulatory change, survey response, and sanctions. DON needs decision-level survey readiness, documentation/billing alignment, medical necessity, coding, LUPA, and FWA knowledge. Board members must recognize actions that affect licensure, certification, accreditation, closure, or CHOW.</x:v>
      </x:c>
      <x:c r="K109" s="90" t="str">
        <x:v>Internal body reviewed</x:v>
      </x:c>
      <x:c r="L109" s="90" t="str">
        <x:v>12-allPoliciesContent.generated.ts — CO-RA-006</x:v>
      </x:c>
      <x:c r="M109" s="90" t="str"/>
    </x:row>
    <x:row r="110" ht="58" customHeight="1">
      <x:c r="A110" s="90" t="str">
        <x:v>CO-RA-007</x:v>
      </x:c>
      <x:c r="B110" s="90" t="str">
        <x:v>Sanctions &amp; Enforcement Response</x:v>
      </x:c>
      <x:c r="C110" s="90" t="str">
        <x:v>REQUIRED</x:v>
      </x:c>
      <x:c r="D110" s="90" t="str">
        <x:v>ACTIVE</x:v>
      </x:c>
      <x:c r="E110" s="90" t="str">
        <x:v>Compliance Officer</x:v>
      </x:c>
      <x:c r="F110" s="90" t="str">
        <x:v>Applies to the Governing Body, Administrator, Compliance Officer, Director of Nursing, legal counsel, and all personnel involved in responding to enforcement actions. ---</x:v>
      </x:c>
      <x:c r="G110" s="90" t="str">
        <x:v>Assign — read + bundled quiz</x:v>
      </x:c>
      <x:c r="H110" s="90" t="str">
        <x:v>ADM</x:v>
      </x:c>
      <x:c r="I110" s="90" t="str">
        <x:v>ADM-03</x:v>
      </x:c>
      <x:c r="J110" s="90" t="str">
        <x:v>Administrator needs decision-level knowledge of compliance governance, audits, regulatory change, survey response, and sanctions.</x:v>
      </x:c>
      <x:c r="K110" s="90" t="str">
        <x:v>Internal body reviewed</x:v>
      </x:c>
      <x:c r="L110" s="90" t="str">
        <x:v>12-allPoliciesContent.generated.ts — CO-RA-007</x:v>
      </x:c>
      <x:c r="M110" s="90" t="str"/>
    </x:row>
    <x:row r="111" ht="58" customHeight="1">
      <x:c r="A111" s="90" t="str">
        <x:v>EN-CM-001</x:v>
      </x:c>
      <x:c r="B111" s="90" t="str">
        <x:v>Enterprise Compliance Metrics Program</x:v>
      </x:c>
      <x:c r="C111" s="90" t="str">
        <x:v>REQUIRED</x:v>
      </x:c>
      <x:c r="D111" s="90" t="str">
        <x:v>ACTIVE</x:v>
      </x:c>
      <x:c r="E111" s="90" t="str">
        <x:v>Compliance Officer / Quality Assurance Director</x:v>
      </x:c>
      <x:c r="F111" s="90" t="str">
        <x:v>This policy applies to: * All 10 governance domains and their respective Domain Stewards * The Compliance Officer as program owner and data custodian * The Quality Assurance Director as co-steward for QAPI-linked metrics (42 CFR §484.65) * The Administrator and Governing Body …</x:v>
      </x:c>
      <x:c r="G111" s="90" t="str">
        <x:v>Assign — read + bundled quiz</x:v>
      </x:c>
      <x:c r="H111" s="90" t="str">
        <x:v>ADM</x:v>
      </x:c>
      <x:c r="I111" s="90" t="str">
        <x:v>ADM-03</x:v>
      </x:c>
      <x:c r="J111" s="90" t="str">
        <x:v>Administrator needs decision-level knowledge of compliance governance, audits, regulatory change, survey response, and sanctions.</x:v>
      </x:c>
      <x:c r="K111" s="90" t="str">
        <x:v>Internal body reviewed</x:v>
      </x:c>
      <x:c r="L111" s="90" t="str">
        <x:v>12-allPoliciesContent.generated.ts — EN-CM-001</x:v>
      </x:c>
      <x:c r="M111" s="90" t="str"/>
    </x:row>
    <x:row r="112" ht="58" customHeight="1">
      <x:c r="A112" s="90" t="str">
        <x:v>EN-CM-002</x:v>
      </x:c>
      <x:c r="B112" s="90" t="str">
        <x:v>Inter-Domain Policy Coordination &amp; Conflict Resolution</x:v>
      </x:c>
      <x:c r="C112" s="90" t="str">
        <x:v>ESSENTIAL</x:v>
      </x:c>
      <x:c r="D112" s="90" t="str">
        <x:v>ACTIVE</x:v>
      </x:c>
      <x:c r="E112" s="90" t="str">
        <x:v>Compliance Officer</x:v>
      </x:c>
      <x:c r="F112" s="90" t="str">
        <x:v>This policy applies to: The Compliance Officer (conflict resolution process owner and final arbitrator for most conflicts) The Administrator (escalation authority) All Domain Owners and Subdomain Owners The Governing Body (final escalation for unresolvable conflicts) ---</x:v>
      </x:c>
      <x:c r="G112" s="90" t="str">
        <x:v>Assign — read + bundled quiz</x:v>
      </x:c>
      <x:c r="H112" s="90" t="str">
        <x:v>ADM</x:v>
      </x:c>
      <x:c r="I112" s="90" t="str">
        <x:v>ADM-03</x:v>
      </x:c>
      <x:c r="J112" s="90" t="str">
        <x:v>Administrator needs decision-level knowledge of compliance governance, audits, regulatory change, survey response, and sanctions.</x:v>
      </x:c>
      <x:c r="K112" s="90" t="str">
        <x:v>Internal body reviewed</x:v>
      </x:c>
      <x:c r="L112" s="90" t="str">
        <x:v>12-allPoliciesContent.generated.ts — EN-CM-002</x:v>
      </x:c>
      <x:c r="M112" s="90" t="str"/>
    </x:row>
    <x:row r="113" ht="58" customHeight="1">
      <x:c r="A113" s="90" t="str">
        <x:v>EN-LC-001</x:v>
      </x:c>
      <x:c r="B113" s="90" t="str">
        <x:v>Policy Lifecycle Control &amp; Version Management</x:v>
      </x:c>
      <x:c r="C113" s="90" t="str">
        <x:v>REQUIRED</x:v>
      </x:c>
      <x:c r="D113" s="90" t="str">
        <x:v>ACTIVE</x:v>
      </x:c>
      <x:c r="E113" s="90" t="str">
        <x:v>Compliance Officer / Administrator</x:v>
      </x:c>
      <x:c r="F113" s="90" t="str">
        <x:v>This policy applies to: * All policy documents registered in the Policy Registry under EN-TG-001 * All draft, active, and archived policies across all 10 governance domains * All Domain Stewards, policy drafters, reviewers, approvers, and publishing custodians * The Compliance…</x:v>
      </x:c>
      <x:c r="G113" s="90" t="str">
        <x:v>Assign — read + bundled quiz</x:v>
      </x:c>
      <x:c r="H113" s="90" t="str">
        <x:v>ADM</x:v>
      </x:c>
      <x:c r="I113" s="90" t="str">
        <x:v>ADM-02</x:v>
      </x:c>
      <x:c r="J113" s="90" t="str">
        <x:v>Administrator operationalizes governance decisions, maintains policy controls, and supports board evidence.</x:v>
      </x:c>
      <x:c r="K113" s="90" t="str">
        <x:v>Internal body reviewed</x:v>
      </x:c>
      <x:c r="L113" s="90" t="str">
        <x:v>12-allPoliciesContent.generated.ts — EN-LC-001</x:v>
      </x:c>
      <x:c r="M113" s="90" t="str"/>
    </x:row>
    <x:row r="114" ht="58" customHeight="1">
      <x:c r="A114" s="90" t="str">
        <x:v>EN-LC-002</x:v>
      </x:c>
      <x:c r="B114" s="90" t="str">
        <x:v>Policy Exception &amp; Waiver Management</x:v>
      </x:c>
      <x:c r="C114" s="90" t="str">
        <x:v>REQUIRED</x:v>
      </x:c>
      <x:c r="D114" s="90" t="str">
        <x:v>ACTIVE</x:v>
      </x:c>
      <x:c r="E114" s="90" t="str">
        <x:v>Compliance Officer</x:v>
      </x:c>
      <x:c r="F114" s="90" t="str">
        <x:v>This policy applies to: All agency staff, contractors, and leadership who seek an exception to any established agency policy The Compliance Officer (exception process owner and approver for most exceptions) The Administrator (approver for REQUIRED-tier exceptions not involving…</x:v>
      </x:c>
      <x:c r="G114" s="90" t="str">
        <x:v>Not a separate scored LMS assignment</x:v>
      </x:c>
      <x:c r="H114" s="90" t="str"/>
      <x:c r="I114" s="90" t="str"/>
      <x:c r="J114" s="90" t="str">
        <x:v>Reviewed — enterprise policy-governance owner procedure; decision-critical items are assigned to ADM/GB.</x:v>
      </x:c>
      <x:c r="K114" s="90" t="str">
        <x:v>Internal body reviewed</x:v>
      </x:c>
      <x:c r="L114" s="90" t="str">
        <x:v>12-allPoliciesContent.generated.ts — EN-LC-002</x:v>
      </x:c>
      <x:c r="M114" s="90" t="str"/>
    </x:row>
    <x:row r="115" ht="58" customHeight="1">
      <x:c r="A115" s="90" t="str">
        <x:v>EN-LC-003</x:v>
      </x:c>
      <x:c r="B115" s="90" t="str">
        <x:v>Policy Assignment and Role-Based Applicability Governance</x:v>
      </x:c>
      <x:c r="C115" s="90" t="str">
        <x:v>REQUIRED</x:v>
      </x:c>
      <x:c r="D115" s="90" t="str">
        <x:v>ACTIVE</x:v>
      </x:c>
      <x:c r="E115" s="90" t="str">
        <x:v>Compliance Officer</x:v>
      </x:c>
      <x:c r="F115" s="90" t="str">
        <x:v>This policy applies to: The Compliance Officer (assignment process owner) The Administrator All Domain Owners and Subdomain Owners HR Director (coordinates role-based assignment with onboarding and role changes) All agency employees, contractors, per diem staff, and governing …</x:v>
      </x:c>
      <x:c r="G115" s="90" t="str">
        <x:v>Assign — read + bundled quiz</x:v>
      </x:c>
      <x:c r="H115" s="90" t="str">
        <x:v>ADM</x:v>
      </x:c>
      <x:c r="I115" s="90" t="str">
        <x:v>ADM-02</x:v>
      </x:c>
      <x:c r="J115" s="90" t="str">
        <x:v>Administrator operationalizes governance decisions, maintains policy controls, and supports board evidence.</x:v>
      </x:c>
      <x:c r="K115" s="90" t="str">
        <x:v>Internal body reviewed</x:v>
      </x:c>
      <x:c r="L115" s="90" t="str">
        <x:v>12-allPoliciesContent.generated.ts — EN-LC-003</x:v>
      </x:c>
      <x:c r="M115" s="90" t="str"/>
    </x:row>
    <x:row r="116" ht="58" customHeight="1">
      <x:c r="A116" s="90" t="str">
        <x:v>EN-LC-004</x:v>
      </x:c>
      <x:c r="B116" s="90" t="str">
        <x:v>Policy Retirement and Obsolescence Management</x:v>
      </x:c>
      <x:c r="C116" s="90" t="str">
        <x:v>REQUIRED</x:v>
      </x:c>
      <x:c r="D116" s="90" t="str">
        <x:v>ACTIVE</x:v>
      </x:c>
      <x:c r="E116" s="90" t="str">
        <x:v>Compliance Officer</x:v>
      </x:c>
      <x:c r="F116" s="90" t="str">
        <x:v>This policy applies to: The Compliance Officer (retirement process owner) The Administrator All Domain Owners and Subdomain Owners The Governing Body (for REQUIRED-tier policy retirements) ---</x:v>
      </x:c>
      <x:c r="G116" s="90" t="str">
        <x:v>Not a separate scored LMS assignment</x:v>
      </x:c>
      <x:c r="H116" s="90" t="str"/>
      <x:c r="I116" s="90" t="str"/>
      <x:c r="J116" s="90" t="str">
        <x:v>Reviewed — enterprise policy-governance owner procedure; decision-critical items are assigned to ADM/GB.</x:v>
      </x:c>
      <x:c r="K116" s="90" t="str">
        <x:v>Internal body reviewed</x:v>
      </x:c>
      <x:c r="L116" s="90" t="str">
        <x:v>12-allPoliciesContent.generated.ts — EN-LC-004</x:v>
      </x:c>
      <x:c r="M116" s="90" t="str"/>
    </x:row>
    <x:row r="117" ht="58" customHeight="1">
      <x:c r="A117" s="90" t="str">
        <x:v>EN-TG-001</x:v>
      </x:c>
      <x:c r="B117" s="90" t="str">
        <x:v>Enterprise Policy Taxonomy &amp; Classification Governance</x:v>
      </x:c>
      <x:c r="C117" s="90" t="str">
        <x:v>REQUIRED</x:v>
      </x:c>
      <x:c r="D117" s="90" t="str">
        <x:v>ACTIVE</x:v>
      </x:c>
      <x:c r="E117" s="90" t="str">
        <x:v>Compliance Officer / Administrator</x:v>
      </x:c>
      <x:c r="F117" s="90" t="str">
        <x:v>This policy applies to: * All policy documents issued under the authority of Care Indeed Home Health Care, Inc. across all 10 governance domains (GV, CL, QA, HR, CO, FN, OP, IT, RM, EN) * All staff responsible for drafting, reviewing, approving, or publishing policy documents …</x:v>
      </x:c>
      <x:c r="G117" s="90" t="str">
        <x:v>Not a separate scored LMS assignment</x:v>
      </x:c>
      <x:c r="H117" s="90" t="str"/>
      <x:c r="I117" s="90" t="str"/>
      <x:c r="J117" s="90" t="str">
        <x:v>Reviewed — enterprise policy-governance owner procedure; decision-critical items are assigned to ADM/GB.</x:v>
      </x:c>
      <x:c r="K117" s="90" t="str">
        <x:v>Internal body reviewed</x:v>
      </x:c>
      <x:c r="L117" s="90" t="str">
        <x:v>12-allPoliciesContent.generated.ts — EN-TG-001</x:v>
      </x:c>
      <x:c r="M117" s="90" t="str"/>
    </x:row>
    <x:row r="118" ht="58" customHeight="1">
      <x:c r="A118" s="90" t="str">
        <x:v>EN-TG-002</x:v>
      </x:c>
      <x:c r="B118" s="90" t="str">
        <x:v>Regulatory Cross-Reference &amp; Mapping</x:v>
      </x:c>
      <x:c r="C118" s="90" t="str">
        <x:v>ESSENTIAL</x:v>
      </x:c>
      <x:c r="D118" s="90" t="str">
        <x:v>ACTIVE</x:v>
      </x:c>
      <x:c r="E118" s="90" t="str">
        <x:v>Compliance Officer</x:v>
      </x:c>
      <x:c r="F118" s="90" t="str">
        <x:v>This policy applies to: The Compliance Officer (primary owner of the cross-reference matrix) The Administrator All Domain Owners responsible for policies that map to regulatory requirements All personnel involved in regulatory change monitoring (per CO-RA-001) All personnel re…</x:v>
      </x:c>
      <x:c r="G118" s="90" t="str">
        <x:v>Not a separate scored LMS assignment</x:v>
      </x:c>
      <x:c r="H118" s="90" t="str"/>
      <x:c r="I118" s="90" t="str"/>
      <x:c r="J118" s="90" t="str">
        <x:v>Reviewed — enterprise policy-governance owner procedure; decision-critical items are assigned to ADM/GB.</x:v>
      </x:c>
      <x:c r="K118" s="90" t="str">
        <x:v>Internal body reviewed</x:v>
      </x:c>
      <x:c r="L118" s="90" t="str">
        <x:v>12-allPoliciesContent.generated.ts — EN-TG-002</x:v>
      </x:c>
      <x:c r="M118" s="90" t="str"/>
    </x:row>
    <x:row r="119" ht="58" customHeight="1">
      <x:c r="A119" s="90" t="str">
        <x:v>FN-BC-001</x:v>
      </x:c>
      <x:c r="B119" s="90" t="str">
        <x:v>Medicare Billing &amp; Claims Submission</x:v>
      </x:c>
      <x:c r="C119" s="90" t="str">
        <x:v>REQUIRED</x:v>
      </x:c>
      <x:c r="D119" s="90" t="str">
        <x:v>ACTIVE</x:v>
      </x:c>
      <x:c r="E119" s="90" t="str">
        <x:v>CFO / Revenue Cycle Director</x:v>
      </x:c>
      <x:c r="F119" s="90" t="str">
        <x:v>This policy applies to: CFO / Revenue Cycle Director All billing coordinators and billing specialists All certified coders performing diagnosis coding or PDGM classification Director of Nursing / Clinical Manager (for clinical documentation completeness and clinical billing co…</x:v>
      </x:c>
      <x:c r="G119" s="90" t="str">
        <x:v>Not a separate scored LMS assignment</x:v>
      </x:c>
      <x:c r="H119" s="90" t="str"/>
      <x:c r="I119" s="90" t="str"/>
      <x:c r="J119" s="90" t="str">
        <x:v>Reviewed — billing/revenue/finance job procedure outside the 12 requested pathways unless mapped to ADM/DON/GB oversight.</x:v>
      </x:c>
      <x:c r="K119" s="90" t="str">
        <x:v>Internal body reviewed</x:v>
      </x:c>
      <x:c r="L119" s="90" t="str">
        <x:v>12-allPoliciesContent.generated.ts — FN-BC-001</x:v>
      </x:c>
      <x:c r="M119" s="90" t="str"/>
    </x:row>
    <x:row r="120" ht="58" customHeight="1">
      <x:c r="A120" s="90" t="str">
        <x:v>FN-BC-002</x:v>
      </x:c>
      <x:c r="B120" s="90" t="str">
        <x:v>Claims Denial Management &amp; Appeals</x:v>
      </x:c>
      <x:c r="C120" s="90" t="str">
        <x:v>REQUIRED__</x:v>
      </x:c>
      <x:c r="D120" s="90" t="str">
        <x:v>ACTIVE__</x:v>
      </x:c>
      <x:c r="E120" s="90" t="str">
        <x:v>CFO / Revenue Cycle Director</x:v>
      </x:c>
      <x:c r="F120" s="90" t="str">
        <x:v>This policy applies to: CFO / Revenue Cycle Director All billing coordinators and billing specialists All certified coders Director of Nursing / Clinical Manager (for clinical denial review) Compliance Officer (for denial pattern analysis and compliance correlation) Administra…</x:v>
      </x:c>
      <x:c r="G120" s="90" t="str">
        <x:v>Not a separate scored LMS assignment</x:v>
      </x:c>
      <x:c r="H120" s="90" t="str"/>
      <x:c r="I120" s="90" t="str"/>
      <x:c r="J120" s="90" t="str">
        <x:v>Reviewed — billing/revenue/finance job procedure outside the 12 requested pathways unless mapped to ADM/DON/GB oversight.</x:v>
      </x:c>
      <x:c r="K120" s="90" t="str">
        <x:v>Internal body reviewed</x:v>
      </x:c>
      <x:c r="L120" s="90" t="str">
        <x:v>12-allPoliciesContent.generated.ts — FN-BC-002</x:v>
      </x:c>
      <x:c r="M120" s="90" t="str"/>
    </x:row>
    <x:row r="121" ht="58" customHeight="1">
      <x:c r="A121" s="90" t="str">
        <x:v>FN-BC-003</x:v>
      </x:c>
      <x:c r="B121" s="90" t="str">
        <x:v>Patient Billing &amp; Financial Responsibility</x:v>
      </x:c>
      <x:c r="C121" s="90" t="str">
        <x:v>REQUIRED</x:v>
      </x:c>
      <x:c r="D121" s="90" t="str">
        <x:v>ACTIVE</x:v>
      </x:c>
      <x:c r="E121" s="90" t="str">
        <x:v>CFO / Revenue Cycle Director</x:v>
      </x:c>
      <x:c r="F121" s="90" t="str">
        <x:v>This policy applies to: CFO / Revenue Cycle Director All billing coordinators and billing specialists All intake coordinators (financial screening at admission) Director of Nursing / Clinical Manager (ABN clinical determinations) Compliance Officer Administrator Any contracted…</x:v>
      </x:c>
      <x:c r="G121" s="90" t="str">
        <x:v>Not a separate scored LMS assignment</x:v>
      </x:c>
      <x:c r="H121" s="90" t="str"/>
      <x:c r="I121" s="90" t="str"/>
      <x:c r="J121" s="90" t="str">
        <x:v>Reviewed — billing/revenue/finance job procedure outside the 12 requested pathways unless mapped to ADM/DON/GB oversight.</x:v>
      </x:c>
      <x:c r="K121" s="90" t="str">
        <x:v>Internal body reviewed</x:v>
      </x:c>
      <x:c r="L121" s="90" t="str">
        <x:v>12-allPoliciesContent.generated.ts — FN-BC-003</x:v>
      </x:c>
      <x:c r="M121" s="90" t="str"/>
    </x:row>
    <x:row r="122" ht="58" customHeight="1">
      <x:c r="A122" s="90" t="str">
        <x:v>FN-BC-004</x:v>
      </x:c>
      <x:c r="B122" s="90" t="str">
        <x:v>Overpayment Identification &amp; Refund</x:v>
      </x:c>
      <x:c r="C122" s="90" t="str">
        <x:v>REQUIRED</x:v>
      </x:c>
      <x:c r="D122" s="90" t="str">
        <x:v>ACTIVE</x:v>
      </x:c>
      <x:c r="E122" s="90" t="str">
        <x:v>CFO / Revenue Cycle Director</x:v>
      </x:c>
      <x:c r="F122" s="90" t="str">
        <x:v>This policy applies to: CFO / Revenue Cycle Director All billing coordinators, billing specialists, and certified coders Compliance Officer (overpayment investigation, reporting, 60-day tracking) Director of Nursing / Clinical Manager (clinical review of clinically-driven over…</x:v>
      </x:c>
      <x:c r="G122" s="90" t="str">
        <x:v>Assign — read + bundled quiz</x:v>
      </x:c>
      <x:c r="H122" s="90" t="str">
        <x:v>ADM, GB</x:v>
      </x:c>
      <x:c r="I122" s="90" t="str">
        <x:v>ADM-07, GB-11</x:v>
      </x:c>
      <x:c r="J122" s="90" t="str">
        <x:v>Covers budget/fraud controls, contracts, licensure, strategic goals, closure, and change of ownership. Board fiduciary oversight includes budget, fraud controls, and prompt overpayment response.</x:v>
      </x:c>
      <x:c r="K122" s="90" t="str">
        <x:v>Internal body reviewed</x:v>
      </x:c>
      <x:c r="L122" s="90" t="str">
        <x:v>12-allPoliciesContent.generated.ts — FN-BC-004</x:v>
      </x:c>
      <x:c r="M122" s="90" t="str"/>
    </x:row>
    <x:row r="123" ht="58" customHeight="1">
      <x:c r="A123" s="90" t="str">
        <x:v>FN-BC-005</x:v>
      </x:c>
      <x:c r="B123" s="90" t="str">
        <x:v>Pre-Claim Review Compliance</x:v>
      </x:c>
      <x:c r="C123" s="90" t="str">
        <x:v>REQUIRED</x:v>
      </x:c>
      <x:c r="D123" s="90" t="str">
        <x:v>ACTIVE</x:v>
      </x:c>
      <x:c r="E123" s="90" t="str">
        <x:v>CFO / Revenue Cycle Director</x:v>
      </x:c>
      <x:c r="F123" s="90" t="str">
        <x:v>This policy applies to: CFO / Revenue Cycle Director All billing coordinators and billing specialists Director of Nursing / Clinical Manager Compliance Officer Administrator All certified coders All clinical documentation staff supporting PCR submissions ---</x:v>
      </x:c>
      <x:c r="G123" s="90" t="str">
        <x:v>Not a separate scored LMS assignment</x:v>
      </x:c>
      <x:c r="H123" s="90" t="str"/>
      <x:c r="I123" s="90" t="str"/>
      <x:c r="J123" s="90" t="str">
        <x:v>Reviewed — billing/revenue/finance job procedure outside the 12 requested pathways unless mapped to ADM/DON/GB oversight.</x:v>
      </x:c>
      <x:c r="K123" s="90" t="str">
        <x:v>Internal body reviewed</x:v>
      </x:c>
      <x:c r="L123" s="90" t="str">
        <x:v>12-allPoliciesContent.generated.ts — FN-BC-005</x:v>
      </x:c>
      <x:c r="M123" s="90" t="str"/>
    </x:row>
    <x:row r="124" ht="58" customHeight="1">
      <x:c r="A124" s="90" t="str">
        <x:v>FN-BC-006</x:v>
      </x:c>
      <x:c r="B124" s="90" t="str">
        <x:v>Request for Anticipated Payment (RAP) / Notice of Admission (NOA) Management</x:v>
      </x:c>
      <x:c r="C124" s="90" t="str">
        <x:v>ESSENTIAL</x:v>
      </x:c>
      <x:c r="D124" s="90" t="str">
        <x:v>ACTIVE</x:v>
      </x:c>
      <x:c r="E124" s="90" t="str">
        <x:v>CFO / Revenue Cycle Director</x:v>
      </x:c>
      <x:c r="F124" s="90" t="str">
        <x:v>This policy applies to: CFO / Revenue Cycle Director All billing coordinators and billing specialists Director of Nursing / Clinical Manager (SOC date coordination) Compliance Officer Intake Coordinators (admission date tracking) ---</x:v>
      </x:c>
      <x:c r="G124" s="90" t="str">
        <x:v>Not a separate scored LMS assignment</x:v>
      </x:c>
      <x:c r="H124" s="90" t="str"/>
      <x:c r="I124" s="90" t="str"/>
      <x:c r="J124" s="90" t="str">
        <x:v>Reviewed — billing/revenue/finance job procedure outside the 12 requested pathways unless mapped to ADM/DON/GB oversight.</x:v>
      </x:c>
      <x:c r="K124" s="90" t="str">
        <x:v>Internal body reviewed</x:v>
      </x:c>
      <x:c r="L124" s="90" t="str">
        <x:v>12-allPoliciesContent.generated.ts — FN-BC-006</x:v>
      </x:c>
      <x:c r="M124" s="90" t="str"/>
    </x:row>
    <x:row r="125" ht="58" customHeight="1">
      <x:c r="A125" s="90" t="str">
        <x:v>FN-BC-007</x:v>
      </x:c>
      <x:c r="B125" s="90" t="str">
        <x:v>Payment &amp; Reimbursement Reconciliation</x:v>
      </x:c>
      <x:c r="C125" s="90" t="str">
        <x:v>REQUIRED</x:v>
      </x:c>
      <x:c r="D125" s="90" t="str">
        <x:v>ACTIVE</x:v>
      </x:c>
      <x:c r="E125" s="90" t="str">
        <x:v>CFO / Revenue Cycle Director</x:v>
      </x:c>
      <x:c r="F125" s="90" t="str">
        <x:v>This policy applies to: CFO / Revenue Cycle Director All billing coordinators and billing specialists Compliance Officer (overpayment identification linkage) Administrator QAPI Coordinator (revenue cycle performance integration) ---</x:v>
      </x:c>
      <x:c r="G125" s="90" t="str">
        <x:v>Not a separate scored LMS assignment</x:v>
      </x:c>
      <x:c r="H125" s="90" t="str"/>
      <x:c r="I125" s="90" t="str"/>
      <x:c r="J125" s="90" t="str">
        <x:v>Reviewed — billing/revenue/finance job procedure outside the 12 requested pathways unless mapped to ADM/DON/GB oversight.</x:v>
      </x:c>
      <x:c r="K125" s="90" t="str">
        <x:v>Internal body reviewed</x:v>
      </x:c>
      <x:c r="L125" s="90" t="str">
        <x:v>12-allPoliciesContent.generated.ts — FN-BC-007</x:v>
      </x:c>
      <x:c r="M125" s="90" t="str"/>
    </x:row>
    <x:row r="126" ht="58" customHeight="1">
      <x:c r="A126" s="90" t="str">
        <x:v>FN-CM-001</x:v>
      </x:c>
      <x:c r="B126" s="90" t="str">
        <x:v>PDGM Classification &amp; Coding Accuracy</x:v>
      </x:c>
      <x:c r="C126" s="90" t="str">
        <x:v>REQUIRED</x:v>
      </x:c>
      <x:c r="D126" s="90" t="str">
        <x:v>ACTIVE__</x:v>
      </x:c>
      <x:c r="E126" s="90" t="str">
        <x:v>CFO / Revenue Cycle Director</x:v>
      </x:c>
      <x:c r="F126" s="90" t="str">
        <x:v>This policy applies to: CFO / Revenue Cycle Director All certified coders performing diagnosis coding or PDGM classification Director of Nursing / Clinical Manager (OASIS accuracy affecting functional level) All OASIS-authorized clinicians (functional scoring) Compliance Offic…</x:v>
      </x:c>
      <x:c r="G126" s="90" t="str">
        <x:v>Assign — read + bundled quiz</x:v>
      </x:c>
      <x:c r="H126" s="90" t="str">
        <x:v>DON</x:v>
      </x:c>
      <x:c r="I126" s="90" t="str">
        <x:v>DON-07</x:v>
      </x:c>
      <x:c r="J126" s="90" t="str">
        <x:v>DON needs decision-level survey readiness, documentation/billing alignment, medical necessity, coding, LUPA, and FWA knowledge.</x:v>
      </x:c>
      <x:c r="K126" s="90" t="str">
        <x:v>Internal body reviewed</x:v>
      </x:c>
      <x:c r="L126" s="90" t="str">
        <x:v>12-allPoliciesContent.generated.ts — FN-CM-001</x:v>
      </x:c>
      <x:c r="M126" s="90" t="str"/>
    </x:row>
    <x:row r="127" ht="58" customHeight="1">
      <x:c r="A127" s="90" t="str">
        <x:v>FN-CM-002</x:v>
      </x:c>
      <x:c r="B127" s="90" t="str">
        <x:v>ICD-10 Coding Standards &amp; Accuracy</x:v>
      </x:c>
      <x:c r="C127" s="90" t="str">
        <x:v>REQUIRED</x:v>
      </x:c>
      <x:c r="D127" s="90" t="str">
        <x:v>ACTIVE</x:v>
      </x:c>
      <x:c r="E127" s="90" t="str">
        <x:v>CFO / Revenue Cycle Director</x:v>
      </x:c>
      <x:c r="F127" s="90" t="str">
        <x:v>This policy applies to: All certified coders performing diagnosis coding CFO / Revenue Cycle Director Director of Nursing / Clinical Manager (physician documentation adequacy) All OASIS-authorized clinicians (diagnosis selection during assessment) Compliance Officer (coding au…</x:v>
      </x:c>
      <x:c r="G127" s="90" t="str">
        <x:v>Assign — read + bundled quiz</x:v>
      </x:c>
      <x:c r="H127" s="90" t="str">
        <x:v>DON</x:v>
      </x:c>
      <x:c r="I127" s="90" t="str">
        <x:v>DON-07</x:v>
      </x:c>
      <x:c r="J127" s="90" t="str">
        <x:v>DON needs decision-level survey readiness, documentation/billing alignment, medical necessity, coding, LUPA, and FWA knowledge.</x:v>
      </x:c>
      <x:c r="K127" s="90" t="str">
        <x:v>Internal body reviewed</x:v>
      </x:c>
      <x:c r="L127" s="90" t="str">
        <x:v>12-allPoliciesContent.generated.ts — FN-CM-002</x:v>
      </x:c>
      <x:c r="M127" s="90" t="str"/>
    </x:row>
    <x:row r="128" ht="58" customHeight="1">
      <x:c r="A128" s="90" t="str">
        <x:v>FN-CM-003</x:v>
      </x:c>
      <x:c r="B128" s="90" t="str">
        <x:v>Medical Necessity Documentation</x:v>
      </x:c>
      <x:c r="C128" s="90" t="str">
        <x:v>REQUIRED</x:v>
      </x:c>
      <x:c r="D128" s="90" t="str">
        <x:v>ACTIVE</x:v>
      </x:c>
      <x:c r="E128" s="90" t="str">
        <x:v>CFO / Revenue Cycle Director</x:v>
      </x:c>
      <x:c r="F128" s="90" t="str">
        <x:v>This policy applies to: Director of Nursing / Clinical Manager (clinical documentation oversight) All clinical staff providing direct patient care (documentation of medical necessity in visit notes) All OASIS-authorized clinicians All certified coders (coding alignment with do…</x:v>
      </x:c>
      <x:c r="G128" s="90" t="str">
        <x:v>Assign — read + bundled quiz</x:v>
      </x:c>
      <x:c r="H128" s="90" t="str">
        <x:v>RN, DON</x:v>
      </x:c>
      <x:c r="I128" s="90" t="str">
        <x:v>RN-08, DON-07</x:v>
      </x:c>
      <x:c r="J128" s="90" t="str">
        <x:v>Links documentation and competency to outcomes, infection surveillance, utilization, and safe field practice. DON needs decision-level survey readiness, documentation/billing alignment, medical necessity, coding, LUPA, and FWA knowledge.</x:v>
      </x:c>
      <x:c r="K128" s="90" t="str">
        <x:v>Internal body reviewed</x:v>
      </x:c>
      <x:c r="L128" s="90" t="str">
        <x:v>12-allPoliciesContent.generated.ts — FN-CM-003</x:v>
      </x:c>
      <x:c r="M128" s="90" t="str"/>
    </x:row>
    <x:row r="129" ht="58" customHeight="1">
      <x:c r="A129" s="90" t="str">
        <x:v>FN-CM-004</x:v>
      </x:c>
      <x:c r="B129" s="90" t="str">
        <x:v>Episode Management &amp; Authorization</x:v>
      </x:c>
      <x:c r="C129" s="90" t="str">
        <x:v>REQUIRED</x:v>
      </x:c>
      <x:c r="D129" s="90" t="str">
        <x:v>ACTIVE</x:v>
      </x:c>
      <x:c r="E129" s="90" t="str">
        <x:v>CFO / Revenue Cycle Director</x:v>
      </x:c>
      <x:c r="F129" s="90" t="str">
        <x:v>This policy applies to: CFO / Revenue Cycle Director All billing coordinators Director of Nursing / Clinical Manager All case managers and clinical coordinators Intake coordinators Compliance Officer ---</x:v>
      </x:c>
      <x:c r="G129" s="90" t="str">
        <x:v>Assign — read + bundled quiz</x:v>
      </x:c>
      <x:c r="H129" s="90" t="str">
        <x:v>DON</x:v>
      </x:c>
      <x:c r="I129" s="90" t="str">
        <x:v>DON-07</x:v>
      </x:c>
      <x:c r="J129" s="90" t="str">
        <x:v>DON needs decision-level survey readiness, documentation/billing alignment, medical necessity, coding, LUPA, and FWA knowledge.</x:v>
      </x:c>
      <x:c r="K129" s="90" t="str">
        <x:v>Internal body reviewed</x:v>
      </x:c>
      <x:c r="L129" s="90" t="str">
        <x:v>12-allPoliciesContent.generated.ts — FN-CM-004</x:v>
      </x:c>
      <x:c r="M129" s="90" t="str"/>
    </x:row>
    <x:row r="130" ht="58" customHeight="1">
      <x:c r="A130" s="90" t="str">
        <x:v>FN-CM-005</x:v>
      </x:c>
      <x:c r="B130" s="90" t="str">
        <x:v>LUPA Prevention &amp; Monitoring</x:v>
      </x:c>
      <x:c r="C130" s="90" t="str">
        <x:v>ESSENTIAL</x:v>
      </x:c>
      <x:c r="D130" s="90" t="str">
        <x:v>ACTIVE</x:v>
      </x:c>
      <x:c r="E130" s="90" t="str">
        <x:v>CFO / Revenue Cycle Director</x:v>
      </x:c>
      <x:c r="F130" s="90" t="str">
        <x:v>This policy applies to: CFO / Revenue Cycle Director Director of Nursing / Clinical Manager All clinical scheduling coordinators All billing coordinators QAPI Coordinator Compliance Officer ---</x:v>
      </x:c>
      <x:c r="G130" s="90" t="str">
        <x:v>Assign — read + bundled quiz</x:v>
      </x:c>
      <x:c r="H130" s="90" t="str">
        <x:v>DON</x:v>
      </x:c>
      <x:c r="I130" s="90" t="str">
        <x:v>DON-07</x:v>
      </x:c>
      <x:c r="J130" s="90" t="str">
        <x:v>DON needs decision-level survey readiness, documentation/billing alignment, medical necessity, coding, LUPA, and FWA knowledge.</x:v>
      </x:c>
      <x:c r="K130" s="90" t="str">
        <x:v>Internal body reviewed</x:v>
      </x:c>
      <x:c r="L130" s="90" t="str">
        <x:v>12-allPoliciesContent.generated.ts — FN-CM-005</x:v>
      </x:c>
      <x:c r="M130" s="90" t="str"/>
    </x:row>
    <x:row r="131" ht="58" customHeight="1">
      <x:c r="A131" s="90" t="str">
        <x:v>FN-FP-001</x:v>
      </x:c>
      <x:c r="B131" s="90" t="str">
        <x:v>Payer Contract Management</x:v>
      </x:c>
      <x:c r="C131" s="90" t="str">
        <x:v>ESSENTIAL</x:v>
      </x:c>
      <x:c r="D131" s="90" t="str">
        <x:v>ACTIVE</x:v>
      </x:c>
      <x:c r="E131" s="90" t="str">
        <x:v>CFO / Revenue Cycle Director</x:v>
      </x:c>
      <x:c r="F131" s="90" t="str">
        <x:v>CFO / Revenue Cycle Director, Administrator, Compliance Officer, Director of Nursing (clinical requirements), billing coordinators, legal counsel (as needed). ---</x:v>
      </x:c>
      <x:c r="G131" s="90" t="str">
        <x:v>Not a separate scored LMS assignment</x:v>
      </x:c>
      <x:c r="H131" s="90" t="str"/>
      <x:c r="I131" s="90" t="str"/>
      <x:c r="J131" s="90" t="str">
        <x:v>Reviewed — billing/revenue/finance job procedure outside the 12 requested pathways unless mapped to ADM/DON/GB oversight.</x:v>
      </x:c>
      <x:c r="K131" s="90" t="str">
        <x:v>Internal body reviewed</x:v>
      </x:c>
      <x:c r="L131" s="90" t="str">
        <x:v>12-allPoliciesContent.generated.ts — FN-FP-001</x:v>
      </x:c>
      <x:c r="M131" s="90" t="str"/>
    </x:row>
    <x:row r="132" ht="58" customHeight="1">
      <x:c r="A132" s="90" t="str">
        <x:v>FN-FP-002</x:v>
      </x:c>
      <x:c r="B132" s="90" t="str">
        <x:v>Charge Capture &amp; Fee Schedule Management</x:v>
      </x:c>
      <x:c r="C132" s="90" t="str">
        <x:v>ESSENTIAL</x:v>
      </x:c>
      <x:c r="D132" s="90" t="str">
        <x:v>ACTIVE</x:v>
      </x:c>
      <x:c r="E132" s="90" t="str">
        <x:v>CFO / Revenue Cycle Director</x:v>
      </x:c>
      <x:c r="F132" s="90" t="str">
        <x:v>This policy applies to: - All billing coordinators and billing specialists. - The Revenue Cycle Director. - The CFO. - Clinical scheduling coordinators responsible for visit logging. - Any contracted billing service performing charge capture functions on behalf of the agency. ---</x:v>
      </x:c>
      <x:c r="G132" s="90" t="str">
        <x:v>Not a separate scored LMS assignment</x:v>
      </x:c>
      <x:c r="H132" s="90" t="str"/>
      <x:c r="I132" s="90" t="str"/>
      <x:c r="J132" s="90" t="str">
        <x:v>Reviewed — billing/revenue/finance job procedure outside the 12 requested pathways unless mapped to ADM/DON/GB oversight.</x:v>
      </x:c>
      <x:c r="K132" s="90" t="str">
        <x:v>Internal body reviewed</x:v>
      </x:c>
      <x:c r="L132" s="90" t="str">
        <x:v>12-allPoliciesContent.generated.ts — FN-FP-002</x:v>
      </x:c>
      <x:c r="M132" s="90" t="str"/>
    </x:row>
    <x:row r="133" ht="58" customHeight="1">
      <x:c r="A133" s="90" t="str">
        <x:v>FN-FP-003</x:v>
      </x:c>
      <x:c r="B133" s="90" t="str">
        <x:v>Revenue Cycle Performance Monitoring</x:v>
      </x:c>
      <x:c r="C133" s="90" t="str">
        <x:v>ESSENTIAL</x:v>
      </x:c>
      <x:c r="D133" s="90" t="str">
        <x:v>ACTIVE</x:v>
      </x:c>
      <x:c r="E133" s="90" t="str">
        <x:v>CFO / Revenue Cycle Director</x:v>
      </x:c>
      <x:c r="F133" s="90" t="str"/>
      <x:c r="G133" s="90" t="str">
        <x:v>Not a separate scored LMS assignment</x:v>
      </x:c>
      <x:c r="H133" s="90" t="str"/>
      <x:c r="I133" s="90" t="str"/>
      <x:c r="J133" s="90" t="str">
        <x:v>Reviewed — billing/revenue/finance job procedure outside the 12 requested pathways unless mapped to ADM/DON/GB oversight.</x:v>
      </x:c>
      <x:c r="K133" s="90" t="str">
        <x:v>Internal body reviewed</x:v>
      </x:c>
      <x:c r="L133" s="90" t="str">
        <x:v>12-allPoliciesContent.generated.ts — FN-FP-003</x:v>
      </x:c>
      <x:c r="M133" s="90" t="str"/>
    </x:row>
    <x:row r="134" ht="58" customHeight="1">
      <x:c r="A134" s="90" t="str">
        <x:v>FN-FP-004</x:v>
      </x:c>
      <x:c r="B134" s="90" t="str">
        <x:v>Bad Debt &amp; Charity Care</x:v>
      </x:c>
      <x:c r="C134" s="90" t="str">
        <x:v>RECOMMENDED</x:v>
      </x:c>
      <x:c r="D134" s="90" t="str">
        <x:v>ACTIVE</x:v>
      </x:c>
      <x:c r="E134" s="90" t="str">
        <x:v>CFO / Revenue Cycle Director</x:v>
      </x:c>
      <x:c r="F134" s="90" t="str">
        <x:v>This policy applies to: - The CFO (authorising party for all write-offs). - The Revenue Cycle Director. - Patient Account / billing personnel responsible for collections and write-off processing. - The Compliance Officer (oversight of charity care policy application). - The Go…</x:v>
      </x:c>
      <x:c r="G134" s="90" t="str">
        <x:v>Not a separate scored LMS assignment</x:v>
      </x:c>
      <x:c r="H134" s="90" t="str"/>
      <x:c r="I134" s="90" t="str"/>
      <x:c r="J134" s="90" t="str">
        <x:v>Reviewed — billing/revenue/finance job procedure outside the 12 requested pathways unless mapped to ADM/DON/GB oversight.</x:v>
      </x:c>
      <x:c r="K134" s="90" t="str">
        <x:v>Internal body reviewed</x:v>
      </x:c>
      <x:c r="L134" s="90" t="str">
        <x:v>12-allPoliciesContent.generated.ts — FN-FP-004</x:v>
      </x:c>
      <x:c r="M134" s="90" t="str"/>
    </x:row>
    <x:row r="135" ht="58" customHeight="1">
      <x:c r="A135" s="90" t="str">
        <x:v>FN-FP-005</x:v>
      </x:c>
      <x:c r="B135" s="90" t="str">
        <x:v>Annual Budget &amp; Financial Planning</x:v>
      </x:c>
      <x:c r="C135" s="90" t="str">
        <x:v>ESSENTIAL</x:v>
      </x:c>
      <x:c r="D135" s="90" t="str">
        <x:v>ACTIVE</x:v>
      </x:c>
      <x:c r="E135" s="90" t="str">
        <x:v>CFO / Revenue Cycle Director</x:v>
      </x:c>
      <x:c r="F135" s="90" t="str"/>
      <x:c r="G135" s="90" t="str">
        <x:v>Assign — read + bundled quiz</x:v>
      </x:c>
      <x:c r="H135" s="90" t="str">
        <x:v>ADM, GB</x:v>
      </x:c>
      <x:c r="I135" s="90" t="str">
        <x:v>ADM-07, GB-11</x:v>
      </x:c>
      <x:c r="J135" s="90" t="str">
        <x:v>Covers budget/fraud controls, contracts, licensure, strategic goals, closure, and change of ownership. Board fiduciary oversight includes budget, fraud controls, and prompt overpayment response.</x:v>
      </x:c>
      <x:c r="K135" s="90" t="str">
        <x:v>Internal body reviewed</x:v>
      </x:c>
      <x:c r="L135" s="90" t="str">
        <x:v>12-allPoliciesContent.generated.ts — FN-FP-005</x:v>
      </x:c>
      <x:c r="M135" s="90" t="str"/>
    </x:row>
    <x:row r="136" ht="58" customHeight="1">
      <x:c r="A136" s="90" t="str">
        <x:v>FN-FP-006</x:v>
      </x:c>
      <x:c r="B136" s="90" t="str">
        <x:v>Supply &amp; Equipment Cost Management</x:v>
      </x:c>
      <x:c r="C136" s="90" t="str">
        <x:v>RECOMMENDED</x:v>
      </x:c>
      <x:c r="D136" s="90" t="str">
        <x:v>ACTIVE</x:v>
      </x:c>
      <x:c r="E136" s="90" t="str">
        <x:v>CFO / Revenue Cycle Director</x:v>
      </x:c>
      <x:c r="F136" s="90" t="str">
        <x:v>This policy applies to: - The CFO (final procurement authorising party for purchases above defined thresholds). - The Administrator. - The Director of Nursing / Clinical Manager (for clinical supply and equipment requisition). - Any designated Procurement Coordinator or Operat…</x:v>
      </x:c>
      <x:c r="G136" s="90" t="str">
        <x:v>Not a separate scored LMS assignment</x:v>
      </x:c>
      <x:c r="H136" s="90" t="str"/>
      <x:c r="I136" s="90" t="str"/>
      <x:c r="J136" s="90" t="str">
        <x:v>Reviewed — billing/revenue/finance job procedure outside the 12 requested pathways unless mapped to ADM/DON/GB oversight.</x:v>
      </x:c>
      <x:c r="K136" s="90" t="str">
        <x:v>Internal body reviewed</x:v>
      </x:c>
      <x:c r="L136" s="90" t="str">
        <x:v>12-allPoliciesContent.generated.ts — FN-FP-006</x:v>
      </x:c>
      <x:c r="M136" s="90" t="str"/>
    </x:row>
    <x:row r="137" ht="58" customHeight="1">
      <x:c r="A137" s="90" t="str">
        <x:v>FN-FP-007</x:v>
      </x:c>
      <x:c r="B137" s="90" t="str">
        <x:v>Financial Compliance &amp; Fraud Monitoring Controls</x:v>
      </x:c>
      <x:c r="C137" s="90" t="str">
        <x:v>ESSENTIAL</x:v>
      </x:c>
      <x:c r="D137" s="90" t="str">
        <x:v>ACTIVE</x:v>
      </x:c>
      <x:c r="E137" s="90" t="str">
        <x:v>CFO / Revenue Cycle Director</x:v>
      </x:c>
      <x:c r="F137" s="90" t="str">
        <x:v>CFO / Revenue Cycle Director, Compliance Officer, Administrator, billing coordinators, certified coders, QAPI Coordinator. ---</x:v>
      </x:c>
      <x:c r="G137" s="90" t="str">
        <x:v>Assign — read + bundled quiz</x:v>
      </x:c>
      <x:c r="H137" s="90" t="str">
        <x:v>ADM, GB</x:v>
      </x:c>
      <x:c r="I137" s="90" t="str">
        <x:v>ADM-07, GB-11</x:v>
      </x:c>
      <x:c r="J137" s="90" t="str">
        <x:v>Covers budget/fraud controls, contracts, licensure, strategic goals, closure, and change of ownership. Board fiduciary oversight includes budget, fraud controls, and prompt overpayment response.</x:v>
      </x:c>
      <x:c r="K137" s="90" t="str">
        <x:v>Internal body reviewed</x:v>
      </x:c>
      <x:c r="L137" s="90" t="str">
        <x:v>12-allPoliciesContent.generated.ts — FN-FP-007</x:v>
      </x:c>
      <x:c r="M137" s="90" t="str"/>
    </x:row>
    <x:row r="138" ht="58" customHeight="1">
      <x:c r="A138" s="90" t="str">
        <x:v>GV-EA-001</x:v>
      </x:c>
      <x:c r="B138" s="90" t="str">
        <x:v>Interagency Agreements &amp; Contracts</x:v>
      </x:c>
      <x:c r="C138" s="90" t="str">
        <x:v>REQUIRED</x:v>
      </x:c>
      <x:c r="D138" s="90" t="str">
        <x:v>ACTIVE</x:v>
      </x:c>
      <x:c r="E138" s="90" t="str">
        <x:v>Administrator</x:v>
      </x:c>
      <x:c r="F138" s="90" t="str">
        <x:v>This policy applies to: All contracts for services provided to or on behalf of Care Indeed Home Health Care, Inc. by third parties, including but not limited to: clinical staffing agencies, therapy contractors, DME suppliers, billing companies, laboratory services, social work…</x:v>
      </x:c>
      <x:c r="G138" s="90" t="str">
        <x:v>Assign — read + bundled quiz</x:v>
      </x:c>
      <x:c r="H138" s="90" t="str">
        <x:v>ADM</x:v>
      </x:c>
      <x:c r="I138" s="90" t="str">
        <x:v>ADM-07</x:v>
      </x:c>
      <x:c r="J138" s="90" t="str">
        <x:v>Covers budget/fraud controls, contracts, licensure, strategic goals, closure, and change of ownership.</x:v>
      </x:c>
      <x:c r="K138" s="90" t="str">
        <x:v>Internal body reviewed</x:v>
      </x:c>
      <x:c r="L138" s="90" t="str">
        <x:v>12-allPoliciesContent.generated.ts — GV-EA-001</x:v>
      </x:c>
      <x:c r="M138" s="90" t="str">
        <x:v>https://www.ecfr.gov/current/title-42/part-484/section-484.105</x:v>
      </x:c>
    </x:row>
    <x:row r="139" ht="58" customHeight="1">
      <x:c r="A139" s="90" t="str">
        <x:v>GV-EA-002</x:v>
      </x:c>
      <x:c r="B139" s="90" t="str">
        <x:v>Community Liaison &amp; Public Relations</x:v>
      </x:c>
      <x:c r="C139" s="90" t="str">
        <x:v>GOOD TO HAVE</x:v>
      </x:c>
      <x:c r="D139" s="90" t="str">
        <x:v>ACTIVE</x:v>
      </x:c>
      <x:c r="E139" s="90" t="str">
        <x:v>Administrator</x:v>
      </x:c>
      <x:c r="F139" s="90" t="str">
        <x:v>This policy applies to: The Administrator and all staff engaged in external marketing, community outreach, or referral development activities Clinical staff who interact with referral sources, discharge planners, or community partners in their professional capacity Contracted …</x:v>
      </x:c>
      <x:c r="G139" s="90" t="str">
        <x:v>Not a separate scored LMS assignment</x:v>
      </x:c>
      <x:c r="H139" s="90" t="str"/>
      <x:c r="I139" s="90" t="str"/>
      <x:c r="J139" s="90" t="str">
        <x:v>Reviewed — governance/agency-owner procedure not requiring a separate employee quiz; decision-critical items are mapped to ADM/GB.</x:v>
      </x:c>
      <x:c r="K139" s="90" t="str">
        <x:v>Internal body reviewed</x:v>
      </x:c>
      <x:c r="L139" s="90" t="str">
        <x:v>12-allPoliciesContent.generated.ts — GV-EA-002</x:v>
      </x:c>
      <x:c r="M139" s="90" t="str">
        <x:v>https://www.ecfr.gov/current/title-42/part-484/section-484.105</x:v>
      </x:c>
    </x:row>
    <x:row r="140" ht="58" customHeight="1">
      <x:c r="A140" s="90" t="str">
        <x:v>GV-EA-003</x:v>
      </x:c>
      <x:c r="B140" s="90" t="str">
        <x:v>Legal Counsel Engagement &amp; Oversight</x:v>
      </x:c>
      <x:c r="C140" s="90" t="str">
        <x:v>RECOMMENDED</x:v>
      </x:c>
      <x:c r="D140" s="90" t="str">
        <x:v>ACTIVE</x:v>
      </x:c>
      <x:c r="E140" s="90" t="str">
        <x:v>Administrator</x:v>
      </x:c>
      <x:c r="F140" s="90" t="str">
        <x:v>This policy applies to: The Administrator and all senior leadership who may identify needs for legal counsel The Compliance Officer, with respect to legal matters arising from compliance investigations The Governing Body, with respect to Tier 4 — Privileged legal matters requi…</x:v>
      </x:c>
      <x:c r="G140" s="90" t="str">
        <x:v>Not a separate scored LMS assignment</x:v>
      </x:c>
      <x:c r="H140" s="90" t="str"/>
      <x:c r="I140" s="90" t="str"/>
      <x:c r="J140" s="90" t="str">
        <x:v>Reviewed — governance/agency-owner procedure not requiring a separate employee quiz; decision-critical items are mapped to ADM/GB.</x:v>
      </x:c>
      <x:c r="K140" s="90" t="str">
        <x:v>Internal body reviewed</x:v>
      </x:c>
      <x:c r="L140" s="90" t="str">
        <x:v>12-allPoliciesContent.generated.ts — GV-EA-003</x:v>
      </x:c>
      <x:c r="M140" s="90" t="str">
        <x:v>https://www.ecfr.gov/current/title-42/part-484/section-484.105</x:v>
      </x:c>
    </x:row>
    <x:row r="141" ht="58" customHeight="1">
      <x:c r="A141" s="90" t="str">
        <x:v>GV-EA-004</x:v>
      </x:c>
      <x:c r="B141" s="90" t="str">
        <x:v>Agency Licensure &amp; Certification Maintenance</x:v>
      </x:c>
      <x:c r="C141" s="90" t="str">
        <x:v>REQUIRED</x:v>
      </x:c>
      <x:c r="D141" s="90" t="str">
        <x:v>ACTIVE</x:v>
      </x:c>
      <x:c r="E141" s="90" t="str">
        <x:v>Administrator</x:v>
      </x:c>
      <x:c r="F141" s="90" t="str">
        <x:v>This policy applies to: The Governing Body of Care Indeed Home Health Care, Inc. (oversight and quarterly verification) The Agency Administrator (primary accountability for credential maintenance) The Compliance Officer (regulatory monitoring and compliance verification) The D…</x:v>
      </x:c>
      <x:c r="G141" s="90" t="str">
        <x:v>Assign — read + bundled quiz</x:v>
      </x:c>
      <x:c r="H141" s="90" t="str">
        <x:v>ADM, GB</x:v>
      </x:c>
      <x:c r="I141" s="90" t="str">
        <x:v>ADM-07, GB-13</x:v>
      </x:c>
      <x:c r="J141" s="90" t="str">
        <x:v>Covers budget/fraud controls, contracts, licensure, strategic goals, closure, and change of ownership. Board members must recognize actions that affect licensure, certification, accreditation, closure, or CHOW.</x:v>
      </x:c>
      <x:c r="K141" s="90" t="str">
        <x:v>Internal body reviewed</x:v>
      </x:c>
      <x:c r="L141" s="90" t="str">
        <x:v>12-allPoliciesContent.generated.ts — GV-EA-004</x:v>
      </x:c>
      <x:c r="M141" s="90" t="str">
        <x:v>https://www.ecfr.gov/current/title-42/part-484/section-484.105</x:v>
      </x:c>
    </x:row>
    <x:row r="142" ht="58" customHeight="1">
      <x:c r="A142" s="90" t="str">
        <x:v>GV-EA-005</x:v>
      </x:c>
      <x:c r="B142" s="90" t="str">
        <x:v>Agency Closure or Change of Ownership</x:v>
      </x:c>
      <x:c r="C142" s="90" t="str">
        <x:v>REQUIRED</x:v>
      </x:c>
      <x:c r="D142" s="90" t="str">
        <x:v>ACTIVE</x:v>
      </x:c>
      <x:c r="E142" s="90" t="str">
        <x:v>Administrator</x:v>
      </x:c>
      <x:c r="F142" s="90" t="str">
        <x:v>This policy applies to: The Governing Body of Care Indeed Home Health Care, Inc. (decision-making authority) The Agency Administrator (operational execution) The Compliance Officer (regulatory compliance coordination) The Director of Nursing / Clinical Manager (patient care tr…</x:v>
      </x:c>
      <x:c r="G142" s="90" t="str">
        <x:v>Assign — read + bundled quiz</x:v>
      </x:c>
      <x:c r="H142" s="90" t="str">
        <x:v>ADM, GB</x:v>
      </x:c>
      <x:c r="I142" s="90" t="str">
        <x:v>ADM-07, GB-13</x:v>
      </x:c>
      <x:c r="J142" s="90" t="str">
        <x:v>Covers budget/fraud controls, contracts, licensure, strategic goals, closure, and change of ownership. Board members must recognize actions that affect licensure, certification, accreditation, closure, or CHOW.</x:v>
      </x:c>
      <x:c r="K142" s="90" t="str">
        <x:v>Internal body reviewed</x:v>
      </x:c>
      <x:c r="L142" s="90" t="str">
        <x:v>12-allPoliciesContent.generated.ts — GV-EA-005</x:v>
      </x:c>
      <x:c r="M142" s="90" t="str">
        <x:v>https://www.ecfr.gov/current/title-42/part-484/section-484.105</x:v>
      </x:c>
    </x:row>
    <x:row r="143" ht="58" customHeight="1">
      <x:c r="A143" s="90" t="str">
        <x:v>GV-GB-002</x:v>
      </x:c>
      <x:c r="B143" s="90" t="str">
        <x:v>Board Meeting &amp; Minutes Requirements</x:v>
      </x:c>
      <x:c r="C143" s="90" t="str">
        <x:v>REQUIRED</x:v>
      </x:c>
      <x:c r="D143" s="90" t="str">
        <x:v>ACTIVE</x:v>
      </x:c>
      <x:c r="E143" s="90" t="str">
        <x:v>Governing Body Chair / Administrator</x:v>
      </x:c>
      <x:c r="F143" s="90" t="str">
        <x:v>This policy applies to: The Governing Body Chair of Care Indeed Home Health Care, Inc. All voting and non-voting members of the Governing Body The Designated Secretary responsible for recording meeting minutes The Agency Administrator The Compliance Officer The Clinical Manage…</x:v>
      </x:c>
      <x:c r="G143" s="90" t="str">
        <x:v>Assign — read + bundled quiz</x:v>
      </x:c>
      <x:c r="H143" s="90" t="str">
        <x:v>ADM, GB</x:v>
      </x:c>
      <x:c r="I143" s="90" t="str">
        <x:v>ADM-02, GB-02</x:v>
      </x:c>
      <x:c r="J143" s="90" t="str">
        <x:v>Administrator operationalizes governance decisions, maintains policy controls, and supports board evidence. Board members need meeting, quorum, minutes, and record expectations.</x:v>
      </x:c>
      <x:c r="K143" s="90" t="str">
        <x:v>Internal body reviewed</x:v>
      </x:c>
      <x:c r="L143" s="90" t="str">
        <x:v>12-allPoliciesContent.generated.ts — GV-GB-002</x:v>
      </x:c>
      <x:c r="M143" s="90" t="str">
        <x:v>https://www.ecfr.gov/current/title-42/part-484/section-484.105</x:v>
      </x:c>
    </x:row>
    <x:row r="144" ht="58" customHeight="1">
      <x:c r="A144" s="90" t="str">
        <x:v>GV-GB-003</x:v>
      </x:c>
      <x:c r="B144" s="90" t="str">
        <x:v>Conflict of Interest Disclosure</x:v>
      </x:c>
      <x:c r="C144" s="90" t="str">
        <x:v>REQUIRED</x:v>
      </x:c>
      <x:c r="D144" s="90" t="str">
        <x:v>ACTIVE</x:v>
      </x:c>
      <x:c r="E144" s="90" t="str">
        <x:v>Governing Body</x:v>
      </x:c>
      <x:c r="F144" s="90" t="str">
        <x:v>This policy applies to: All voting and non-voting members of the Governing Body of Care Indeed Home Health Care, Inc. The Agency Administrator The Director of Nursing / Clinical Manager The Compliance Officer Any contracted management entity or individual performing governing …</x:v>
      </x:c>
      <x:c r="G144" s="90" t="str">
        <x:v>Assign — read + bundled quiz</x:v>
      </x:c>
      <x:c r="H144" s="90" t="str">
        <x:v>ADM, GB</x:v>
      </x:c>
      <x:c r="I144" s="90" t="str">
        <x:v>ADM-02, GB-03</x:v>
      </x:c>
      <x:c r="J144" s="90" t="str">
        <x:v>Administrator operationalizes governance decisions, maintains policy controls, and supports board evidence. Board decisions require disclosure, recusal, ethics, and referral-law awareness.</x:v>
      </x:c>
      <x:c r="K144" s="90" t="str">
        <x:v>Internal body reviewed</x:v>
      </x:c>
      <x:c r="L144" s="90" t="str">
        <x:v>12-allPoliciesContent.generated.ts — GV-GB-003</x:v>
      </x:c>
      <x:c r="M144" s="90" t="str">
        <x:v>https://www.ecfr.gov/current/title-42/part-484/section-484.105</x:v>
      </x:c>
    </x:row>
    <x:row r="145" ht="58" customHeight="1">
      <x:c r="A145" s="90" t="str">
        <x:v>GV-GB-004</x:v>
      </x:c>
      <x:c r="B145" s="90" t="str">
        <x:v>Succession Planning for Key Leadership</x:v>
      </x:c>
      <x:c r="C145" s="90" t="str">
        <x:v>ESSENTIAL</x:v>
      </x:c>
      <x:c r="D145" s="90" t="str">
        <x:v>ACTIVE</x:v>
      </x:c>
      <x:c r="E145" s="90" t="str">
        <x:v>Administrator</x:v>
      </x:c>
      <x:c r="F145" s="90" t="str">
        <x:v>This policy applies to: The Governing Body of Care Indeed Home Health Care, Inc. The Governing Body Chair The Agency Administrator The Director of Nursing / Clinical Manager The Compliance Officer The HR Director (in support of succession candidate identification and readiness…</x:v>
      </x:c>
      <x:c r="G145" s="90" t="str">
        <x:v>Assign — read + bundled quiz</x:v>
      </x:c>
      <x:c r="H145" s="90" t="str">
        <x:v>ADM, GB</x:v>
      </x:c>
      <x:c r="I145" s="90" t="str">
        <x:v>ADM-02, GB-04</x:v>
      </x:c>
      <x:c r="J145" s="90" t="str">
        <x:v>Administrator operationalizes governance decisions, maintains policy controls, and supports board evidence. Board members must know leadership succession and delegated-authority limits.</x:v>
      </x:c>
      <x:c r="K145" s="90" t="str">
        <x:v>Internal body reviewed</x:v>
      </x:c>
      <x:c r="L145" s="90" t="str">
        <x:v>12-allPoliciesContent.generated.ts — GV-GB-004</x:v>
      </x:c>
      <x:c r="M145" s="90" t="str">
        <x:v>https://www.ecfr.gov/current/title-42/part-484/section-484.105</x:v>
      </x:c>
    </x:row>
    <x:row r="146" ht="58" customHeight="1">
      <x:c r="A146" s="90" t="str">
        <x:v>GV-GB-005</x:v>
      </x:c>
      <x:c r="B146" s="90" t="str">
        <x:v>Annual Governance Self-Assessment</x:v>
      </x:c>
      <x:c r="C146" s="90" t="str">
        <x:v>RECOMMENDED</x:v>
      </x:c>
      <x:c r="D146" s="90" t="str">
        <x:v>ACTIVE</x:v>
      </x:c>
      <x:c r="E146" s="90" t="str">
        <x:v>Governing Body</x:v>
      </x:c>
      <x:c r="F146" s="90" t="str">
        <x:v>This policy applies to: All voting and non-voting members of the Governing Body of Care Indeed Home Health Care, Inc. The Governing Body Chair (primary responsibility for process administration) The Agency Administrator (support role — logistics, scheduling, record maintenance…</x:v>
      </x:c>
      <x:c r="G146" s="90" t="str">
        <x:v>Assign — read + bundled quiz</x:v>
      </x:c>
      <x:c r="H146" s="90" t="str">
        <x:v>ADM, GB</x:v>
      </x:c>
      <x:c r="I146" s="90" t="str">
        <x:v>ADM-02, GB-05</x:v>
      </x:c>
      <x:c r="J146" s="90" t="str">
        <x:v>Administrator operationalizes governance decisions, maintains policy controls, and supports board evidence. Annual self-assessment is a governance accountability control.</x:v>
      </x:c>
      <x:c r="K146" s="90" t="str">
        <x:v>Internal body reviewed</x:v>
      </x:c>
      <x:c r="L146" s="90" t="str">
        <x:v>12-allPoliciesContent.generated.ts — GV-GB-005</x:v>
      </x:c>
      <x:c r="M146" s="90" t="str">
        <x:v>https://www.ecfr.gov/current/title-42/part-484/section-484.105</x:v>
      </x:c>
    </x:row>
    <x:row r="147" ht="58" customHeight="1">
      <x:c r="A147" s="90" t="str">
        <x:v>GV-OG-001</x:v>
      </x:c>
      <x:c r="B147" s="90" t="str">
        <x:v>Organizational Structure &amp; Reporting</x:v>
      </x:c>
      <x:c r="C147" s="90" t="str">
        <x:v>REQUIRED</x:v>
      </x:c>
      <x:c r="D147" s="90" t="str">
        <x:v>ACTIVE</x:v>
      </x:c>
      <x:c r="E147" s="90" t="str">
        <x:v>Administrator</x:v>
      </x:c>
      <x:c r="F147" s="90" t="str">
        <x:v>This policy applies to: The Governing Body of Care Indeed Home Health Care, Inc. The Agency Administrator The Director of Nursing / Clinical Manager The Compliance Officer All department heads, supervisors, and managers All clinical and non-clinical employees, contractors, and…</x:v>
      </x:c>
      <x:c r="G147" s="90" t="str">
        <x:v>Assign — read + bundled quiz</x:v>
      </x:c>
      <x:c r="H147" s="90" t="str">
        <x:v>General, ADM, GB</x:v>
      </x:c>
      <x:c r="I147" s="90" t="str">
        <x:v>G-01, ADM-01, GB-06</x:v>
      </x:c>
      <x:c r="J147" s="90" t="str">
        <x:v>Sets the agency, service scope, reporting structure, and employee duty to read and attest to applicable policies. The Administrator must understand delegated authority, reporting, agency scope, and accountability to the Governing Body. Board oversight depends on organizational lines, administrator accountability, and approved service scope.</x:v>
      </x:c>
      <x:c r="K147" s="90" t="str">
        <x:v>Internal body reviewed</x:v>
      </x:c>
      <x:c r="L147" s="90" t="str">
        <x:v>12-allPoliciesContent.generated.ts — GV-OG-001</x:v>
      </x:c>
      <x:c r="M147" s="90" t="str">
        <x:v>https://www.ecfr.gov/current/title-42/part-484/section-484.105</x:v>
      </x:c>
    </x:row>
    <x:row r="148" ht="58" customHeight="1">
      <x:c r="A148" s="90" t="str">
        <x:v>GV-OG-002</x:v>
      </x:c>
      <x:c r="B148" s="90" t="str">
        <x:v>Administrator Qualifications &amp; Responsibilities</x:v>
      </x:c>
      <x:c r="C148" s="90" t="str">
        <x:v>REQUIRED</x:v>
      </x:c>
      <x:c r="D148" s="90" t="str">
        <x:v>ACTIVE</x:v>
      </x:c>
      <x:c r="E148" s="90" t="str">
        <x:v>Governing Body</x:v>
      </x:c>
      <x:c r="F148" s="90" t="str">
        <x:v>This policy applies to: The Governing Body of Care Indeed Home Health Care, Inc. (as the appointing authority) The current Administrator Any individual being considered for appointment as Administrator The Administrator Designee (GV-OG-005, HR-JD-002) The Director of Nursing /…</x:v>
      </x:c>
      <x:c r="G148" s="90" t="str">
        <x:v>Assign — read + bundled quiz</x:v>
      </x:c>
      <x:c r="H148" s="90" t="str">
        <x:v>ADM, DON, GB</x:v>
      </x:c>
      <x:c r="I148" s="90" t="str">
        <x:v>ADM-01, DON-01, GB-06</x:v>
      </x:c>
      <x:c r="J148" s="90" t="str">
        <x:v>The Administrator must understand delegated authority, reporting, agency scope, and accountability to the Governing Body. Defines clinical authority, designee rules, reporting, and delegation boundaries. Board oversight depends on organizational lines, administrator accountability, and approved service scope.</x:v>
      </x:c>
      <x:c r="K148" s="90" t="str">
        <x:v>Internal body reviewed</x:v>
      </x:c>
      <x:c r="L148" s="90" t="str">
        <x:v>12-allPoliciesContent.generated.ts — GV-OG-002</x:v>
      </x:c>
      <x:c r="M148" s="90" t="str">
        <x:v>https://www.ecfr.gov/current/title-42/part-484/section-484.105</x:v>
      </x:c>
    </x:row>
    <x:row r="149" ht="58" customHeight="1">
      <x:c r="A149" s="90" t="str">
        <x:v>GV-OG-003</x:v>
      </x:c>
      <x:c r="B149" s="90" t="str">
        <x:v>Scope of Services Definition</x:v>
      </x:c>
      <x:c r="C149" s="90" t="str">
        <x:v>REQUIRED</x:v>
      </x:c>
      <x:c r="D149" s="90" t="str">
        <x:v>ACTIVE</x:v>
      </x:c>
      <x:c r="E149" s="90" t="str">
        <x:v>Administrator</x:v>
      </x:c>
      <x:c r="F149" s="90" t="str">
        <x:v>--- This policy applies to: The Governing Body of Care Indeed Home Health Care, Inc. The Agency Administrator The Director of Nursing / Clinical Manager All department heads and clinical supervisors All intake and admissions staff All clinical staff involved in service deliver…</x:v>
      </x:c>
      <x:c r="G149" s="90" t="str">
        <x:v>Assign — read + bundled quiz</x:v>
      </x:c>
      <x:c r="H149" s="90" t="str">
        <x:v>General, ADM, GB</x:v>
      </x:c>
      <x:c r="I149" s="90" t="str">
        <x:v>G-01, ADM-01, GB-06</x:v>
      </x:c>
      <x:c r="J149" s="90" t="str">
        <x:v>Sets the agency, service scope, reporting structure, and employee duty to read and attest to applicable policies. The Administrator must understand delegated authority, reporting, agency scope, and accountability to the Governing Body. Board oversight depends on organizational lines, administrator accountability, and approved service scope.</x:v>
      </x:c>
      <x:c r="K149" s="90" t="str">
        <x:v>Internal body reviewed</x:v>
      </x:c>
      <x:c r="L149" s="90" t="str">
        <x:v>12-allPoliciesContent.generated.ts — GV-OG-003</x:v>
      </x:c>
      <x:c r="M149" s="90" t="str">
        <x:v>https://www.ecfr.gov/current/title-42/part-484/section-484.105</x:v>
      </x:c>
    </x:row>
    <x:row r="150" ht="58" customHeight="1">
      <x:c r="A150" s="90" t="str">
        <x:v>GV-OG-004</x:v>
      </x:c>
      <x:c r="B150" s="90" t="str">
        <x:v>Strategic Planning &amp; Annual Goals</x:v>
      </x:c>
      <x:c r="C150" s="90" t="str">
        <x:v>ESSENTIAL</x:v>
      </x:c>
      <x:c r="D150" s="90" t="str">
        <x:v>ACTIVE</x:v>
      </x:c>
      <x:c r="E150" s="90" t="str">
        <x:v>Administrator</x:v>
      </x:c>
      <x:c r="F150" s="90" t="str">
        <x:v>This policy applies to: The Governing Body of Care Indeed Home Health Care, Inc. The Agency Administrator The Director of Nursing / Clinical Manager The Compliance Officer All department heads and senior leadership personnel The QAPI Coordinator This policy does not apply to c…</x:v>
      </x:c>
      <x:c r="G150" s="90" t="str">
        <x:v>Assign — read + bundled quiz</x:v>
      </x:c>
      <x:c r="H150" s="90" t="str">
        <x:v>ADM, GB</x:v>
      </x:c>
      <x:c r="I150" s="90" t="str">
        <x:v>ADM-07, GB-07</x:v>
      </x:c>
      <x:c r="J150" s="90" t="str">
        <x:v>Covers budget/fraud controls, contracts, licensure, strategic goals, closure, and change of ownership. Board approves and monitors strategic goals.</x:v>
      </x:c>
      <x:c r="K150" s="90" t="str">
        <x:v>Internal body reviewed</x:v>
      </x:c>
      <x:c r="L150" s="90" t="str">
        <x:v>12-allPoliciesContent.generated.ts — GV-OG-004</x:v>
      </x:c>
      <x:c r="M150" s="90" t="str">
        <x:v>https://www.ecfr.gov/current/title-42/part-484/section-484.105</x:v>
      </x:c>
    </x:row>
    <x:row r="151" ht="58" customHeight="1">
      <x:c r="A151" s="90" t="str">
        <x:v>GV-OG-005</x:v>
      </x:c>
      <x:c r="B151" s="90" t="str">
        <x:v>Delegation of Authority</x:v>
      </x:c>
      <x:c r="C151" s="90" t="str">
        <x:v>REQUIRED</x:v>
      </x:c>
      <x:c r="D151" s="90" t="str">
        <x:v>ACTIVE</x:v>
      </x:c>
      <x:c r="E151" s="90" t="str">
        <x:v>Administrator</x:v>
      </x:c>
      <x:c r="F151" s="90" t="str">
        <x:v>This policy applies to: The Governing Body of Care Indeed Home Health Care, Inc. The Agency Administrator The Director of Nursing / Clinical Manager The Compliance Officer All department heads, supervisors, and managers who exercise delegated authority All individuals who have…</x:v>
      </x:c>
      <x:c r="G151" s="90" t="str">
        <x:v>Assign — read + bundled quiz</x:v>
      </x:c>
      <x:c r="H151" s="90" t="str">
        <x:v>ADM, DON, GB</x:v>
      </x:c>
      <x:c r="I151" s="90" t="str">
        <x:v>ADM-01, DON-01, GB-04</x:v>
      </x:c>
      <x:c r="J151" s="90" t="str">
        <x:v>The Administrator must understand delegated authority, reporting, agency scope, and accountability to the Governing Body. Defines clinical authority, designee rules, reporting, and delegation boundaries. Board members must know leadership succession and delegated-authority limits.</x:v>
      </x:c>
      <x:c r="K151" s="90" t="str">
        <x:v>Internal body reviewed</x:v>
      </x:c>
      <x:c r="L151" s="90" t="str">
        <x:v>12-allPoliciesContent.generated.ts — GV-OG-005</x:v>
      </x:c>
      <x:c r="M151" s="90" t="str">
        <x:v>https://www.ecfr.gov/current/title-42/part-484/section-484.105</x:v>
      </x:c>
    </x:row>
    <x:row r="152" ht="58" customHeight="1">
      <x:c r="A152" s="90" t="str">
        <x:v>GV-PM-001</x:v>
      </x:c>
      <x:c r="B152" s="90" t="str">
        <x:v>Policy Development &amp; Approval Process</x:v>
      </x:c>
      <x:c r="C152" s="90" t="str">
        <x:v>REQUIRED</x:v>
      </x:c>
      <x:c r="D152" s="90" t="str">
        <x:v>ACTIVE</x:v>
      </x:c>
      <x:c r="E152" s="90" t="str">
        <x:v>Compliance Officer</x:v>
      </x:c>
      <x:c r="F152" s="90" t="str">
        <x:v>This policy applies to: All individuals who develop, draft, review, approve, or disseminate policies for Care Indeed Home Health Care, Inc. The Governing Body (approval of REQUIRED-tier policies) The Administrator (approval of ESSENTIAL, RECOMMENDED, and GOOD TO HAVE-tier poli…</x:v>
      </x:c>
      <x:c r="G152" s="90" t="str">
        <x:v>Assign — read + bundled quiz</x:v>
      </x:c>
      <x:c r="H152" s="90" t="str">
        <x:v>ADM, GB</x:v>
      </x:c>
      <x:c r="I152" s="90" t="str">
        <x:v>ADM-02, GB-08</x:v>
      </x:c>
      <x:c r="J152" s="90" t="str">
        <x:v>Administrator operationalizes governance decisions, maintains policy controls, and supports board evidence. Board members approve policy controls and verify assignment/attestation governance.</x:v>
      </x:c>
      <x:c r="K152" s="90" t="str">
        <x:v>Internal body reviewed</x:v>
      </x:c>
      <x:c r="L152" s="90" t="str">
        <x:v>12-allPoliciesContent.generated.ts — GV-PM-001</x:v>
      </x:c>
      <x:c r="M152" s="90" t="str">
        <x:v>https://www.ecfr.gov/current/title-42/part-484/section-484.105</x:v>
      </x:c>
    </x:row>
    <x:row r="153" ht="58" customHeight="1">
      <x:c r="A153" s="90" t="str">
        <x:v>GV-PM-002</x:v>
      </x:c>
      <x:c r="B153" s="90" t="str">
        <x:v>Policy Review &amp; Revision Cycle</x:v>
      </x:c>
      <x:c r="C153" s="90" t="str">
        <x:v>REQUIRED</x:v>
      </x:c>
      <x:c r="D153" s="90" t="str">
        <x:v>ACTIVE</x:v>
      </x:c>
      <x:c r="E153" s="90" t="str">
        <x:v>Compliance Officer</x:v>
      </x:c>
      <x:c r="F153" s="90" t="str">
        <x:v>This policy applies to: All 244 policies in the agency's enterprise policy framework (EN-TG-001) The Compliance Officer (policy lifecycle governance) All Policy Owner/Stewards responsible for their assigned policies The Administrator (approval authority for non-REQUIRED-tier r…</x:v>
      </x:c>
      <x:c r="G153" s="90" t="str">
        <x:v>Assign — read + bundled quiz</x:v>
      </x:c>
      <x:c r="H153" s="90" t="str">
        <x:v>ADM, GB</x:v>
      </x:c>
      <x:c r="I153" s="90" t="str">
        <x:v>ADM-02, GB-08</x:v>
      </x:c>
      <x:c r="J153" s="90" t="str">
        <x:v>Administrator operationalizes governance decisions, maintains policy controls, and supports board evidence. Board members approve policy controls and verify assignment/attestation governance.</x:v>
      </x:c>
      <x:c r="K153" s="90" t="str">
        <x:v>Internal body reviewed</x:v>
      </x:c>
      <x:c r="L153" s="90" t="str">
        <x:v>12-allPoliciesContent.generated.ts — GV-PM-002</x:v>
      </x:c>
      <x:c r="M153" s="90" t="str">
        <x:v>https://www.ecfr.gov/current/title-42/part-484/section-484.105</x:v>
      </x:c>
    </x:row>
    <x:row r="154" ht="58" customHeight="1">
      <x:c r="A154" s="90" t="str">
        <x:v>GV-PM-003</x:v>
      </x:c>
      <x:c r="B154" s="90" t="str">
        <x:v>Policy Acknowledgment &amp; Staff Attestation</x:v>
      </x:c>
      <x:c r="C154" s="90" t="str">
        <x:v>REQUIRED</x:v>
      </x:c>
      <x:c r="D154" s="90" t="str">
        <x:v>ACTIVE</x:v>
      </x:c>
      <x:c r="E154" s="90" t="str">
        <x:v>Compliance Officer</x:v>
      </x:c>
      <x:c r="F154" s="90" t="str">
        <x:v>This policy applies to: All employees of Care Indeed Home Health Care, Inc. (full-time, part-time, and per diem) All contracted clinical and non-clinical staff performing services on behalf of the agency All members of the Governing Body All students, interns, and volunteers f…</x:v>
      </x:c>
      <x:c r="G154" s="90" t="str">
        <x:v>Assign — read + bundled quiz</x:v>
      </x:c>
      <x:c r="H154" s="90" t="str">
        <x:v>General, ADM, GB</x:v>
      </x:c>
      <x:c r="I154" s="90" t="str">
        <x:v>G-01, ADM-02, GB-08</x:v>
      </x:c>
      <x:c r="J154" s="90" t="str">
        <x:v>Sets the agency, service scope, reporting structure, and employee duty to read and attest to applicable policies. Administrator operationalizes governance decisions, maintains policy controls, and supports board evidence. Board members approve policy controls and verify assignment/attestation governance.</x:v>
      </x:c>
      <x:c r="K154" s="90" t="str">
        <x:v>Internal body reviewed</x:v>
      </x:c>
      <x:c r="L154" s="90" t="str">
        <x:v>12-allPoliciesContent.generated.ts — GV-PM-003</x:v>
      </x:c>
      <x:c r="M154" s="90" t="str">
        <x:v>https://www.ecfr.gov/current/title-42/part-484/section-484.105</x:v>
      </x:c>
    </x:row>
    <x:row r="155" ht="58" customHeight="1">
      <x:c r="A155" s="90" t="str">
        <x:v>GV-PM-004</x:v>
      </x:c>
      <x:c r="B155" s="90" t="str">
        <x:v>Communication &amp; Notification Standards</x:v>
      </x:c>
      <x:c r="C155" s="90" t="str">
        <x:v>ESSENTIAL</x:v>
      </x:c>
      <x:c r="D155" s="90" t="str">
        <x:v>ACTIVE</x:v>
      </x:c>
      <x:c r="E155" s="90" t="str">
        <x:v>Administrator</x:v>
      </x:c>
      <x:c r="F155" s="90" t="str">
        <x:v>This policy applies to: All employees of Care Indeed Home Health Care, Inc. at all levels All contracted clinical and non-clinical personnel performing services on behalf of the agency The Administrator, Director of Nursing, Compliance Officer, and all department leads The Gov…</x:v>
      </x:c>
      <x:c r="G155" s="90" t="str">
        <x:v>Assign — read + bundled quiz</x:v>
      </x:c>
      <x:c r="H155" s="90" t="str">
        <x:v>General, ADM</x:v>
      </x:c>
      <x:c r="I155" s="90" t="str">
        <x:v>G-01, ADM-02</x:v>
      </x:c>
      <x:c r="J155" s="90" t="str">
        <x:v>Sets the agency, service scope, reporting structure, and employee duty to read and attest to applicable policies. Administrator operationalizes governance decisions, maintains policy controls, and supports board evidence.</x:v>
      </x:c>
      <x:c r="K155" s="90" t="str">
        <x:v>Internal body reviewed</x:v>
      </x:c>
      <x:c r="L155" s="90" t="str">
        <x:v>12-allPoliciesContent.generated.ts — GV-PM-004</x:v>
      </x:c>
      <x:c r="M155" s="90" t="str">
        <x:v>https://www.ecfr.gov/current/title-42/part-484/section-484.105</x:v>
      </x:c>
    </x:row>
    <x:row r="156" ht="58" customHeight="1">
      <x:c r="A156" s="90" t="str">
        <x:v>GV-PM-005</x:v>
      </x:c>
      <x:c r="B156" s="90" t="str">
        <x:v>Stakeholder Grievance &amp; Feedback Management</x:v>
      </x:c>
      <x:c r="C156" s="90" t="str">
        <x:v>ESSENTIAL</x:v>
      </x:c>
      <x:c r="D156" s="90" t="str">
        <x:v>ACTIVE</x:v>
      </x:c>
      <x:c r="E156" s="90" t="str">
        <x:v>Administrator</x:v>
      </x:c>
      <x:c r="F156" s="90" t="str">
        <x:v>This policy applies to: All patients receiving services from Care Indeed Home Health Care, Inc. All family members, legal representatives, and caregivers acting on behalf of patients All agency employees and contracted staff Referral sources, physicians, discharge planners, an…</x:v>
      </x:c>
      <x:c r="G156" s="90" t="str">
        <x:v>Assign — read + bundled quiz</x:v>
      </x:c>
      <x:c r="H156" s="90" t="str">
        <x:v>General, ADM</x:v>
      </x:c>
      <x:c r="I156" s="90" t="str">
        <x:v>G-04, ADM-02</x:v>
      </x:c>
      <x:c r="J156" s="90" t="str">
        <x:v>Every employee must protect patient rights and know immediate abuse and grievance reporting duties. Administrator operationalizes governance decisions, maintains policy controls, and supports board evidence.</x:v>
      </x:c>
      <x:c r="K156" s="90" t="str">
        <x:v>Internal body reviewed</x:v>
      </x:c>
      <x:c r="L156" s="90" t="str">
        <x:v>12-allPoliciesContent.generated.ts — GV-PM-005</x:v>
      </x:c>
      <x:c r="M156" s="90" t="str">
        <x:v>https://www.ecfr.gov/current/title-42/part-484/section-484.105</x:v>
      </x:c>
    </x:row>
    <x:row r="157" ht="58" customHeight="1">
      <x:c r="A157" s="90" t="str">
        <x:v>HR-EH-101</x:v>
      </x:c>
      <x:c r="B157" s="90" t="str">
        <x:v>Employee Health, Exposure &amp; Occupational Clearance</x:v>
      </x:c>
      <x:c r="C157" s="90" t="str">
        <x:v>REQUIRED</x:v>
      </x:c>
      <x:c r="D157" s="90" t="str">
        <x:v>ACTIVE</x:v>
      </x:c>
      <x:c r="E157" s="90" t="str">
        <x:v>HR Director</x:v>
      </x:c>
      <x:c r="F157" s="90" t="str">
        <x:v>This policy applies to all employees, contractors, per diem staff, students, interns, and volunteers who perform direct patient care or have occupational exposure to blood, OPIM, or aerosol transmissible pathogens. ---</x:v>
      </x:c>
      <x:c r="G157" s="90" t="str">
        <x:v>Not a separate scored LMS assignment</x:v>
      </x:c>
      <x:c r="H157" s="90" t="str"/>
      <x:c r="I157" s="90" t="str"/>
      <x:c r="J157" s="90" t="str">
        <x:v>Reviewed — HR owner/personnel-file procedure; employee-facing obligations and supervisor decisions are mapped separately.</x:v>
      </x:c>
      <x:c r="K157" s="90" t="str">
        <x:v>Internal body reviewed</x:v>
      </x:c>
      <x:c r="L157" s="90" t="str">
        <x:v>12-allPoliciesContent.generated.ts — HR-EH-101</x:v>
      </x:c>
      <x:c r="M157" s="90" t="str"/>
    </x:row>
    <x:row r="158" ht="58" customHeight="1">
      <x:c r="A158" s="90" t="str">
        <x:v>HR-ER-001</x:v>
      </x:c>
      <x:c r="B158" s="90" t="str">
        <x:v>Performance Evaluation &amp; Review</x:v>
      </x:c>
      <x:c r="C158" s="90" t="str">
        <x:v>ESSENTIAL</x:v>
      </x:c>
      <x:c r="D158" s="90" t="str">
        <x:v>ACTIVE</x:v>
      </x:c>
      <x:c r="E158" s="90" t="str">
        <x:v>HR Director</x:v>
      </x:c>
      <x:c r="F158" s="90" t="str">
        <x:v>All employees after completion of the introductory/probationary period (90 calendar days). The Administrator's evaluation is conducted by the Governing Body per GV-GB-001 § 6.2.2.4. ---</x:v>
      </x:c>
      <x:c r="G158" s="90" t="str">
        <x:v>Assign — read + bundled quiz</x:v>
      </x:c>
      <x:c r="H158" s="90" t="str">
        <x:v>ADM, DON</x:v>
      </x:c>
      <x:c r="I158" s="90" t="str">
        <x:v>ADM-06, DON-08</x:v>
      </x:c>
      <x:c r="J158" s="90" t="str">
        <x:v>Administrator needs workforce decision rules, training/competency controls, performance, discipline, and supervisory harassment obligations. DON manages staffing, training, occupational clearance, emergencies, risk, performance, and supervisory employment obligations.</x:v>
      </x:c>
      <x:c r="K158" s="90" t="str">
        <x:v>Internal body reviewed</x:v>
      </x:c>
      <x:c r="L158" s="90" t="str">
        <x:v>12-allPoliciesContent.generated.ts — HR-ER-001</x:v>
      </x:c>
      <x:c r="M158" s="90" t="str"/>
    </x:row>
    <x:row r="159" ht="58" customHeight="1">
      <x:c r="A159" s="90" t="str">
        <x:v>HR-ER-002</x:v>
      </x:c>
      <x:c r="B159" s="90" t="str">
        <x:v>Disciplinary Action &amp; Progressive Discipline</x:v>
      </x:c>
      <x:c r="C159" s="90" t="str"/>
      <x:c r="D159" s="90" t="str"/>
      <x:c r="E159" s="90" t="str"/>
      <x:c r="F159" s="90" t="str">
        <x:v>All employees. Does not apply to Governing Body members (governed by GV-GB-001). ---</x:v>
      </x:c>
      <x:c r="G159" s="90" t="str">
        <x:v>Assign — read + bundled quiz</x:v>
      </x:c>
      <x:c r="H159" s="90" t="str">
        <x:v>General, ADM, DON</x:v>
      </x:c>
      <x:c r="I159" s="90" t="str">
        <x:v>G-07, ADM-06, DON-08</x:v>
      </x:c>
      <x:c r="J159" s="90" t="str">
        <x:v>Employees need conduct, grievance, non-discrimination, discipline, and drug-free workplace rules. Administrator needs workforce decision rules, training/competency controls, performance, discipline, and supervisory harassment obligations. DON manages staffing, training, occupational clearance, emergencies, risk, performance, and supervisory employment obligations.</x:v>
      </x:c>
      <x:c r="K159" s="90" t="str">
        <x:v>Internal body reviewed</x:v>
      </x:c>
      <x:c r="L159" s="90" t="str">
        <x:v>12-allPoliciesContent.generated.ts — HR-ER-002</x:v>
      </x:c>
      <x:c r="M159" s="90" t="str"/>
    </x:row>
    <x:row r="160" ht="58" customHeight="1">
      <x:c r="A160" s="90" t="str">
        <x:v>HR-ER-003</x:v>
      </x:c>
      <x:c r="B160" s="90" t="str">
        <x:v>Employee Grievance &amp; Complaint Process</x:v>
      </x:c>
      <x:c r="C160" s="90" t="str"/>
      <x:c r="D160" s="90" t="str"/>
      <x:c r="E160" s="90" t="str"/>
      <x:c r="F160" s="90" t="str">
        <x:v>All employees. Complaints regarding compliance or fraud are additionally governed by CO-CP-006 and CO-CP-007. Harassment complaints follow HR-ER-004. ---</x:v>
      </x:c>
      <x:c r="G160" s="90" t="str">
        <x:v>Assign — read + bundled quiz</x:v>
      </x:c>
      <x:c r="H160" s="90" t="str">
        <x:v>General</x:v>
      </x:c>
      <x:c r="I160" s="90" t="str">
        <x:v>G-07</x:v>
      </x:c>
      <x:c r="J160" s="90" t="str">
        <x:v>Employees need conduct, grievance, non-discrimination, discipline, and drug-free workplace rules.</x:v>
      </x:c>
      <x:c r="K160" s="90" t="str">
        <x:v>Internal body reviewed</x:v>
      </x:c>
      <x:c r="L160" s="90" t="str">
        <x:v>12-allPoliciesContent.generated.ts — HR-ER-003</x:v>
      </x:c>
      <x:c r="M160" s="90" t="str"/>
    </x:row>
    <x:row r="161" ht="58" customHeight="1">
      <x:c r="A161" s="90" t="str">
        <x:v>HR-ER-004</x:v>
      </x:c>
      <x:c r="B161" s="90" t="str">
        <x:v>Anti-Harassment &amp; Non-Discrimination</x:v>
      </x:c>
      <x:c r="C161" s="90" t="str"/>
      <x:c r="D161" s="90" t="str"/>
      <x:c r="E161" s="90" t="str"/>
      <x:c r="F161" s="90" t="str">
        <x:v>All employees, applicants, contractors, vendors, patients, and visitors. Covers all forms of harassment (sexual, racial, religious, age-based, disability-based, and all other protected classes). ---</x:v>
      </x:c>
      <x:c r="G161" s="90" t="str">
        <x:v>Hold — correction required</x:v>
      </x:c>
      <x:c r="H161" s="90" t="str">
        <x:v>General, ADM, DON</x:v>
      </x:c>
      <x:c r="I161" s="90" t="str">
        <x:v>G-07, ADM-06, DON-08</x:v>
      </x:c>
      <x:c r="J161" s="90" t="str">
        <x:v>Employees need conduct, grievance, non-discrimination, discipline, and drug-free workplace rules. Administrator needs workforce decision rules, training/competency controls, performance, discipline, and supervisory harassment obligations. DON manages staffing, training, occupational clearance, emergencies, risk, performance, and supervisory employment obligations.</x:v>
      </x:c>
      <x:c r="K161" s="90" t="str">
        <x:v>Conflict/correction required</x:v>
      </x:c>
      <x:c r="L161" s="90" t="str">
        <x:v>12-allPoliciesContent.generated.ts — HR-ER-004</x:v>
      </x:c>
      <x:c r="M161" s="90" t="str">
        <x:v>https://calcivilrights.ca.gov/Employment/</x:v>
      </x:c>
    </x:row>
    <x:row r="162" ht="58" customHeight="1">
      <x:c r="A162" s="90" t="str">
        <x:v>HR-ER-005</x:v>
      </x:c>
      <x:c r="B162" s="90" t="str">
        <x:v>Substance Abuse &amp; Drug-Free Workplace</x:v>
      </x:c>
      <x:c r="C162" s="90" t="str"/>
      <x:c r="D162" s="90" t="str"/>
      <x:c r="E162" s="90" t="str"/>
      <x:c r="F162" s="90" t="str">
        <x:v>All employees. Pre-employment testing per HR-TA-001. ---</x:v>
      </x:c>
      <x:c r="G162" s="90" t="str">
        <x:v>Assign — read + bundled quiz</x:v>
      </x:c>
      <x:c r="H162" s="90" t="str">
        <x:v>General</x:v>
      </x:c>
      <x:c r="I162" s="90" t="str">
        <x:v>G-07</x:v>
      </x:c>
      <x:c r="J162" s="90" t="str">
        <x:v>Employees need conduct, grievance, non-discrimination, discipline, and drug-free workplace rules.</x:v>
      </x:c>
      <x:c r="K162" s="90" t="str">
        <x:v>Internal body reviewed</x:v>
      </x:c>
      <x:c r="L162" s="90" t="str">
        <x:v>12-allPoliciesContent.generated.ts — HR-ER-005</x:v>
      </x:c>
      <x:c r="M162" s="90" t="str"/>
    </x:row>
    <x:row r="163" ht="58" customHeight="1">
      <x:c r="A163" s="90" t="str">
        <x:v>HR-ER-006</x:v>
      </x:c>
      <x:c r="B163" s="90" t="str">
        <x:v>Separation &amp; Exit Process</x:v>
      </x:c>
      <x:c r="C163" s="90" t="str">
        <x:v>ESSENTIAL</x:v>
      </x:c>
      <x:c r="D163" s="90" t="str">
        <x:v>ACTIVE</x:v>
      </x:c>
      <x:c r="E163" s="90" t="str">
        <x:v>HR Director</x:v>
      </x:c>
      <x:c r="F163" s="90" t="str">
        <x:v>All employees separating from employment with Care Indeed Home Health Care, Inc., regardless of employment type, length of service, or reason for separation. Also applies to HR Director, Administrator, DON, and all managers who participate in the separation process. ---</x:v>
      </x:c>
      <x:c r="G163" s="90" t="str">
        <x:v>Assign — read + bundled quiz</x:v>
      </x:c>
      <x:c r="H163" s="90" t="str">
        <x:v>ADM</x:v>
      </x:c>
      <x:c r="I163" s="90" t="str">
        <x:v>ADM-06</x:v>
      </x:c>
      <x:c r="J163" s="90" t="str">
        <x:v>Administrator needs workforce decision rules, training/competency controls, performance, discipline, and supervisory harassment obligations.</x:v>
      </x:c>
      <x:c r="K163" s="90" t="str">
        <x:v>Internal body reviewed</x:v>
      </x:c>
      <x:c r="L163" s="90" t="str">
        <x:v>12-allPoliciesContent.generated.ts — HR-ER-006</x:v>
      </x:c>
      <x:c r="M163" s="90" t="str"/>
    </x:row>
    <x:row r="164" ht="58" customHeight="1">
      <x:c r="A164" s="90" t="str">
        <x:v>HR-ER-009</x:v>
      </x:c>
      <x:c r="B164" s="90" t="str">
        <x:v>Mandatory Abuse Reporting by Staff</x:v>
      </x:c>
      <x:c r="C164" s="90" t="str">
        <x:v>REQUIRED</x:v>
      </x:c>
      <x:c r="D164" s="90" t="str">
        <x:v>ACTIVE</x:v>
      </x:c>
      <x:c r="E164" s="90" t="str">
        <x:v>HR Director / Administrator</x:v>
      </x:c>
      <x:c r="F164" s="90" t="str">
        <x:v>All employees, contractors, volunteers, and students of Care Indeed Home Health Care, Inc. without exception, including clinical staff, administrative staff, and management. ---</x:v>
      </x:c>
      <x:c r="G164" s="90" t="str">
        <x:v>Assign — read + bundled quiz</x:v>
      </x:c>
      <x:c r="H164" s="90" t="str">
        <x:v>General</x:v>
      </x:c>
      <x:c r="I164" s="90" t="str">
        <x:v>G-04</x:v>
      </x:c>
      <x:c r="J164" s="90" t="str">
        <x:v>Every employee must protect patient rights and know immediate abuse and grievance reporting duties.</x:v>
      </x:c>
      <x:c r="K164" s="90" t="str">
        <x:v>Internal body reviewed</x:v>
      </x:c>
      <x:c r="L164" s="90" t="str">
        <x:v>12-allPoliciesContent.generated.ts — HR-ER-009</x:v>
      </x:c>
      <x:c r="M164" s="90" t="str"/>
    </x:row>
    <x:row r="165" ht="58" customHeight="1">
      <x:c r="A165" s="90" t="str">
        <x:v>HR-JD-000</x:v>
      </x:c>
      <x:c r="B165" s="90" t="str">
        <x:v>Job Description Framework &amp; Organizational Chart</x:v>
      </x:c>
      <x:c r="C165" s="90" t="str">
        <x:v>ESSENTIAL</x:v>
      </x:c>
      <x:c r="D165" s="90" t="str">
        <x:v>ACTIVE</x:v>
      </x:c>
      <x:c r="E165" s="90" t="str">
        <x:v>HR Director</x:v>
      </x:c>
      <x:c r="F165" s="90" t="str">
        <x:v>All positions at Care Indeed Home Health Care, Inc. This policy applies to the HR Director and Administrator for policy administration, and to all supervisors who use job descriptions in their management functions. ---</x:v>
      </x:c>
      <x:c r="G165" s="90" t="str">
        <x:v>Assign — read + bundled quiz</x:v>
      </x:c>
      <x:c r="H165" s="90" t="str">
        <x:v>LVN, RN, HHA, PT, PTA, OT, COTA, SLP, MSW, ADM, DON</x:v>
      </x:c>
      <x:c r="I165" s="90" t="str">
        <x:v>LVN-01, RN-01, HHA-01, PT-01, PTA-01, OT-01, COTA-01, SLP-01, MSW-01, ADM-01, DON-01</x:v>
      </x:c>
      <x:c r="J165" s="90" t="str">
        <x:v>Defines LVN scope, delegation limits, supervision, and the competency gate. Defines RN accountability, delegation, aide supervision, and competency expectations. Defines permitted tasks, prohibited independent decisions, and the duty to follow the aide care plan. Defines PT evaluation/treatment scope and PTA supervision duties. PTA duties must be anchored to a dedicated job description and PT-supervised scope. Def…</x:v>
      </x:c>
      <x:c r="K165" s="90" t="str">
        <x:v>Internal body reviewed</x:v>
      </x:c>
      <x:c r="L165" s="90" t="str">
        <x:v>12-allPoliciesContent.generated.ts — HR-JD-000</x:v>
      </x:c>
      <x:c r="M165" s="90" t="str">
        <x:v>https://www.ecfr.gov/current/title-42/part-484/section-484.105</x:v>
      </x:c>
    </x:row>
    <x:row r="166" ht="58" customHeight="1">
      <x:c r="A166" s="90" t="str">
        <x:v>HR-JD-001</x:v>
      </x:c>
      <x:c r="B166" s="90" t="str">
        <x:v>Administrator — Job Description</x:v>
      </x:c>
      <x:c r="C166" s="90" t="str">
        <x:v>ESSENTIAL</x:v>
      </x:c>
      <x:c r="D166" s="90" t="str">
        <x:v>ACTIVE</x:v>
      </x:c>
      <x:c r="E166" s="90" t="str">
        <x:v>Governing Body / HR Director</x:v>
      </x:c>
      <x:c r="F166" s="90" t="str"/>
      <x:c r="G166" s="90" t="str">
        <x:v>Assign — read + bundled quiz</x:v>
      </x:c>
      <x:c r="H166" s="90" t="str">
        <x:v>ADM, GB</x:v>
      </x:c>
      <x:c r="I166" s="90" t="str">
        <x:v>ADM-01, GB-06</x:v>
      </x:c>
      <x:c r="J166" s="90" t="str">
        <x:v>The Administrator must understand delegated authority, reporting, agency scope, and accountability to the Governing Body. Board oversight depends on organizational lines, administrator accountability, and approved service scope.</x:v>
      </x:c>
      <x:c r="K166" s="90" t="str">
        <x:v>Internal body reviewed</x:v>
      </x:c>
      <x:c r="L166" s="90" t="str">
        <x:v>12-allPoliciesContent.generated.ts — HR-JD-001</x:v>
      </x:c>
      <x:c r="M166" s="90" t="str">
        <x:v>https://www.ecfr.gov/current/title-42/part-484/section-484.105</x:v>
      </x:c>
    </x:row>
    <x:row r="167" ht="58" customHeight="1">
      <x:c r="A167" s="90" t="str">
        <x:v>HR-JD-002</x:v>
      </x:c>
      <x:c r="B167" s="90" t="str">
        <x:v>Administrator Designee — Job Description</x:v>
      </x:c>
      <x:c r="C167" s="90" t="str">
        <x:v>ESSENTIAL</x:v>
      </x:c>
      <x:c r="D167" s="90" t="str">
        <x:v>ACTIVE</x:v>
      </x:c>
      <x:c r="E167" s="90" t="str">
        <x:v>HR Director</x:v>
      </x:c>
      <x:c r="F167" s="90" t="str"/>
      <x:c r="G167" s="90" t="str">
        <x:v>Not a separate scored LMS assignment</x:v>
      </x:c>
      <x:c r="H167" s="90" t="str"/>
      <x:c r="I167" s="90" t="str"/>
      <x:c r="J167" s="90" t="str">
        <x:v>Reviewed — HR owner/personnel-file procedure; employee-facing obligations and supervisor decisions are mapped separately.</x:v>
      </x:c>
      <x:c r="K167" s="90" t="str">
        <x:v>Internal body reviewed</x:v>
      </x:c>
      <x:c r="L167" s="90" t="str">
        <x:v>12-allPoliciesContent.generated.ts — HR-JD-002</x:v>
      </x:c>
      <x:c r="M167" s="90" t="str">
        <x:v>https://www.ecfr.gov/current/title-42/part-484/section-484.105</x:v>
      </x:c>
    </x:row>
    <x:row r="168" ht="58" customHeight="1">
      <x:c r="A168" s="90" t="str">
        <x:v>HR-JD-003</x:v>
      </x:c>
      <x:c r="B168" s="90" t="str">
        <x:v>Director of Nursing / Clinical Manager — Job Description</x:v>
      </x:c>
      <x:c r="C168" s="90" t="str">
        <x:v>REQUIRED</x:v>
      </x:c>
      <x:c r="D168" s="90" t="str">
        <x:v>ACTIVE</x:v>
      </x:c>
      <x:c r="E168" s="90" t="str">
        <x:v>HR Director</x:v>
      </x:c>
      <x:c r="F168" s="90" t="str"/>
      <x:c r="G168" s="90" t="str">
        <x:v>Assign — read + bundled quiz</x:v>
      </x:c>
      <x:c r="H168" s="90" t="str">
        <x:v>DON</x:v>
      </x:c>
      <x:c r="I168" s="90" t="str">
        <x:v>DON-01</x:v>
      </x:c>
      <x:c r="J168" s="90" t="str">
        <x:v>Defines clinical authority, designee rules, reporting, and delegation boundaries.</x:v>
      </x:c>
      <x:c r="K168" s="90" t="str">
        <x:v>Internal body reviewed</x:v>
      </x:c>
      <x:c r="L168" s="90" t="str">
        <x:v>12-allPoliciesContent.generated.ts — HR-JD-003</x:v>
      </x:c>
      <x:c r="M168" s="90" t="str">
        <x:v>https://www.ecfr.gov/current/title-42/part-484/section-484.105</x:v>
      </x:c>
    </x:row>
    <x:row r="169" ht="58" customHeight="1">
      <x:c r="A169" s="90" t="str">
        <x:v>HR-JD-004</x:v>
      </x:c>
      <x:c r="B169" s="90" t="str">
        <x:v>Clinical Designee — Job Description</x:v>
      </x:c>
      <x:c r="C169" s="90" t="str">
        <x:v>ESSENTIAL</x:v>
      </x:c>
      <x:c r="D169" s="90" t="str">
        <x:v>ACTIVE</x:v>
      </x:c>
      <x:c r="E169" s="90" t="str">
        <x:v>HR Director</x:v>
      </x:c>
      <x:c r="F169" s="90" t="str"/>
      <x:c r="G169" s="90" t="str">
        <x:v>Assign — read + bundled quiz</x:v>
      </x:c>
      <x:c r="H169" s="90" t="str">
        <x:v>DON</x:v>
      </x:c>
      <x:c r="I169" s="90" t="str">
        <x:v>DON-01</x:v>
      </x:c>
      <x:c r="J169" s="90" t="str">
        <x:v>Defines clinical authority, designee rules, reporting, and delegation boundaries.</x:v>
      </x:c>
      <x:c r="K169" s="90" t="str">
        <x:v>Internal body reviewed</x:v>
      </x:c>
      <x:c r="L169" s="90" t="str">
        <x:v>12-allPoliciesContent.generated.ts — HR-JD-004</x:v>
      </x:c>
      <x:c r="M169" s="90" t="str">
        <x:v>https://www.ecfr.gov/current/title-42/part-484/section-484.105</x:v>
      </x:c>
    </x:row>
    <x:row r="170" ht="58" customHeight="1">
      <x:c r="A170" s="90" t="str">
        <x:v>HR-JD-007</x:v>
      </x:c>
      <x:c r="B170" s="90" t="str">
        <x:v>Home Health Aide — Job Description</x:v>
      </x:c>
      <x:c r="C170" s="90" t="str">
        <x:v>REQUIRED</x:v>
      </x:c>
      <x:c r="D170" s="90" t="str">
        <x:v>ACTIVE</x:v>
      </x:c>
      <x:c r="E170" s="90" t="str">
        <x:v>HR Director</x:v>
      </x:c>
      <x:c r="F170" s="90" t="str">
        <x:v>| Permitted | Prohibited | | :---- | :---- | | Personal care, bathing, grooming | Medication administration (any route) | | Range of motion exercises (passive) | Wound care/dressing changes (sterile) | | Meal preparation, light housekeeping | IV line management | | Medication …</x:v>
      </x:c>
      <x:c r="G170" s="90" t="str">
        <x:v>Assign — read + bundled quiz</x:v>
      </x:c>
      <x:c r="H170" s="90" t="str">
        <x:v>HHA</x:v>
      </x:c>
      <x:c r="I170" s="90" t="str">
        <x:v>HHA-01</x:v>
      </x:c>
      <x:c r="J170" s="90" t="str">
        <x:v>Defines permitted tasks, prohibited independent decisions, and the duty to follow the aide care plan.</x:v>
      </x:c>
      <x:c r="K170" s="90" t="str">
        <x:v>Internal body reviewed</x:v>
      </x:c>
      <x:c r="L170" s="90" t="str">
        <x:v>12-allPoliciesContent.generated.ts — HR-JD-007</x:v>
      </x:c>
      <x:c r="M170" s="90" t="str">
        <x:v>https://www.ecfr.gov/current/title-42/part-484/section-484.80</x:v>
      </x:c>
    </x:row>
    <x:row r="171" ht="58" customHeight="1">
      <x:c r="A171" s="90" t="str">
        <x:v>HR-JD-011</x:v>
      </x:c>
      <x:c r="B171" s="90" t="str">
        <x:v>Medical Social Worker — Job Description</x:v>
      </x:c>
      <x:c r="C171" s="90" t="str">
        <x:v>REQUIRED</x:v>
      </x:c>
      <x:c r="D171" s="90" t="str">
        <x:v>ACTIVE</x:v>
      </x:c>
      <x:c r="E171" s="90" t="str">
        <x:v>HR Director</x:v>
      </x:c>
      <x:c r="F171" s="90" t="str">
        <x:v>The MSW provides social, not medical, services. MSWs may not perform clinical nursing or therapy procedures. All recommendations for changes to the medical plan of care shall be communicated to the DON or treating physician. ---</x:v>
      </x:c>
      <x:c r="G171" s="90" t="str">
        <x:v>Assign — read + bundled quiz</x:v>
      </x:c>
      <x:c r="H171" s="90" t="str">
        <x:v>MSW</x:v>
      </x:c>
      <x:c r="I171" s="90" t="str">
        <x:v>MSW-01</x:v>
      </x:c>
      <x:c r="J171" s="90" t="str">
        <x:v>MSW duties center on psychosocial assessment, SDOH coordination, documentation, transitions, safety, and reporting.</x:v>
      </x:c>
      <x:c r="K171" s="90" t="str">
        <x:v>Internal body reviewed</x:v>
      </x:c>
      <x:c r="L171" s="90" t="str">
        <x:v>12-allPoliciesContent.generated.ts — HR-JD-011</x:v>
      </x:c>
      <x:c r="M171" s="90" t="str">
        <x:v>https://www.ecfr.gov/current/title-42/part-484/section-484.105</x:v>
      </x:c>
    </x:row>
    <x:row r="172" ht="58" customHeight="1">
      <x:c r="A172" s="90" t="str">
        <x:v>HR-TA-001</x:v>
      </x:c>
      <x:c r="B172" s="90" t="str">
        <x:v>Recruitment &amp; Hiring Standards</x:v>
      </x:c>
      <x:c r="C172" s="90" t="str">
        <x:v>REQUIRED</x:v>
      </x:c>
      <x:c r="D172" s="90" t="str">
        <x:v>ACTIVE</x:v>
      </x:c>
      <x:c r="E172" s="90" t="str">
        <x:v>HR Director</x:v>
      </x:c>
      <x:c r="F172" s="90" t="str">
        <x:v>This policy applies to: The HR Director and all HR department staff involved in recruitment and hiring The Administrator The Director of Nursing / Clinical Manager (for clinical position hiring decisions) All hiring managers and supervisors who participate in candidate evaluat…</x:v>
      </x:c>
      <x:c r="G172" s="90" t="str">
        <x:v>Not a separate scored LMS assignment</x:v>
      </x:c>
      <x:c r="H172" s="90" t="str"/>
      <x:c r="I172" s="90" t="str"/>
      <x:c r="J172" s="90" t="str">
        <x:v>Reviewed — HR owner/personnel-file procedure; employee-facing obligations and supervisor decisions are mapped separately.</x:v>
      </x:c>
      <x:c r="K172" s="90" t="str">
        <x:v>Internal body reviewed</x:v>
      </x:c>
      <x:c r="L172" s="90" t="str">
        <x:v>12-allPoliciesContent.generated.ts — HR-TA-001</x:v>
      </x:c>
      <x:c r="M172" s="90" t="str"/>
    </x:row>
    <x:row r="173" ht="58" customHeight="1">
      <x:c r="A173" s="90" t="str">
        <x:v>HR-TA-002</x:v>
      </x:c>
      <x:c r="B173" s="90" t="str">
        <x:v>Criminal Background Check &amp; Screening</x:v>
      </x:c>
      <x:c r="C173" s="90" t="str">
        <x:v>REQUIRED</x:v>
      </x:c>
      <x:c r="D173" s="90" t="str">
        <x:v>ACTIVE</x:v>
      </x:c>
      <x:c r="E173" s="90" t="str">
        <x:v>HR Director</x:v>
      </x:c>
      <x:c r="F173" s="90" t="str">
        <x:v>This policy applies to: All applicants for employment (full-time, part-time, per diem) at any stage after conditional offer All contracted/staffing agency personnel assigned to work at or on behalf of the agency All current employees subject to periodic rescreening as defined …</x:v>
      </x:c>
      <x:c r="G173" s="90" t="str">
        <x:v>Not a separate scored LMS assignment</x:v>
      </x:c>
      <x:c r="H173" s="90" t="str"/>
      <x:c r="I173" s="90" t="str"/>
      <x:c r="J173" s="90" t="str">
        <x:v>Reviewed — HR owner/personnel-file procedure; employee-facing obligations and supervisor decisions are mapped separately.</x:v>
      </x:c>
      <x:c r="K173" s="90" t="str">
        <x:v>Internal body reviewed</x:v>
      </x:c>
      <x:c r="L173" s="90" t="str">
        <x:v>12-allPoliciesContent.generated.ts — HR-TA-002</x:v>
      </x:c>
      <x:c r="M173" s="90" t="str"/>
    </x:row>
    <x:row r="174" ht="58" customHeight="1">
      <x:c r="A174" s="90" t="str">
        <x:v>HR-TA-003</x:v>
      </x:c>
      <x:c r="B174" s="90" t="str">
        <x:v>OIG/SAM Exclusion Screening</x:v>
      </x:c>
      <x:c r="C174" s="90" t="str">
        <x:v>REQUIRED</x:v>
      </x:c>
      <x:c r="D174" s="90" t="str">
        <x:v>ACTIVE</x:v>
      </x:c>
      <x:c r="E174" s="90" t="str">
        <x:v>HR Director</x:v>
      </x:c>
      <x:c r="F174" s="90" t="str">
        <x:v>This policy applies to: All current and prospective employees (full-time, part-time, per diem) All contracted staff, staffing agency personnel, and independent contractors All Governing Body members (per GV-GB-001 § 6.1.4) All vendors and suppliers with direct or indirect acce…</x:v>
      </x:c>
      <x:c r="G174" s="90" t="str">
        <x:v>Not a separate scored LMS assignment</x:v>
      </x:c>
      <x:c r="H174" s="90" t="str"/>
      <x:c r="I174" s="90" t="str"/>
      <x:c r="J174" s="90" t="str">
        <x:v>Reviewed — HR owner/personnel-file procedure; employee-facing obligations and supervisor decisions are mapped separately.</x:v>
      </x:c>
      <x:c r="K174" s="90" t="str">
        <x:v>Internal body reviewed</x:v>
      </x:c>
      <x:c r="L174" s="90" t="str">
        <x:v>12-allPoliciesContent.generated.ts — HR-TA-003</x:v>
      </x:c>
      <x:c r="M174" s="90" t="str"/>
    </x:row>
    <x:row r="175" ht="58" customHeight="1">
      <x:c r="A175" s="90" t="str">
        <x:v>HR-TA-004</x:v>
      </x:c>
      <x:c r="B175" s="90" t="str">
        <x:v>Licensure &amp; Certification Verification</x:v>
      </x:c>
      <x:c r="C175" s="90" t="str">
        <x:v>REQUIRED</x:v>
      </x:c>
      <x:c r="D175" s="90" t="str">
        <x:v>ACTIVE</x:v>
      </x:c>
      <x:c r="E175" s="90" t="str">
        <x:v>HR Director</x:v>
      </x:c>
      <x:c r="F175" s="90" t="str">
        <x:v>This policy applies to: All Registered Nurses (RN), Licensed Vocational Nurses (LVN), Physical Therapists (PT), Physical Therapist Assistants (PTA), Occupational Therapists (OT), Certified Occupational Therapy Assistants (COTA), Speech-Language Pathologists (SLP), Medical Soci…</x:v>
      </x:c>
      <x:c r="G175" s="90" t="str">
        <x:v>Not a separate scored LMS assignment</x:v>
      </x:c>
      <x:c r="H175" s="90" t="str"/>
      <x:c r="I175" s="90" t="str"/>
      <x:c r="J175" s="90" t="str">
        <x:v>Reviewed — HR owner/personnel-file procedure; employee-facing obligations and supervisor decisions are mapped separately.</x:v>
      </x:c>
      <x:c r="K175" s="90" t="str">
        <x:v>Internal body reviewed</x:v>
      </x:c>
      <x:c r="L175" s="90" t="str">
        <x:v>12-allPoliciesContent.generated.ts — HR-TA-004</x:v>
      </x:c>
      <x:c r="M175" s="90" t="str"/>
    </x:row>
    <x:row r="176" ht="58" customHeight="1">
      <x:c r="A176" s="90" t="str">
        <x:v>HR-TA-005</x:v>
      </x:c>
      <x:c r="B176" s="90" t="str">
        <x:v>Employee Orientation &amp; Onboarding</x:v>
      </x:c>
      <x:c r="C176" s="90" t="str">
        <x:v>REQUIRED</x:v>
      </x:c>
      <x:c r="D176" s="90" t="str">
        <x:v>ACTIVE</x:v>
      </x:c>
      <x:c r="E176" s="90" t="str">
        <x:v>HR Director</x:v>
      </x:c>
      <x:c r="F176" s="90" t="str">
        <x:v>This policy applies to: All newly hired employees (full-time, part-time, per diem) regardless of position All contracted/staffing agency clinical personnel prior to their first patient assignment All individuals transitioning to a new role or department within the agency (role…</x:v>
      </x:c>
      <x:c r="G176" s="90" t="str">
        <x:v>Assign — read + bundled quiz</x:v>
      </x:c>
      <x:c r="H176" s="90" t="str">
        <x:v>General, ADM, DON</x:v>
      </x:c>
      <x:c r="I176" s="90" t="str">
        <x:v>G-01, ADM-06, DON-08</x:v>
      </x:c>
      <x:c r="J176" s="90" t="str">
        <x:v>Sets the agency, service scope, reporting structure, and employee duty to read and attest to applicable policies. Administrator needs workforce decision rules, training/competency controls, performance, discipline, and supervisory harassment obligations. DON manages staffing, training, occupational clearance, emergencies, risk, performance, and supervisory employment obligations.</x:v>
      </x:c>
      <x:c r="K176" s="90" t="str">
        <x:v>Internal body reviewed</x:v>
      </x:c>
      <x:c r="L176" s="90" t="str">
        <x:v>12-allPoliciesContent.generated.ts — HR-TA-005</x:v>
      </x:c>
      <x:c r="M176" s="90" t="str"/>
    </x:row>
    <x:row r="177" ht="58" customHeight="1">
      <x:c r="A177" s="90" t="str">
        <x:v>HR-TA-006</x:v>
      </x:c>
      <x:c r="B177" s="90" t="str">
        <x:v>Job Description &amp; Role Definition</x:v>
      </x:c>
      <x:c r="C177" s="90" t="str">
        <x:v>REQUIRED</x:v>
      </x:c>
      <x:c r="D177" s="90" t="str">
        <x:v>ACTIVE</x:v>
      </x:c>
      <x:c r="E177" s="90" t="str">
        <x:v>HR Director</x:v>
      </x:c>
      <x:c r="F177" s="90" t="str">
        <x:v>This policy applies to: All positions within Care Indeed Home Health Care, Inc. including clinical, administrative, and support roles All hiring managers, supervisors, and department heads responsible for defining or maintaining job descriptions The HR Director and Director of…</x:v>
      </x:c>
      <x:c r="G177" s="90" t="str">
        <x:v>Assign — read + bundled quiz</x:v>
      </x:c>
      <x:c r="H177" s="90" t="str">
        <x:v>LVN, RN, HHA, PT, PTA, OT, COTA, SLP, MSW, ADM, DON</x:v>
      </x:c>
      <x:c r="I177" s="90" t="str">
        <x:v>LVN-01, RN-01, HHA-01, PT-01, PTA-01, OT-01, COTA-01, SLP-01, MSW-01, ADM-06, DON-01, DON-08</x:v>
      </x:c>
      <x:c r="J177" s="90" t="str">
        <x:v>Defines LVN scope, delegation limits, supervision, and the competency gate. Defines RN accountability, delegation, aide supervision, and competency expectations. Defines permitted tasks, prohibited independent decisions, and the duty to follow the aide care plan. Defines PT evaluation/treatment scope and PTA supervision duties. PTA duties must be anchored to a dedicated job description and PT-supervised scope. Def…</x:v>
      </x:c>
      <x:c r="K177" s="90" t="str">
        <x:v>Internal body reviewed</x:v>
      </x:c>
      <x:c r="L177" s="90" t="str">
        <x:v>12-allPoliciesContent.generated.ts — HR-TA-006</x:v>
      </x:c>
      <x:c r="M177" s="90" t="str"/>
    </x:row>
    <x:row r="178" ht="58" customHeight="1">
      <x:c r="A178" s="90" t="str">
        <x:v>HR-TD-001</x:v>
      </x:c>
      <x:c r="B178" s="90" t="str">
        <x:v>Annual Mandatory Training Requirements</x:v>
      </x:c>
      <x:c r="C178" s="90" t="str">
        <x:v>REQUIRED</x:v>
      </x:c>
      <x:c r="D178" s="90" t="str">
        <x:v>ACTIVE</x:v>
      </x:c>
      <x:c r="E178" s="90" t="str">
        <x:v>HR Director__</x:v>
      </x:c>
      <x:c r="F178" s="90" t="str">
        <x:v>This policy applies to: All employees of Care Indeed Home Health Care, Inc. (full-time, part-time, per diem) regardless of position. Contracted staff training requirements are addressed through staffing agency contractual obligations and verified per HR-TA-001 § 6.6. ---</x:v>
      </x:c>
      <x:c r="G178" s="90" t="str">
        <x:v>Assign — read + bundled quiz</x:v>
      </x:c>
      <x:c r="H178" s="90" t="str">
        <x:v>ADM, DON</x:v>
      </x:c>
      <x:c r="I178" s="90" t="str">
        <x:v>ADM-06, DON-08</x:v>
      </x:c>
      <x:c r="J178" s="90" t="str">
        <x:v>Administrator needs workforce decision rules, training/competency controls, performance, discipline, and supervisory harassment obligations. DON manages staffing, training, occupational clearance, emergencies, risk, performance, and supervisory employment obligations.</x:v>
      </x:c>
      <x:c r="K178" s="90" t="str">
        <x:v>Internal body reviewed</x:v>
      </x:c>
      <x:c r="L178" s="90" t="str">
        <x:v>12-allPoliciesContent.generated.ts — HR-TD-001</x:v>
      </x:c>
      <x:c r="M178" s="90" t="str"/>
    </x:row>
    <x:row r="179" ht="58" customHeight="1">
      <x:c r="A179" s="90" t="str">
        <x:v>HR-TD-002</x:v>
      </x:c>
      <x:c r="B179" s="90" t="str">
        <x:v>Continuing Education &amp; Professional Development</x:v>
      </x:c>
      <x:c r="C179" s="90" t="str">
        <x:v>ESSENTIAL</x:v>
      </x:c>
      <x:c r="D179" s="90" t="str">
        <x:v>ACTIVE</x:v>
      </x:c>
      <x:c r="E179" s="90" t="str">
        <x:v>HR Director__</x:v>
      </x:c>
      <x:c r="F179" s="90" t="str">
        <x:v>All licensed/certified professional staff (RN, LVN, PT, PTA, OT, COTA, SLP, MSW) and any other credentialed staff whose licensure or certification requires continuing education. Administrative staff professional development is encouraged but not mandated by this policy. ---</x:v>
      </x:c>
      <x:c r="G179" s="90" t="str">
        <x:v>Not a separate scored LMS assignment</x:v>
      </x:c>
      <x:c r="H179" s="90" t="str"/>
      <x:c r="I179" s="90" t="str"/>
      <x:c r="J179" s="90" t="str">
        <x:v>Reviewed — HR owner/personnel-file procedure; employee-facing obligations and supervisor decisions are mapped separately.</x:v>
      </x:c>
      <x:c r="K179" s="90" t="str">
        <x:v>Internal body reviewed</x:v>
      </x:c>
      <x:c r="L179" s="90" t="str">
        <x:v>12-allPoliciesContent.generated.ts — HR-TD-002</x:v>
      </x:c>
      <x:c r="M179" s="90" t="str"/>
    </x:row>
    <x:row r="180" ht="58" customHeight="1">
      <x:c r="A180" s="90" t="str">
        <x:v>HR-TD-003</x:v>
      </x:c>
      <x:c r="B180" s="90" t="str">
        <x:v>Clinical Staff Competency Evaluation</x:v>
      </x:c>
      <x:c r="C180" s="90" t="str">
        <x:v>REQUIRED</x:v>
      </x:c>
      <x:c r="D180" s="90" t="str">
        <x:v>ACTIVE</x:v>
      </x:c>
      <x:c r="E180" s="90" t="str">
        <x:v>HR Director</x:v>
      </x:c>
      <x:c r="F180" s="90" t="str">
        <x:v>All clinical staff: RN, LVN, PT, PTA, OT, COTA, SLP, MSW, HHA, and any other clinical personnel providing direct or indirect patient care. Contracted clinical staff competency is verified per HR-TA-001 § 6.6. ---</x:v>
      </x:c>
      <x:c r="G180" s="90" t="str">
        <x:v>Assign — read + bundled quiz</x:v>
      </x:c>
      <x:c r="H180" s="90" t="str">
        <x:v>LVN, RN, HHA, PT, PTA, OT, COTA, SLP, MSW, ADM, DON</x:v>
      </x:c>
      <x:c r="I180" s="90" t="str">
        <x:v>LVN-01, RN-01, HHA-02, PT-01, PTA-01, OT-01, COTA-01, SLP-01, MSW-01, ADM-06, DON-04, DON-08</x:v>
      </x:c>
      <x:c r="J180" s="90" t="str">
        <x:v>Defines LVN scope, delegation limits, supervision, and the competency gate. Defines RN accountability, delegation, aide supervision, and competency expectations. Federal competency elements require observation for specified aide tasks and RN-supervised remediation. Defines PT evaluation/treatment scope and PTA supervision duties. PTA duties must be anchored to a dedicated job description and PT-supervised scope. D…</x:v>
      </x:c>
      <x:c r="K180" s="90" t="str">
        <x:v>Internal body reviewed</x:v>
      </x:c>
      <x:c r="L180" s="90" t="str">
        <x:v>12-allPoliciesContent.generated.ts — HR-TD-003</x:v>
      </x:c>
      <x:c r="M180" s="90" t="str"/>
    </x:row>
    <x:row r="181" ht="58" customHeight="1">
      <x:c r="A181" s="90" t="str">
        <x:v>HR-TD-004</x:v>
      </x:c>
      <x:c r="B181" s="90" t="str">
        <x:v>Student &amp; Intern Supervision</x:v>
      </x:c>
      <x:c r="C181" s="90" t="str">
        <x:v>RECOMMENDED</x:v>
      </x:c>
      <x:c r="D181" s="90" t="str">
        <x:v>ACTIVE</x:v>
      </x:c>
      <x:c r="E181" s="90" t="str">
        <x:v>HR Director</x:v>
      </x:c>
      <x:c r="F181" s="90" t="str">
        <x:v>All students and interns from accredited educational programs placed at the agency for clinical rotations, fieldwork, or administrative internships. All staff serving as preceptors or supervisors for students/interns. The Director of Nursing, HR Director, and Administrator. ---</x:v>
      </x:c>
      <x:c r="G181" s="90" t="str">
        <x:v>Not a separate scored LMS assignment</x:v>
      </x:c>
      <x:c r="H181" s="90" t="str"/>
      <x:c r="I181" s="90" t="str"/>
      <x:c r="J181" s="90" t="str">
        <x:v>Reviewed — HR owner/personnel-file procedure; employee-facing obligations and supervisor decisions are mapped separately.</x:v>
      </x:c>
      <x:c r="K181" s="90" t="str">
        <x:v>Internal body reviewed</x:v>
      </x:c>
      <x:c r="L181" s="90" t="str">
        <x:v>12-allPoliciesContent.generated.ts — HR-TD-004</x:v>
      </x:c>
      <x:c r="M181" s="90" t="str"/>
    </x:row>
    <x:row r="182" ht="58" customHeight="1">
      <x:c r="A182" s="90" t="str">
        <x:v>HR-TD-005</x:v>
      </x:c>
      <x:c r="B182" s="90" t="str">
        <x:v>Emergency Preparedness Training &amp; Drills</x:v>
      </x:c>
      <x:c r="C182" s="90" t="str">
        <x:v>REQUIRED</x:v>
      </x:c>
      <x:c r="D182" s="90" t="str">
        <x:v>ACTIVE</x:v>
      </x:c>
      <x:c r="E182" s="90" t="str">
        <x:v>HR Director</x:v>
      </x:c>
      <x:c r="F182" s="90" t="str">
        <x:v>All employees regardless of position. Coordination with OP-FM-005, CL-PR-005, RM-EP-001, RM-EP-002, and RM-EP-003. ---</x:v>
      </x:c>
      <x:c r="G182" s="90" t="str">
        <x:v>Assign — read + bundled quiz</x:v>
      </x:c>
      <x:c r="H182" s="90" t="str">
        <x:v>ADM, DON</x:v>
      </x:c>
      <x:c r="I182" s="90" t="str">
        <x:v>ADM-06, DON-08</x:v>
      </x:c>
      <x:c r="J182" s="90" t="str">
        <x:v>Administrator needs workforce decision rules, training/competency controls, performance, discipline, and supervisory harassment obligations. DON manages staffing, training, occupational clearance, emergencies, risk, performance, and supervisory employment obligations.</x:v>
      </x:c>
      <x:c r="K182" s="90" t="str">
        <x:v>Internal body reviewed</x:v>
      </x:c>
      <x:c r="L182" s="90" t="str">
        <x:v>12-allPoliciesContent.generated.ts — HR-TD-005</x:v>
      </x:c>
      <x:c r="M182" s="90" t="str"/>
    </x:row>
    <x:row r="183" ht="58" customHeight="1">
      <x:c r="A183" s="90" t="str">
        <x:v>HR-TR-101</x:v>
      </x:c>
      <x:c r="B183" s="90" t="str">
        <x:v>Workforce Training, Competency &amp; Policy Acknowledgment</x:v>
      </x:c>
      <x:c r="C183" s="90" t="str">
        <x:v>REQUIRED</x:v>
      </x:c>
      <x:c r="D183" s="90" t="str">
        <x:v>ACTIVE</x:v>
      </x:c>
      <x:c r="E183" s="90" t="str">
        <x:v>HR Director</x:v>
      </x:c>
      <x:c r="F183" s="90" t="str">
        <x:v>This policy applies to all employees, contractors, per diem staff, volunteers, students, and interns of Care Indeed Home Health Care, Inc. All workforce members must complete required training regardless of employment status. ---</x:v>
      </x:c>
      <x:c r="G183" s="90" t="str">
        <x:v>Assign — read + bundled quiz</x:v>
      </x:c>
      <x:c r="H183" s="90" t="str">
        <x:v>General, ADM, DON</x:v>
      </x:c>
      <x:c r="I183" s="90" t="str">
        <x:v>G-01, ADM-06, DON-08</x:v>
      </x:c>
      <x:c r="J183" s="90" t="str">
        <x:v>Sets the agency, service scope, reporting structure, and employee duty to read and attest to applicable policies. Administrator needs workforce decision rules, training/competency controls, performance, discipline, and supervisory harassment obligations. DON manages staffing, training, occupational clearance, emergencies, risk, performance, and supervisory employment obligations.</x:v>
      </x:c>
      <x:c r="K183" s="90" t="str">
        <x:v>Internal body reviewed</x:v>
      </x:c>
      <x:c r="L183" s="90" t="str">
        <x:v>12-allPoliciesContent.generated.ts — HR-TR-101</x:v>
      </x:c>
      <x:c r="M183" s="90" t="str"/>
    </x:row>
    <x:row r="184" ht="58" customHeight="1">
      <x:c r="A184" s="90" t="str">
        <x:v>HR-WM-001</x:v>
      </x:c>
      <x:c r="B184" s="90" t="str">
        <x:v>Staffing Levels &amp; Workload Management</x:v>
      </x:c>
      <x:c r="C184" s="90" t="str">
        <x:v>REQUIRED</x:v>
      </x:c>
      <x:c r="D184" s="90" t="str">
        <x:v>ACTIVE</x:v>
      </x:c>
      <x:c r="E184" s="90" t="str">
        <x:v>HR Director / DON</x:v>
      </x:c>
      <x:c r="F184" s="90" t="str">
        <x:v>All clinical and administrative positions. HR Director and DON are co-responsible for staffing management. ---</x:v>
      </x:c>
      <x:c r="G184" s="90" t="str">
        <x:v>Assign — read + bundled quiz</x:v>
      </x:c>
      <x:c r="H184" s="90" t="str">
        <x:v>ADM, DON</x:v>
      </x:c>
      <x:c r="I184" s="90" t="str">
        <x:v>ADM-06, DON-08</x:v>
      </x:c>
      <x:c r="J184" s="90" t="str">
        <x:v>Administrator needs workforce decision rules, training/competency controls, performance, discipline, and supervisory harassment obligations. DON manages staffing, training, occupational clearance, emergencies, risk, performance, and supervisory employment obligations.</x:v>
      </x:c>
      <x:c r="K184" s="90" t="str">
        <x:v>Internal body reviewed</x:v>
      </x:c>
      <x:c r="L184" s="90" t="str">
        <x:v>12-allPoliciesContent.generated.ts — HR-WM-001</x:v>
      </x:c>
      <x:c r="M184" s="90" t="str"/>
    </x:row>
    <x:row r="185" ht="58" customHeight="1">
      <x:c r="A185" s="90" t="str">
        <x:v>HR-WM-002</x:v>
      </x:c>
      <x:c r="B185" s="90" t="str">
        <x:v>Contractor &amp; Per Diem Staff Management</x:v>
      </x:c>
      <x:c r="C185" s="90" t="str">
        <x:v>REQUIRED</x:v>
      </x:c>
      <x:c r="D185" s="90" t="str">
        <x:v>ACTIVE</x:v>
      </x:c>
      <x:c r="E185" s="90" t="str">
        <x:v>HR Director</x:v>
      </x:c>
      <x:c r="F185" s="90" t="str"/>
      <x:c r="G185" s="90" t="str">
        <x:v>Not a separate scored LMS assignment</x:v>
      </x:c>
      <x:c r="H185" s="90" t="str"/>
      <x:c r="I185" s="90" t="str"/>
      <x:c r="J185" s="90" t="str">
        <x:v>Reviewed — HR owner/personnel-file procedure; employee-facing obligations and supervisor decisions are mapped separately.</x:v>
      </x:c>
      <x:c r="K185" s="90" t="str">
        <x:v>Internal body reviewed</x:v>
      </x:c>
      <x:c r="L185" s="90" t="str">
        <x:v>12-allPoliciesContent.generated.ts — HR-WM-002</x:v>
      </x:c>
      <x:c r="M185" s="90" t="str"/>
    </x:row>
    <x:row r="186" ht="58" customHeight="1">
      <x:c r="A186" s="90" t="str">
        <x:v>HR-WM-003</x:v>
      </x:c>
      <x:c r="B186" s="90" t="str">
        <x:v>Employee Health &amp; Immunization Requirements</x:v>
      </x:c>
      <x:c r="C186" s="90" t="str">
        <x:v>REQUIRED</x:v>
      </x:c>
      <x:c r="D186" s="90" t="str">
        <x:v>ACTIVE</x:v>
      </x:c>
      <x:c r="E186" s="90" t="str">
        <x:v>HR Director / DON</x:v>
      </x:c>
      <x:c r="F186" s="90" t="str"/>
      <x:c r="G186" s="90" t="str">
        <x:v>Assign — read + bundled quiz</x:v>
      </x:c>
      <x:c r="H186" s="90" t="str">
        <x:v>ADM, DON</x:v>
      </x:c>
      <x:c r="I186" s="90" t="str">
        <x:v>ADM-06, DON-08</x:v>
      </x:c>
      <x:c r="J186" s="90" t="str">
        <x:v>Administrator needs workforce decision rules, training/competency controls, performance, discipline, and supervisory harassment obligations. DON manages staffing, training, occupational clearance, emergencies, risk, performance, and supervisory employment obligations.</x:v>
      </x:c>
      <x:c r="K186" s="90" t="str">
        <x:v>Internal body reviewed</x:v>
      </x:c>
      <x:c r="L186" s="90" t="str">
        <x:v>12-allPoliciesContent.generated.ts — HR-WM-003</x:v>
      </x:c>
      <x:c r="M186" s="90" t="str"/>
    </x:row>
    <x:row r="187" ht="58" customHeight="1">
      <x:c r="A187" s="90" t="str">
        <x:v>HR-WM-004</x:v>
      </x:c>
      <x:c r="B187" s="90" t="str">
        <x:v>Workplace Safety &amp; Injury Prevention</x:v>
      </x:c>
      <x:c r="C187" s="90" t="str">
        <x:v>REQUIRED</x:v>
      </x:c>
      <x:c r="D187" s="90" t="str">
        <x:v>ACTIVE</x:v>
      </x:c>
      <x:c r="E187" s="90" t="str">
        <x:v>HR Director</x:v>
      </x:c>
      <x:c r="F187" s="90" t="str"/>
      <x:c r="G187" s="90" t="str">
        <x:v>Assign — read + bundled quiz</x:v>
      </x:c>
      <x:c r="H187" s="90" t="str">
        <x:v>General, ADM, DON</x:v>
      </x:c>
      <x:c r="I187" s="90" t="str">
        <x:v>G-05, ADM-06, DON-08</x:v>
      </x:c>
      <x:c r="J187" s="90" t="str">
        <x:v>All employees need agency-specific hazard, violence, injury, adverse-event, and escalation procedures. Administrator needs workforce decision rules, training/competency controls, performance, discipline, and supervisory harassment obligations. DON manages staffing, training, occupational clearance, emergencies, risk, performance, and supervisory employment obligations.</x:v>
      </x:c>
      <x:c r="K187" s="90" t="str">
        <x:v>Internal body reviewed</x:v>
      </x:c>
      <x:c r="L187" s="90" t="str">
        <x:v>12-allPoliciesContent.generated.ts — HR-WM-004</x:v>
      </x:c>
      <x:c r="M187" s="90" t="str"/>
    </x:row>
    <x:row r="188" ht="58" customHeight="1">
      <x:c r="A188" s="90" t="str">
        <x:v>HR-WM-005</x:v>
      </x:c>
      <x:c r="B188" s="90" t="str">
        <x:v>Employee Personnel File Management</x:v>
      </x:c>
      <x:c r="C188" s="90" t="str">
        <x:v>ESSENTIAL</x:v>
      </x:c>
      <x:c r="D188" s="90" t="str">
        <x:v>ACTIVE</x:v>
      </x:c>
      <x:c r="E188" s="90" t="str">
        <x:v>HR Director</x:v>
      </x:c>
      <x:c r="F188" s="90" t="str"/>
      <x:c r="G188" s="90" t="str">
        <x:v>Not a separate scored LMS assignment</x:v>
      </x:c>
      <x:c r="H188" s="90" t="str"/>
      <x:c r="I188" s="90" t="str"/>
      <x:c r="J188" s="90" t="str">
        <x:v>Reviewed — HR owner/personnel-file procedure; employee-facing obligations and supervisor decisions are mapped separately.</x:v>
      </x:c>
      <x:c r="K188" s="90" t="str">
        <x:v>Internal body reviewed</x:v>
      </x:c>
      <x:c r="L188" s="90" t="str">
        <x:v>12-allPoliciesContent.generated.ts — HR-WM-005</x:v>
      </x:c>
      <x:c r="M188" s="90" t="str"/>
    </x:row>
    <x:row r="189" ht="58" customHeight="1">
      <x:c r="A189" s="90" t="str">
        <x:v>HR-WM-006</x:v>
      </x:c>
      <x:c r="B189" s="90" t="str">
        <x:v>Volunteer Management &amp; Oversight</x:v>
      </x:c>
      <x:c r="C189" s="90" t="str">
        <x:v>SUPPLEMENTAL</x:v>
      </x:c>
      <x:c r="D189" s="90" t="str">
        <x:v>ACTIVE</x:v>
      </x:c>
      <x:c r="E189" s="90" t="str">
        <x:v>HR Director</x:v>
      </x:c>
      <x:c r="F189" s="90" t="str"/>
      <x:c r="G189" s="90" t="str">
        <x:v>Not a separate scored LMS assignment</x:v>
      </x:c>
      <x:c r="H189" s="90" t="str"/>
      <x:c r="I189" s="90" t="str"/>
      <x:c r="J189" s="90" t="str">
        <x:v>Reviewed — HR owner/personnel-file procedure; employee-facing obligations and supervisor decisions are mapped separately.</x:v>
      </x:c>
      <x:c r="K189" s="90" t="str">
        <x:v>Internal body reviewed</x:v>
      </x:c>
      <x:c r="L189" s="90" t="str">
        <x:v>12-allPoliciesContent.generated.ts — HR-WM-006</x:v>
      </x:c>
      <x:c r="M189" s="90" t="str"/>
    </x:row>
    <x:row r="190" ht="58" customHeight="1">
      <x:c r="A190" s="90" t="str">
        <x:v>HR-WM-007</x:v>
      </x:c>
      <x:c r="B190" s="90" t="str">
        <x:v>Personnel File Content &amp; Compliance</x:v>
      </x:c>
      <x:c r="C190" s="90" t="str">
        <x:v>REQUIRED</x:v>
      </x:c>
      <x:c r="D190" s="90" t="str">
        <x:v>ACTIVE</x:v>
      </x:c>
      <x:c r="E190" s="90" t="str">
        <x:v>HR Director</x:v>
      </x:c>
      <x:c r="F190" s="90" t="str"/>
      <x:c r="G190" s="90" t="str">
        <x:v>Assign — read + bundled quiz</x:v>
      </x:c>
      <x:c r="H190" s="90" t="str">
        <x:v>ADM, DON</x:v>
      </x:c>
      <x:c r="I190" s="90" t="str">
        <x:v>ADM-06, DON-08</x:v>
      </x:c>
      <x:c r="J190" s="90" t="str">
        <x:v>Administrator needs workforce decision rules, training/competency controls, performance, discipline, and supervisory harassment obligations. DON manages staffing, training, occupational clearance, emergencies, risk, performance, and supervisory employment obligations.</x:v>
      </x:c>
      <x:c r="K190" s="90" t="str">
        <x:v>Internal body reviewed</x:v>
      </x:c>
      <x:c r="L190" s="90" t="str">
        <x:v>12-allPoliciesContent.generated.ts — HR-WM-007</x:v>
      </x:c>
      <x:c r="M190" s="90" t="str"/>
    </x:row>
    <x:row r="191" ht="58" customHeight="1">
      <x:c r="A191" s="90" t="str">
        <x:v>IT-DR-001</x:v>
      </x:c>
      <x:c r="B191" s="90" t="str">
        <x:v>Data Backup &amp; Recovery</x:v>
      </x:c>
      <x:c r="C191" s="90" t="str">
        <x:v>REQUIRED</x:v>
      </x:c>
      <x:c r="D191" s="90" t="str">
        <x:v>ACTIVE</x:v>
      </x:c>
      <x:c r="E191" s="90" t="str">
        <x:v>IT Director / CISO</x:v>
      </x:c>
      <x:c r="F191" s="90" t="str">
        <x:v>All agency electronic data including EHR/clinical data, OASIS data, financial records, HR records, email, shared files, configuration data, and system state data. All backup media, backup systems, and recovery processes. ---</x:v>
      </x:c>
      <x:c r="G191" s="90" t="str">
        <x:v>Not a separate scored LMS assignment</x:v>
      </x:c>
      <x:c r="H191" s="90" t="str"/>
      <x:c r="I191" s="90" t="str"/>
      <x:c r="J191" s="90" t="str">
        <x:v>Reviewed — IT administrator control; workforce-facing security/use requirements are assigned in G-03.</x:v>
      </x:c>
      <x:c r="K191" s="90" t="str">
        <x:v>Internal body reviewed</x:v>
      </x:c>
      <x:c r="L191" s="90" t="str">
        <x:v>12-allPoliciesContent.generated.ts — IT-DR-001</x:v>
      </x:c>
      <x:c r="M191" s="90" t="str"/>
    </x:row>
    <x:row r="192" ht="58" customHeight="1">
      <x:c r="A192" s="90" t="str">
        <x:v>IT-DR-002</x:v>
      </x:c>
      <x:c r="B192" s="90" t="str">
        <x:v>Disaster Recovery &amp; IT Continuity</x:v>
      </x:c>
      <x:c r="C192" s="90" t="str">
        <x:v>REQUIRED</x:v>
      </x:c>
      <x:c r="D192" s="90" t="str">
        <x:v>ACTIVE</x:v>
      </x:c>
      <x:c r="E192" s="90" t="str">
        <x:v>IT Director / CISO</x:v>
      </x:c>
      <x:c r="F192" s="90" t="str">
        <x:v>This policy applies to: all agency information systems, applications, data repositories, network infrastructure, and technology assets. All workforce members who have defined roles in disaster recovery. All contractors and business associates who provide technology services to…</x:v>
      </x:c>
      <x:c r="G192" s="90" t="str">
        <x:v>Not a separate scored LMS assignment</x:v>
      </x:c>
      <x:c r="H192" s="90" t="str"/>
      <x:c r="I192" s="90" t="str"/>
      <x:c r="J192" s="90" t="str">
        <x:v>Reviewed — IT administrator control; workforce-facing security/use requirements are assigned in G-03.</x:v>
      </x:c>
      <x:c r="K192" s="90" t="str">
        <x:v>Internal body reviewed</x:v>
      </x:c>
      <x:c r="L192" s="90" t="str">
        <x:v>12-allPoliciesContent.generated.ts — IT-DR-002</x:v>
      </x:c>
      <x:c r="M192" s="90" t="str"/>
    </x:row>
    <x:row r="193" ht="58" customHeight="1">
      <x:c r="A193" s="90" t="str">
        <x:v>IT-DR-003</x:v>
      </x:c>
      <x:c r="B193" s="90" t="str">
        <x:v>Audit Log Management &amp; Monitoring</x:v>
      </x:c>
      <x:c r="C193" s="90" t="str">
        <x:v>REQUIRED</x:v>
      </x:c>
      <x:c r="D193" s="90" t="str">
        <x:v>ACTIVE</x:v>
      </x:c>
      <x:c r="E193" s="90" t="str">
        <x:v>IT Director / CISO</x:v>
      </x:c>
      <x:c r="F193" s="90" t="str">
        <x:v>All agency information systems that create, receive, maintain, or transmit ePHI, including: EHR system, billing system, email system, network infrastructure, Active Directory/identity management, workstations, servers, cloud services, VPN, and remote access systems. All IT sta…</x:v>
      </x:c>
      <x:c r="G193" s="90" t="str">
        <x:v>Not a separate scored LMS assignment</x:v>
      </x:c>
      <x:c r="H193" s="90" t="str"/>
      <x:c r="I193" s="90" t="str"/>
      <x:c r="J193" s="90" t="str">
        <x:v>Reviewed — IT administrator control; workforce-facing security/use requirements are assigned in G-03.</x:v>
      </x:c>
      <x:c r="K193" s="90" t="str">
        <x:v>Internal body reviewed</x:v>
      </x:c>
      <x:c r="L193" s="90" t="str">
        <x:v>12-allPoliciesContent.generated.ts — IT-DR-003</x:v>
      </x:c>
      <x:c r="M193" s="90" t="str"/>
    </x:row>
    <x:row r="194" ht="58" customHeight="1">
      <x:c r="A194" s="90" t="str">
        <x:v>IT-DR-004</x:v>
      </x:c>
      <x:c r="B194" s="90" t="str">
        <x:v>Cloud Services &amp; Data Storage</x:v>
      </x:c>
      <x:c r="C194" s="90" t="str">
        <x:v>ESSENTIAL</x:v>
      </x:c>
      <x:c r="D194" s="90" t="str">
        <x:v>ACTIVE</x:v>
      </x:c>
      <x:c r="E194" s="90" t="str">
        <x:v>IT Director / CISO</x:v>
      </x:c>
      <x:c r="F194" s="90" t="str">
        <x:v>All cloud-based services used by the agency or its workforce including: Software as a Service (SaaS) applications (EHR, email, HR systems), Infrastructure as a Service (IaaS) (cloud servers, storage), Platform as a Service (PaaS), cloud backup services, and any third-party hos…</x:v>
      </x:c>
      <x:c r="G194" s="90" t="str">
        <x:v>Not a separate scored LMS assignment</x:v>
      </x:c>
      <x:c r="H194" s="90" t="str"/>
      <x:c r="I194" s="90" t="str"/>
      <x:c r="J194" s="90" t="str">
        <x:v>Reviewed — IT administrator control; workforce-facing security/use requirements are assigned in G-03.</x:v>
      </x:c>
      <x:c r="K194" s="90" t="str">
        <x:v>Internal body reviewed</x:v>
      </x:c>
      <x:c r="L194" s="90" t="str">
        <x:v>12-allPoliciesContent.generated.ts — IT-DR-004</x:v>
      </x:c>
      <x:c r="M194" s="90" t="str"/>
    </x:row>
    <x:row r="195" ht="58" customHeight="1">
      <x:c r="A195" s="90" t="str">
        <x:v>IT-DR-005</x:v>
      </x:c>
      <x:c r="B195" s="90" t="str">
        <x:v>Security Incident Response</x:v>
      </x:c>
      <x:c r="C195" s="90" t="str">
        <x:v>REQUIRED</x:v>
      </x:c>
      <x:c r="D195" s="90" t="str">
        <x:v>ACTIVE</x:v>
      </x:c>
      <x:c r="E195" s="90" t="str">
        <x:v>IT Director / CISO</x:v>
      </x:c>
      <x:c r="F195" s="90" t="str">
        <x:v>All workforce members, contractors, and business associates who observe, discover, suspect, or are involved in a potential security incident. All agency information systems, devices, networks, and data. All incident types including confirmed breaches, near-misses, malware infe…</x:v>
      </x:c>
      <x:c r="G195" s="90" t="str">
        <x:v>Not a separate scored LMS assignment</x:v>
      </x:c>
      <x:c r="H195" s="90" t="str"/>
      <x:c r="I195" s="90" t="str"/>
      <x:c r="J195" s="90" t="str">
        <x:v>Reviewed — IT administrator control; workforce-facing security/use requirements are assigned in G-03.</x:v>
      </x:c>
      <x:c r="K195" s="90" t="str">
        <x:v>Internal body reviewed</x:v>
      </x:c>
      <x:c r="L195" s="90" t="str">
        <x:v>12-allPoliciesContent.generated.ts — IT-DR-005</x:v>
      </x:c>
      <x:c r="M195" s="90" t="str"/>
    </x:row>
    <x:row r="196" ht="58" customHeight="1">
      <x:c r="A196" s="90" t="str">
        <x:v>IT-SA-001</x:v>
      </x:c>
      <x:c r="B196" s="90" t="str">
        <x:v>Electronic Health Record System Management</x:v>
      </x:c>
      <x:c r="C196" s="90" t="str">
        <x:v>REQUIRED</x:v>
      </x:c>
      <x:c r="D196" s="90" t="str">
        <x:v>ACTIVE</x:v>
      </x:c>
      <x:c r="E196" s="90" t="str">
        <x:v>IT Director / CISO</x:v>
      </x:c>
      <x:c r="F196" s="90" t="str">
        <x:v>The EHR system and all integrated clinical, scheduling, and billing applications. All IT staff responsible for EHR system administration. All clinical and administrative staff who use the EHR system. All EHR vendors and business associates with access to agency EHR data. ---</x:v>
      </x:c>
      <x:c r="G196" s="90" t="str">
        <x:v>Assign conditionally — read + bundled quiz</x:v>
      </x:c>
      <x:c r="H196" s="90" t="str">
        <x:v>General</x:v>
      </x:c>
      <x:c r="I196" s="90" t="str">
        <x:v>G-03</x:v>
      </x:c>
      <x:c r="J196" s="90" t="str">
        <x:v>Workforce-wide privacy and cyber hygiene, with tool-specific policies assigned before use.</x:v>
      </x:c>
      <x:c r="K196" s="90" t="str">
        <x:v>Internal body reviewed</x:v>
      </x:c>
      <x:c r="L196" s="90" t="str">
        <x:v>12-allPoliciesContent.generated.ts — IT-SA-001</x:v>
      </x:c>
      <x:c r="M196" s="90" t="str"/>
    </x:row>
    <x:row r="197" ht="58" customHeight="1">
      <x:c r="A197" s="90" t="str">
        <x:v>IT-SA-002</x:v>
      </x:c>
      <x:c r="B197" s="90" t="str">
        <x:v>Software Acquisition &amp; License Management</x:v>
      </x:c>
      <x:c r="C197" s="90" t="str">
        <x:v>ESSENTIAL</x:v>
      </x:c>
      <x:c r="D197" s="90" t="str">
        <x:v>ACTIVE</x:v>
      </x:c>
      <x:c r="E197" s="90" t="str">
        <x:v>IT Director / CISO</x:v>
      </x:c>
      <x:c r="F197" s="90" t="str">
        <x:v>All software installed on agency-owned, agency-leased, or agency-managed devices. All workforce members who install, download, or request software. All vendors who install software on agency systems. Cloud-based software (SaaS) is governed by IT-DR-004 but is referenced here f…</x:v>
      </x:c>
      <x:c r="G197" s="90" t="str">
        <x:v>Not a separate scored LMS assignment</x:v>
      </x:c>
      <x:c r="H197" s="90" t="str"/>
      <x:c r="I197" s="90" t="str"/>
      <x:c r="J197" s="90" t="str">
        <x:v>Reviewed — IT administrator control; workforce-facing security/use requirements are assigned in G-03.</x:v>
      </x:c>
      <x:c r="K197" s="90" t="str">
        <x:v>Internal body reviewed</x:v>
      </x:c>
      <x:c r="L197" s="90" t="str">
        <x:v>12-allPoliciesContent.generated.ts — IT-SA-002</x:v>
      </x:c>
      <x:c r="M197" s="90" t="str"/>
    </x:row>
    <x:row r="198" ht="58" customHeight="1">
      <x:c r="A198" s="90" t="str">
        <x:v>IT-SA-003</x:v>
      </x:c>
      <x:c r="B198" s="90" t="str">
        <x:v>System Change Management</x:v>
      </x:c>
      <x:c r="C198" s="90" t="str">
        <x:v>ESSENTIAL</x:v>
      </x:c>
      <x:c r="D198" s="90" t="str">
        <x:v>ACTIVE</x:v>
      </x:c>
      <x:c r="E198" s="90" t="str">
        <x:v>IT Director / CISO</x:v>
      </x:c>
      <x:c r="F198" s="90" t="str">
        <x:v>All changes to agency IT systems including: hardware changes (servers, network equipment), operating system updates, application upgrades and patches, configuration changes, network changes, security control changes, cloud service configurations, and EHR system changes. All IT…</x:v>
      </x:c>
      <x:c r="G198" s="90" t="str">
        <x:v>Not a separate scored LMS assignment</x:v>
      </x:c>
      <x:c r="H198" s="90" t="str"/>
      <x:c r="I198" s="90" t="str"/>
      <x:c r="J198" s="90" t="str">
        <x:v>Reviewed — IT administrator control; workforce-facing security/use requirements are assigned in G-03.</x:v>
      </x:c>
      <x:c r="K198" s="90" t="str">
        <x:v>Internal body reviewed</x:v>
      </x:c>
      <x:c r="L198" s="90" t="str">
        <x:v>12-allPoliciesContent.generated.ts — IT-SA-003</x:v>
      </x:c>
      <x:c r="M198" s="90" t="str"/>
    </x:row>
    <x:row r="199" ht="58" customHeight="1">
      <x:c r="A199" s="90" t="str">
        <x:v>IT-SA-004</x:v>
      </x:c>
      <x:c r="B199" s="90" t="str">
        <x:v>Vendor &amp; Third-Party Security Assessment</x:v>
      </x:c>
      <x:c r="C199" s="90" t="str">
        <x:v>REQUIRED</x:v>
      </x:c>
      <x:c r="D199" s="90" t="str">
        <x:v>ACTIVE</x:v>
      </x:c>
      <x:c r="E199" s="90" t="str">
        <x:v>IT Director / CISO</x:v>
      </x:c>
      <x:c r="F199" s="90" t="str">
        <x:v>All technology vendors, cloud service providers, managed service providers, software vendors, consultants, contractors, and any other third party who accesses, processes, stores, or transmits agency data — particularly ePHI — or who has access to agency systems, networks, or f…</x:v>
      </x:c>
      <x:c r="G199" s="90" t="str">
        <x:v>Not a separate scored LMS assignment</x:v>
      </x:c>
      <x:c r="H199" s="90" t="str"/>
      <x:c r="I199" s="90" t="str"/>
      <x:c r="J199" s="90" t="str">
        <x:v>Reviewed — IT administrator control; workforce-facing security/use requirements are assigned in G-03.</x:v>
      </x:c>
      <x:c r="K199" s="90" t="str">
        <x:v>Internal body reviewed</x:v>
      </x:c>
      <x:c r="L199" s="90" t="str">
        <x:v>12-allPoliciesContent.generated.ts — IT-SA-004</x:v>
      </x:c>
      <x:c r="M199" s="90" t="str"/>
    </x:row>
    <x:row r="200" ht="58" customHeight="1">
      <x:c r="A200" s="90" t="str">
        <x:v>IT-SA-005</x:v>
      </x:c>
      <x:c r="B200" s="90" t="str">
        <x:v>Physical Security of IT Assets</x:v>
      </x:c>
      <x:c r="C200" s="90" t="str">
        <x:v>ESSENTIAL</x:v>
      </x:c>
      <x:c r="D200" s="90" t="str">
        <x:v>ACTIVE</x:v>
      </x:c>
      <x:c r="E200" s="90" t="str">
        <x:v>IT Director / CISO</x:v>
      </x:c>
      <x:c r="F200" s="90" t="str">
        <x:v>All physical locations where agency IT assets are located or operated including: the main office server room or network closet, all workstations and endpoints at all agency locations, staff home offices (for agency-owned devices used remotely), portable devices, and all storag…</x:v>
      </x:c>
      <x:c r="G200" s="90" t="str">
        <x:v>Not a separate scored LMS assignment</x:v>
      </x:c>
      <x:c r="H200" s="90" t="str"/>
      <x:c r="I200" s="90" t="str"/>
      <x:c r="J200" s="90" t="str">
        <x:v>Reviewed — IT administrator control; workforce-facing security/use requirements are assigned in G-03.</x:v>
      </x:c>
      <x:c r="K200" s="90" t="str">
        <x:v>Internal body reviewed</x:v>
      </x:c>
      <x:c r="L200" s="90" t="str">
        <x:v>12-allPoliciesContent.generated.ts — IT-SA-005</x:v>
      </x:c>
      <x:c r="M200" s="90" t="str"/>
    </x:row>
    <x:row r="201" ht="58" customHeight="1">
      <x:c r="A201" s="90" t="str">
        <x:v>IT-SC-001</x:v>
      </x:c>
      <x:c r="B201" s="90" t="str">
        <x:v>Information Security Program</x:v>
      </x:c>
      <x:c r="C201" s="90" t="str">
        <x:v>REQUIRED</x:v>
      </x:c>
      <x:c r="D201" s="90" t="str">
        <x:v>ACTIVE</x:v>
      </x:c>
      <x:c r="E201" s="90" t="str">
        <x:v>IT Director / CISO</x:v>
      </x:c>
      <x:c r="F201" s="90" t="str">
        <x:v>This policy applies to: All workforce members of Care Indeed Home Health Care, Inc. including full-time, part-time, per diem, temporary, and volunteer staff All contractors, consultants, and business associates who access, process, store, or transmit agency information or ePHI…</x:v>
      </x:c>
      <x:c r="G201" s="90" t="str">
        <x:v>Assign — read + bundled quiz</x:v>
      </x:c>
      <x:c r="H201" s="90" t="str">
        <x:v>General</x:v>
      </x:c>
      <x:c r="I201" s="90" t="str">
        <x:v>G-03</x:v>
      </x:c>
      <x:c r="J201" s="90" t="str">
        <x:v>Workforce-wide privacy and cyber hygiene, with tool-specific policies assigned before use.</x:v>
      </x:c>
      <x:c r="K201" s="90" t="str">
        <x:v>Internal body reviewed</x:v>
      </x:c>
      <x:c r="L201" s="90" t="str">
        <x:v>12-allPoliciesContent.generated.ts — IT-SC-001</x:v>
      </x:c>
      <x:c r="M201" s="90" t="str"/>
    </x:row>
    <x:row r="202" ht="58" customHeight="1">
      <x:c r="A202" s="90" t="str">
        <x:v>IT-SC-002</x:v>
      </x:c>
      <x:c r="B202" s="90" t="str">
        <x:v>Access Control &amp; User Authentication</x:v>
      </x:c>
      <x:c r="C202" s="90" t="str">
        <x:v>REQUIRED</x:v>
      </x:c>
      <x:c r="D202" s="90" t="str">
        <x:v>ACTIVE</x:v>
      </x:c>
      <x:c r="E202" s="90" t="str">
        <x:v>IT Director / CISO</x:v>
      </x:c>
      <x:c r="F202" s="90" t="str">
        <x:v>This policy applies to: All workforce members of Care Indeed Home Health Care, Inc. including full-time, part-time, per diem, temporary, and volunteer staff All contractors, consultants, and business associates who require access to agency information systems All information s…</x:v>
      </x:c>
      <x:c r="G202" s="90" t="str">
        <x:v>Assign — read + bundled quiz</x:v>
      </x:c>
      <x:c r="H202" s="90" t="str">
        <x:v>General</x:v>
      </x:c>
      <x:c r="I202" s="90" t="str">
        <x:v>G-03</x:v>
      </x:c>
      <x:c r="J202" s="90" t="str">
        <x:v>Workforce-wide privacy and cyber hygiene, with tool-specific policies assigned before use.</x:v>
      </x:c>
      <x:c r="K202" s="90" t="str">
        <x:v>Internal body reviewed</x:v>
      </x:c>
      <x:c r="L202" s="90" t="str">
        <x:v>12-allPoliciesContent.generated.ts — IT-SC-002</x:v>
      </x:c>
      <x:c r="M202" s="90" t="str"/>
    </x:row>
    <x:row r="203" ht="58" customHeight="1">
      <x:c r="A203" s="90" t="str">
        <x:v>IT-SC-003</x:v>
      </x:c>
      <x:c r="B203" s="90" t="str">
        <x:v>Data Encryption Standards</x:v>
      </x:c>
      <x:c r="C203" s="90" t="str">
        <x:v>REQUIRED</x:v>
      </x:c>
      <x:c r="D203" s="90" t="str">
        <x:v>ACTIVE</x:v>
      </x:c>
      <x:c r="E203" s="90" t="str">
        <x:v>IT Director / CISO</x:v>
      </x:c>
      <x:c r="F203" s="90" t="str">
        <x:v>This policy applies to: All ePHI and sensitive agency data stored on any electronic medium (at rest) All ePHI and sensitive agency data transmitted over any network or communication channel (in transit) All agency-owned, leased, or managed endpoints, servers, storage devices, …</x:v>
      </x:c>
      <x:c r="G203" s="90" t="str">
        <x:v>Not a separate scored LMS assignment</x:v>
      </x:c>
      <x:c r="H203" s="90" t="str"/>
      <x:c r="I203" s="90" t="str"/>
      <x:c r="J203" s="90" t="str">
        <x:v>Reviewed — IT administrator control; workforce-facing security/use requirements are assigned in G-03.</x:v>
      </x:c>
      <x:c r="K203" s="90" t="str">
        <x:v>Internal body reviewed</x:v>
      </x:c>
      <x:c r="L203" s="90" t="str">
        <x:v>12-allPoliciesContent.generated.ts — IT-SC-003</x:v>
      </x:c>
      <x:c r="M203" s="90" t="str"/>
    </x:row>
    <x:row r="204" ht="58" customHeight="1">
      <x:c r="A204" s="90" t="str">
        <x:v>IT-SC-004</x:v>
      </x:c>
      <x:c r="B204" s="90" t="str">
        <x:v>Network Security &amp; Firewall Management</x:v>
      </x:c>
      <x:c r="C204" s="90" t="str">
        <x:v>REQUIRED__</x:v>
      </x:c>
      <x:c r="D204" s="90" t="str">
        <x:v>ACTIVE__</x:v>
      </x:c>
      <x:c r="E204" s="90" t="str">
        <x:v>IT Director / CISO</x:v>
      </x:c>
      <x:c r="F204" s="90" t="str">
        <x:v>This policy applies to all agency network infrastructure including: routers, switches, firewalls, wireless access points, VPN concentrators, load balancers, intrusion detection/prevention systems, and all network communication paths used for agency data transmission at any age…</x:v>
      </x:c>
      <x:c r="G204" s="90" t="str">
        <x:v>Not a separate scored LMS assignment</x:v>
      </x:c>
      <x:c r="H204" s="90" t="str"/>
      <x:c r="I204" s="90" t="str"/>
      <x:c r="J204" s="90" t="str">
        <x:v>Reviewed — IT administrator control; workforce-facing security/use requirements are assigned in G-03.</x:v>
      </x:c>
      <x:c r="K204" s="90" t="str">
        <x:v>Internal body reviewed</x:v>
      </x:c>
      <x:c r="L204" s="90" t="str">
        <x:v>12-allPoliciesContent.generated.ts — IT-SC-004</x:v>
      </x:c>
      <x:c r="M204" s="90" t="str"/>
    </x:row>
    <x:row r="205" ht="58" customHeight="1">
      <x:c r="A205" s="90" t="str">
        <x:v>IT-SC-005</x:v>
      </x:c>
      <x:c r="B205" s="90" t="str">
        <x:v>Endpoint Security &amp; Malware Protection</x:v>
      </x:c>
      <x:c r="C205" s="90" t="str">
        <x:v>REQUIRED</x:v>
      </x:c>
      <x:c r="D205" s="90" t="str">
        <x:v>ACTIVE</x:v>
      </x:c>
      <x:c r="E205" s="90" t="str">
        <x:v>IT Director / CISO</x:v>
      </x:c>
      <x:c r="F205" s="90" t="str">
        <x:v>All agency-owned, agency-leased, and agency-managed endpoints including desktops, laptops, tablets, smartphones, servers, and IoT devices used in connection with agency operations or ePHI access. BYOD devices are addressed in IT-UP-001 but must meet minimum endpoint security r…</x:v>
      </x:c>
      <x:c r="G205" s="90" t="str">
        <x:v>Not a separate scored LMS assignment</x:v>
      </x:c>
      <x:c r="H205" s="90" t="str"/>
      <x:c r="I205" s="90" t="str"/>
      <x:c r="J205" s="90" t="str">
        <x:v>Reviewed — IT administrator control; workforce-facing security/use requirements are assigned in G-03.</x:v>
      </x:c>
      <x:c r="K205" s="90" t="str">
        <x:v>Internal body reviewed</x:v>
      </x:c>
      <x:c r="L205" s="90" t="str">
        <x:v>12-allPoliciesContent.generated.ts — IT-SC-005</x:v>
      </x:c>
      <x:c r="M205" s="90" t="str"/>
    </x:row>
    <x:row r="206" ht="58" customHeight="1">
      <x:c r="A206" s="90" t="str">
        <x:v>IT-SC-006</x:v>
      </x:c>
      <x:c r="B206" s="90" t="str">
        <x:v>Data Classification &amp; Handling</x:v>
      </x:c>
      <x:c r="C206" s="90" t="str">
        <x:v>REQUIRED</x:v>
      </x:c>
      <x:c r="D206" s="90" t="str">
        <x:v>ACTIVE__</x:v>
      </x:c>
      <x:c r="E206" s="90" t="str">
        <x:v>IT Director / CISO</x:v>
      </x:c>
      <x:c r="F206" s="90" t="str">
        <x:v>All agency data in all formats (electronic, paper, verbal) including ePHI, business data, financial data, workforce data, and operational data. All workforce members, contractors, and business associates who create, receive, process, store, or transmit agency data. ---</x:v>
      </x:c>
      <x:c r="G206" s="90" t="str">
        <x:v>Not a separate scored LMS assignment</x:v>
      </x:c>
      <x:c r="H206" s="90" t="str"/>
      <x:c r="I206" s="90" t="str"/>
      <x:c r="J206" s="90" t="str">
        <x:v>Reviewed — IT administrator control; workforce-facing security/use requirements are assigned in G-03.</x:v>
      </x:c>
      <x:c r="K206" s="90" t="str">
        <x:v>Internal body reviewed</x:v>
      </x:c>
      <x:c r="L206" s="90" t="str">
        <x:v>12-allPoliciesContent.generated.ts — IT-SC-006</x:v>
      </x:c>
      <x:c r="M206" s="90" t="str"/>
    </x:row>
    <x:row r="207" ht="58" customHeight="1">
      <x:c r="A207" s="90" t="str">
        <x:v>IT-UP-001</x:v>
      </x:c>
      <x:c r="B207" s="90" t="str">
        <x:v>Mobile Device &amp; BYOD Security</x:v>
      </x:c>
      <x:c r="C207" s="90" t="str">
        <x:v>REQUIRED</x:v>
      </x:c>
      <x:c r="D207" s="90" t="str">
        <x:v>ACTIVE</x:v>
      </x:c>
      <x:c r="E207" s="90" t="str">
        <x:v>IT Director / CISO</x:v>
      </x:c>
      <x:c r="F207" s="90" t="str">
        <x:v>### This policy applies to: ### All agency-owned mobile devices including smartphones, tablets, and laptops issued to workforce members for agency business ### All personally owned mobile devices (BYOD) used by workforce members to access any agency system, application, email,…</x:v>
      </x:c>
      <x:c r="G207" s="90" t="str">
        <x:v>Assign conditionally — read + bundled quiz</x:v>
      </x:c>
      <x:c r="H207" s="90" t="str">
        <x:v>General</x:v>
      </x:c>
      <x:c r="I207" s="90" t="str">
        <x:v>G-03</x:v>
      </x:c>
      <x:c r="J207" s="90" t="str">
        <x:v>Workforce-wide privacy and cyber hygiene, with tool-specific policies assigned before use.</x:v>
      </x:c>
      <x:c r="K207" s="90" t="str">
        <x:v>Internal body reviewed</x:v>
      </x:c>
      <x:c r="L207" s="90" t="str">
        <x:v>12-allPoliciesContent.generated.ts — IT-UP-001</x:v>
      </x:c>
      <x:c r="M207" s="90" t="str"/>
    </x:row>
    <x:row r="208" ht="58" customHeight="1">
      <x:c r="A208" s="90" t="str">
        <x:v>IT-UP-002</x:v>
      </x:c>
      <x:c r="B208" s="90" t="str">
        <x:v>Internet &amp; Email Acceptable Use__</x:v>
      </x:c>
      <x:c r="C208" s="90" t="str">
        <x:v>ESSENTIAL__</x:v>
      </x:c>
      <x:c r="D208" s="90" t="str">
        <x:v>ACTIVE</x:v>
      </x:c>
      <x:c r="E208" s="90" t="str">
        <x:v>IT Director / CISO</x:v>
      </x:c>
      <x:c r="F208" s="90" t="str">
        <x:v>### This policy applies to: ### All workforce members of Care Indeed Home Health Care, Inc. including full-time, part-time, per diem, temporary, and volunteer staff ### All contractors and business associates who use agency-provided internet or email services ### All agency-ow…</x:v>
      </x:c>
      <x:c r="G208" s="90" t="str">
        <x:v>Assign — read + bundled quiz</x:v>
      </x:c>
      <x:c r="H208" s="90" t="str">
        <x:v>General</x:v>
      </x:c>
      <x:c r="I208" s="90" t="str">
        <x:v>G-03</x:v>
      </x:c>
      <x:c r="J208" s="90" t="str">
        <x:v>Workforce-wide privacy and cyber hygiene, with tool-specific policies assigned before use.</x:v>
      </x:c>
      <x:c r="K208" s="90" t="str">
        <x:v>Internal body reviewed</x:v>
      </x:c>
      <x:c r="L208" s="90" t="str">
        <x:v>12-allPoliciesContent.generated.ts — IT-UP-002</x:v>
      </x:c>
      <x:c r="M208" s="90" t="str"/>
    </x:row>
    <x:row r="209" ht="58" customHeight="1">
      <x:c r="A209" s="90" t="str">
        <x:v>IT-UP-003</x:v>
      </x:c>
      <x:c r="B209" s="90" t="str">
        <x:v>Social Media &amp; Public Communications</x:v>
      </x:c>
      <x:c r="C209" s="90" t="str">
        <x:v>ESSENTIAL__</x:v>
      </x:c>
      <x:c r="D209" s="90" t="str">
        <x:v>ACTIVE</x:v>
      </x:c>
      <x:c r="E209" s="90" t="str">
        <x:v>IT Director / CISO</x:v>
      </x:c>
      <x:c r="F209" s="90" t="str">
        <x:v>### This policy applies to: ### All workforce members of Care Indeed Home Health Care, Inc. including full-time, part-time, per diem, temporary, and volunteer staff — in their professional capacity and in their personal use of social media to the extent that personal use invol…</x:v>
      </x:c>
      <x:c r="G209" s="90" t="str">
        <x:v>Assign — read + bundled quiz</x:v>
      </x:c>
      <x:c r="H209" s="90" t="str">
        <x:v>General</x:v>
      </x:c>
      <x:c r="I209" s="90" t="str">
        <x:v>G-03</x:v>
      </x:c>
      <x:c r="J209" s="90" t="str">
        <x:v>Workforce-wide privacy and cyber hygiene, with tool-specific policies assigned before use.</x:v>
      </x:c>
      <x:c r="K209" s="90" t="str">
        <x:v>Internal body reviewed</x:v>
      </x:c>
      <x:c r="L209" s="90" t="str">
        <x:v>12-allPoliciesContent.generated.ts — IT-UP-003</x:v>
      </x:c>
      <x:c r="M209" s="90" t="str"/>
    </x:row>
    <x:row r="210" ht="58" customHeight="1">
      <x:c r="A210" s="90" t="str">
        <x:v>IT-UP-004</x:v>
      </x:c>
      <x:c r="B210" s="90" t="str">
        <x:v>Security Awareness Training</x:v>
      </x:c>
      <x:c r="C210" s="90" t="str">
        <x:v>REQUIRED__</x:v>
      </x:c>
      <x:c r="D210" s="90" t="str">
        <x:v>ACTIVE</x:v>
      </x:c>
      <x:c r="E210" s="90" t="str">
        <x:v>IT Director / CISO</x:v>
      </x:c>
      <x:c r="F210" s="90" t="str">
        <x:v>### This policy applies to: ### All workforce members of Care Indeed Home Health Care, Inc. including full-time, part-time, per diem, temporary, and volunteer staff — regardless of whether they work in the office, in the field, or remotely ### All contractors and business asso…</x:v>
      </x:c>
      <x:c r="G210" s="90" t="str">
        <x:v>Assign — read + bundled quiz</x:v>
      </x:c>
      <x:c r="H210" s="90" t="str">
        <x:v>General, GB</x:v>
      </x:c>
      <x:c r="I210" s="90" t="str">
        <x:v>G-03, GB-09</x:v>
      </x:c>
      <x:c r="J210" s="90" t="str">
        <x:v>Workforce-wide privacy and cyber hygiene, with tool-specific policies assigned before use. The board receives compliance reports and must understand reporting, non-retaliation, FWA, privacy, and security oversight.</x:v>
      </x:c>
      <x:c r="K210" s="90" t="str">
        <x:v>Internal body reviewed</x:v>
      </x:c>
      <x:c r="L210" s="90" t="str">
        <x:v>12-allPoliciesContent.generated.ts — IT-UP-004</x:v>
      </x:c>
      <x:c r="M210" s="90" t="str"/>
    </x:row>
    <x:row r="211" ht="58" customHeight="1">
      <x:c r="A211" s="90" t="str">
        <x:v>OP-FM-001</x:v>
      </x:c>
      <x:c r="B211" s="90" t="str">
        <x:v>Office Operations &amp; Facility Management</x:v>
      </x:c>
      <x:c r="C211" s="90" t="str">
        <x:v>RECOMMENDED</x:v>
      </x:c>
      <x:c r="D211" s="90" t="str">
        <x:v>ACTIVE</x:v>
      </x:c>
      <x:c r="E211" s="90" t="str">
        <x:v>Operations Director</x:v>
      </x:c>
      <x:c r="F211" s="90" t="str"/>
      <x:c r="G211" s="90" t="str">
        <x:v>Not a separate scored LMS assignment</x:v>
      </x:c>
      <x:c r="H211" s="90" t="str"/>
      <x:c r="I211" s="90" t="str"/>
      <x:c r="J211" s="90" t="str">
        <x:v>Reviewed — intake/facility/operations-owner procedure outside the selected pathway quiz scope unless explicitly mapped.</x:v>
      </x:c>
      <x:c r="K211" s="90" t="str">
        <x:v>Internal body reviewed</x:v>
      </x:c>
      <x:c r="L211" s="90" t="str">
        <x:v>12-allPoliciesContent.generated.ts — OP-FM-001</x:v>
      </x:c>
      <x:c r="M211" s="90" t="str"/>
    </x:row>
    <x:row r="212" ht="58" customHeight="1">
      <x:c r="A212" s="90" t="str">
        <x:v>OP-FM-002</x:v>
      </x:c>
      <x:c r="B212" s="90" t="str">
        <x:v>Branch Office &amp; Satellite Operations</x:v>
      </x:c>
      <x:c r="C212" s="90" t="str">
        <x:v>RECOMMENDED</x:v>
      </x:c>
      <x:c r="D212" s="90" t="str">
        <x:v>ACTIVE</x:v>
      </x:c>
      <x:c r="E212" s="90" t="str">
        <x:v>Operations Director</x:v>
      </x:c>
      <x:c r="F212" s="90" t="str"/>
      <x:c r="G212" s="90" t="str">
        <x:v>Not a separate scored LMS assignment</x:v>
      </x:c>
      <x:c r="H212" s="90" t="str"/>
      <x:c r="I212" s="90" t="str"/>
      <x:c r="J212" s="90" t="str">
        <x:v>Reviewed — intake/facility/operations-owner procedure outside the selected pathway quiz scope unless explicitly mapped.</x:v>
      </x:c>
      <x:c r="K212" s="90" t="str">
        <x:v>Internal body reviewed</x:v>
      </x:c>
      <x:c r="L212" s="90" t="str">
        <x:v>12-allPoliciesContent.generated.ts — OP-FM-002</x:v>
      </x:c>
      <x:c r="M212" s="90" t="str"/>
    </x:row>
    <x:row r="213" ht="58" customHeight="1">
      <x:c r="A213" s="90" t="str">
        <x:v>OP-FM-003</x:v>
      </x:c>
      <x:c r="B213" s="90" t="str">
        <x:v>Vendor &amp; Supplier Management</x:v>
      </x:c>
      <x:c r="C213" s="90" t="str">
        <x:v>ESSENTIAL</x:v>
      </x:c>
      <x:c r="D213" s="90" t="str">
        <x:v>ACTIVE</x:v>
      </x:c>
      <x:c r="E213" s="90" t="str">
        <x:v>Operations Director</x:v>
      </x:c>
      <x:c r="F213" s="90" t="str">
        <x:v>This policy applies to: The Operations Director The Administrator The Compliance Officer The CFO / Finance Director All department heads or staff authorized to initiate vendor relationships or procurement All current and prospective vendors, suppliers, and contracted service p…</x:v>
      </x:c>
      <x:c r="G213" s="90" t="str">
        <x:v>Not a separate scored LMS assignment</x:v>
      </x:c>
      <x:c r="H213" s="90" t="str"/>
      <x:c r="I213" s="90" t="str"/>
      <x:c r="J213" s="90" t="str">
        <x:v>Reviewed — intake/facility/operations-owner procedure outside the selected pathway quiz scope unless explicitly mapped.</x:v>
      </x:c>
      <x:c r="K213" s="90" t="str">
        <x:v>Internal body reviewed</x:v>
      </x:c>
      <x:c r="L213" s="90" t="str">
        <x:v>12-allPoliciesContent.generated.ts — OP-FM-003</x:v>
      </x:c>
      <x:c r="M213" s="90" t="str"/>
    </x:row>
    <x:row r="214" ht="58" customHeight="1">
      <x:c r="A214" s="90" t="str">
        <x:v>OP-FM-004</x:v>
      </x:c>
      <x:c r="B214" s="90" t="str">
        <x:v>Mail &amp; Correspondence Management</x:v>
      </x:c>
      <x:c r="C214" s="90" t="str">
        <x:v>GOOD TO HAVE</x:v>
      </x:c>
      <x:c r="D214" s="90" t="str">
        <x:v>ACTIVE</x:v>
      </x:c>
      <x:c r="E214" s="90" t="str">
        <x:v>Operations Director</x:v>
      </x:c>
      <x:c r="F214" s="90" t="str">
        <x:v>This policy applies to: All office staff responsible for mail handling The Operations Director The Administrator The Compliance Officer (for regulatory and legal correspondence) All department heads responsible for responding to correspondence within their functional area This…</x:v>
      </x:c>
      <x:c r="G214" s="90" t="str">
        <x:v>Not a separate scored LMS assignment</x:v>
      </x:c>
      <x:c r="H214" s="90" t="str"/>
      <x:c r="I214" s="90" t="str"/>
      <x:c r="J214" s="90" t="str">
        <x:v>Reviewed — intake/facility/operations-owner procedure outside the selected pathway quiz scope unless explicitly mapped.</x:v>
      </x:c>
      <x:c r="K214" s="90" t="str">
        <x:v>Internal body reviewed</x:v>
      </x:c>
      <x:c r="L214" s="90" t="str">
        <x:v>12-allPoliciesContent.generated.ts — OP-FM-004</x:v>
      </x:c>
      <x:c r="M214" s="90" t="str"/>
    </x:row>
    <x:row r="215" ht="58" customHeight="1">
      <x:c r="A215" s="90" t="str">
        <x:v>OP-FM-005</x:v>
      </x:c>
      <x:c r="B215" s="90" t="str">
        <x:v>Emergency Operations &amp; Business Continuity</x:v>
      </x:c>
      <x:c r="C215" s="90" t="str">
        <x:v>REQUIRED</x:v>
      </x:c>
      <x:c r="D215" s="90" t="str">
        <x:v>ACTIVE</x:v>
      </x:c>
      <x:c r="E215" s="90" t="str">
        <x:v>Operations Director</x:v>
      </x:c>
      <x:c r="F215" s="90" t="str">
        <x:v>This policy applies to: The Governing Body The Administrator The Operations Director The Director of Nursing / Clinical Manager The Compliance Officer The IT Director / CISO All clinical and administrative staff All contracted or per diem staff All patients and caregivers serv…</x:v>
      </x:c>
      <x:c r="G215" s="90" t="str">
        <x:v>Assign — read + bundled quiz</x:v>
      </x:c>
      <x:c r="H215" s="90" t="str">
        <x:v>General</x:v>
      </x:c>
      <x:c r="I215" s="90" t="str">
        <x:v>G-06</x:v>
      </x:c>
      <x:c r="J215" s="90" t="str">
        <x:v>Staff must know their emergency role, communication route, and continuity expectations.</x:v>
      </x:c>
      <x:c r="K215" s="90" t="str">
        <x:v>Internal body reviewed</x:v>
      </x:c>
      <x:c r="L215" s="90" t="str">
        <x:v>12-allPoliciesContent.generated.ts — OP-FM-005</x:v>
      </x:c>
      <x:c r="M215" s="90" t="str">
        <x:v>https://www.ecfr.gov/current/title-42/part-484/section-484.102</x:v>
      </x:c>
    </x:row>
    <x:row r="216" ht="58" customHeight="1">
      <x:c r="A216" s="90" t="str">
        <x:v>OP-IM-001</x:v>
      </x:c>
      <x:c r="B216" s="90" t="str">
        <x:v>Referral &amp; Intake Management</x:v>
      </x:c>
      <x:c r="C216" s="90" t="str">
        <x:v>REQUIRED</x:v>
      </x:c>
      <x:c r="D216" s="90" t="str">
        <x:v>ACTIVE</x:v>
      </x:c>
      <x:c r="E216" s="90" t="str">
        <x:v>Operations Director</x:v>
      </x:c>
      <x:c r="F216" s="90" t="str">
        <x:v>This policy applies to: All intake coordinators, intake nurses, and intake staff The Operations Director The Director of Nursing / Clinical Manager The Administrator All clinical staff involved in referral screening or clinical eligibility determination All contracted or per d…</x:v>
      </x:c>
      <x:c r="G216" s="90" t="str">
        <x:v>Not a separate scored LMS assignment</x:v>
      </x:c>
      <x:c r="H216" s="90" t="str"/>
      <x:c r="I216" s="90" t="str"/>
      <x:c r="J216" s="90" t="str">
        <x:v>Reviewed — intake/facility/operations-owner procedure outside the selected pathway quiz scope unless explicitly mapped.</x:v>
      </x:c>
      <x:c r="K216" s="90" t="str">
        <x:v>Internal body reviewed</x:v>
      </x:c>
      <x:c r="L216" s="90" t="str">
        <x:v>12-allPoliciesContent.generated.ts — OP-IM-001</x:v>
      </x:c>
      <x:c r="M216" s="90" t="str"/>
    </x:row>
    <x:row r="217" ht="58" customHeight="1">
      <x:c r="A217" s="90" t="str">
        <x:v>OP-IM-002</x:v>
      </x:c>
      <x:c r="B217" s="90" t="str">
        <x:v>Patient Acceptance &amp; Admission Criteria</x:v>
      </x:c>
      <x:c r="C217" s="90" t="str">
        <x:v>REQUIRED</x:v>
      </x:c>
      <x:c r="D217" s="90" t="str">
        <x:v>ACTIVE</x:v>
      </x:c>
      <x:c r="E217" s="90" t="str">
        <x:v>Operations Director</x:v>
      </x:c>
      <x:c r="F217" s="90" t="str">
        <x:v>This policy applies to all intake staff, clinical screeners, the Operations Director, the Director of Nursing/Clinical Manager, the Administrator, and any individual involved in patient acceptance decisions. ---</x:v>
      </x:c>
      <x:c r="G217" s="90" t="str">
        <x:v>Not a separate scored LMS assignment</x:v>
      </x:c>
      <x:c r="H217" s="90" t="str"/>
      <x:c r="I217" s="90" t="str"/>
      <x:c r="J217" s="90" t="str">
        <x:v>Reviewed — intake/facility/operations-owner procedure outside the selected pathway quiz scope unless explicitly mapped.</x:v>
      </x:c>
      <x:c r="K217" s="90" t="str">
        <x:v>Internal body reviewed</x:v>
      </x:c>
      <x:c r="L217" s="90" t="str">
        <x:v>12-allPoliciesContent.generated.ts — OP-IM-002</x:v>
      </x:c>
      <x:c r="M217" s="90" t="str"/>
    </x:row>
    <x:row r="218" ht="58" customHeight="1">
      <x:c r="A218" s="90" t="str">
        <x:v>OP-IM-003</x:v>
      </x:c>
      <x:c r="B218" s="90" t="str">
        <x:v>Service Area Definition &amp; Coverage</x:v>
      </x:c>
      <x:c r="C218" s="90" t="str">
        <x:v>REQUIRED</x:v>
      </x:c>
      <x:c r="D218" s="90" t="str">
        <x:v>ACTIVE</x:v>
      </x:c>
      <x:c r="E218" s="90" t="str">
        <x:v>Operations Director</x:v>
      </x:c>
      <x:c r="F218" s="90" t="str">
        <x:v>This policy applies to the Governing Body, Administrator, Operations Director, all intake staff, scheduling staff, and clinical staff. ---</x:v>
      </x:c>
      <x:c r="G218" s="90" t="str">
        <x:v>Not a separate scored LMS assignment</x:v>
      </x:c>
      <x:c r="H218" s="90" t="str"/>
      <x:c r="I218" s="90" t="str"/>
      <x:c r="J218" s="90" t="str">
        <x:v>Reviewed — intake/facility/operations-owner procedure outside the selected pathway quiz scope unless explicitly mapped.</x:v>
      </x:c>
      <x:c r="K218" s="90" t="str">
        <x:v>Internal body reviewed</x:v>
      </x:c>
      <x:c r="L218" s="90" t="str">
        <x:v>12-allPoliciesContent.generated.ts — OP-IM-003</x:v>
      </x:c>
      <x:c r="M218" s="90" t="str"/>
    </x:row>
    <x:row r="219" ht="58" customHeight="1">
      <x:c r="A219" s="90" t="str">
        <x:v>OP-PA-001</x:v>
      </x:c>
      <x:c r="B219" s="90" t="str">
        <x:v>Patient Complaint &amp; Grievance Resolution</x:v>
      </x:c>
      <x:c r="C219" s="90" t="str">
        <x:v>REQUIRED</x:v>
      </x:c>
      <x:c r="D219" s="90" t="str">
        <x:v>ACTIVE</x:v>
      </x:c>
      <x:c r="E219" s="90" t="str">
        <x:v>Operations Director</x:v>
      </x:c>
      <x:c r="F219" s="90" t="str">
        <x:v>All agency staff, the Operations Director, the Director of Nursing/Clinical Manager, the Administrator, the Compliance Officer, and the QAPI Coordinator. ---</x:v>
      </x:c>
      <x:c r="G219" s="90" t="str">
        <x:v>Assign — read + bundled quiz</x:v>
      </x:c>
      <x:c r="H219" s="90" t="str">
        <x:v>General</x:v>
      </x:c>
      <x:c r="I219" s="90" t="str">
        <x:v>G-04</x:v>
      </x:c>
      <x:c r="J219" s="90" t="str">
        <x:v>Every employee must protect patient rights and know immediate abuse and grievance reporting duties.</x:v>
      </x:c>
      <x:c r="K219" s="90" t="str">
        <x:v>Internal body reviewed</x:v>
      </x:c>
      <x:c r="L219" s="90" t="str">
        <x:v>12-allPoliciesContent.generated.ts — OP-PA-001</x:v>
      </x:c>
      <x:c r="M219" s="90" t="str"/>
    </x:row>
    <x:row r="220" ht="58" customHeight="1">
      <x:c r="A220" s="90" t="str">
        <x:v>OP-PA-002</x:v>
      </x:c>
      <x:c r="B220" s="90" t="str">
        <x:v>Patient Identification &amp; Verification</x:v>
      </x:c>
      <x:c r="C220" s="90" t="str">
        <x:v>REQUIRED</x:v>
      </x:c>
      <x:c r="D220" s="90" t="str">
        <x:v>ACTIVE</x:v>
      </x:c>
      <x:c r="E220" s="90" t="str">
        <x:v>Operations Director</x:v>
      </x:c>
      <x:c r="F220" s="90" t="str"/>
      <x:c r="G220" s="90" t="str">
        <x:v>Assign — read + bundled quiz</x:v>
      </x:c>
      <x:c r="H220" s="90" t="str">
        <x:v>LVN, RN, HHA, PT, PTA, OT, COTA, SLP, MSW</x:v>
      </x:c>
      <x:c r="I220" s="90" t="str">
        <x:v>LVN-03, RN-07, HHA-04, PT-02, PTA-02, OT-02, COTA-02, SLP-01, MSW-01</x:v>
      </x:c>
      <x:c r="J220"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220" s="90" t="str">
        <x:v>Internal body reviewed</x:v>
      </x:c>
      <x:c r="L220" s="90" t="str">
        <x:v>12-allPoliciesContent.generated.ts — OP-PA-002</x:v>
      </x:c>
      <x:c r="M220" s="90" t="str"/>
    </x:row>
    <x:row r="221" ht="58" customHeight="1">
      <x:c r="A221" s="90" t="str">
        <x:v>OP-PA-003</x:v>
      </x:c>
      <x:c r="B221" s="90" t="str">
        <x:v>Interpreter &amp; Language Access Services</x:v>
      </x:c>
      <x:c r="C221" s="90" t="str">
        <x:v>REQUIRED</x:v>
      </x:c>
      <x:c r="D221" s="90" t="str">
        <x:v>ACTIVE</x:v>
      </x:c>
      <x:c r="E221" s="90" t="str">
        <x:v>Operations Director</x:v>
      </x:c>
      <x:c r="F221" s="90" t="str"/>
      <x:c r="G221" s="90" t="str">
        <x:v>Assign — read + bundled quiz</x:v>
      </x:c>
      <x:c r="H221" s="90" t="str">
        <x:v>LVN, RN, HHA, PT, PTA, OT, COTA, SLP, MSW</x:v>
      </x:c>
      <x:c r="I221" s="90" t="str">
        <x:v>LVN-03, RN-07, HHA-04, PT-02, PTA-02, OT-02, COTA-02, SLP-01, MSW-01</x:v>
      </x:c>
      <x:c r="J221"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221" s="90" t="str">
        <x:v>Internal body reviewed</x:v>
      </x:c>
      <x:c r="L221" s="90" t="str">
        <x:v>12-allPoliciesContent.generated.ts — OP-PA-003</x:v>
      </x:c>
      <x:c r="M221" s="90" t="str"/>
    </x:row>
    <x:row r="222" ht="58" customHeight="1">
      <x:c r="A222" s="90" t="str">
        <x:v>OP-PA-004</x:v>
      </x:c>
      <x:c r="B222" s="90" t="str">
        <x:v>Cultural Competency in Service Delivery</x:v>
      </x:c>
      <x:c r="C222" s="90" t="str">
        <x:v>ESSENTIAL</x:v>
      </x:c>
      <x:c r="D222" s="90" t="str">
        <x:v>ACTIVE</x:v>
      </x:c>
      <x:c r="E222" s="90" t="str">
        <x:v>Operations Director</x:v>
      </x:c>
      <x:c r="F222" s="90" t="str"/>
      <x:c r="G222" s="90" t="str">
        <x:v>Assign — read + bundled quiz</x:v>
      </x:c>
      <x:c r="H222" s="90" t="str">
        <x:v>LVN, RN, HHA, PT, PTA, OT, COTA, SLP, MSW</x:v>
      </x:c>
      <x:c r="I222" s="90" t="str">
        <x:v>LVN-03, RN-07, HHA-04, PT-02, PTA-02, OT-02, COTA-02, SLP-01, MSW-01</x:v>
      </x:c>
      <x:c r="J222"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222" s="90" t="str">
        <x:v>Internal body reviewed</x:v>
      </x:c>
      <x:c r="L222" s="90" t="str">
        <x:v>12-allPoliciesContent.generated.ts — OP-PA-004</x:v>
      </x:c>
      <x:c r="M222" s="90" t="str"/>
    </x:row>
    <x:row r="223" ht="58" customHeight="1">
      <x:c r="A223" s="90" t="str">
        <x:v>OP-PA-005</x:v>
      </x:c>
      <x:c r="B223" s="90" t="str">
        <x:v>Patient Property &amp; Belongings</x:v>
      </x:c>
      <x:c r="C223" s="90" t="str">
        <x:v>ESSENTIAL</x:v>
      </x:c>
      <x:c r="D223" s="90" t="str">
        <x:v>ACTIVE</x:v>
      </x:c>
      <x:c r="E223" s="90" t="str">
        <x:v>Operations Director</x:v>
      </x:c>
      <x:c r="F223" s="90" t="str"/>
      <x:c r="G223" s="90" t="str">
        <x:v>Assign — read + bundled quiz</x:v>
      </x:c>
      <x:c r="H223" s="90" t="str">
        <x:v>LVN, RN, HHA, PT, PTA, OT, COTA, SLP, MSW</x:v>
      </x:c>
      <x:c r="I223" s="90" t="str">
        <x:v>LVN-03, RN-07, HHA-04, PT-02, PTA-02, OT-02, COTA-02, SLP-01, MSW-01</x:v>
      </x:c>
      <x:c r="J223" s="90" t="str">
        <x:v>Patient-facing rules that govern consent, emergency response, access, identification, property, and coordination. Covers missed visits, ordered frequency, advance directives, consent, emergencies, and population-specific escalation. Aides observe and report medication, pain, fall, and infection concerns while reinforcing—not independently changing—the plan. Common professional therapy duties for documentation, ord…</x:v>
      </x:c>
      <x:c r="K223" s="90" t="str">
        <x:v>Internal body reviewed</x:v>
      </x:c>
      <x:c r="L223" s="90" t="str">
        <x:v>12-allPoliciesContent.generated.ts — OP-PA-005</x:v>
      </x:c>
      <x:c r="M223" s="90" t="str"/>
    </x:row>
    <x:row r="224" ht="58" customHeight="1">
      <x:c r="A224" s="90" t="str">
        <x:v>OP-SL-001</x:v>
      </x:c>
      <x:c r="B224" s="90" t="str">
        <x:v>Scheduling &amp; Visit Management</x:v>
      </x:c>
      <x:c r="C224" s="90" t="str">
        <x:v>REQUIRED</x:v>
      </x:c>
      <x:c r="D224" s="90" t="str">
        <x:v>ACTIVE</x:v>
      </x:c>
      <x:c r="E224" s="90" t="str">
        <x:v>Operations Director</x:v>
      </x:c>
      <x:c r="F224" s="90" t="str">
        <x:v>This policy applies to all scheduling staff, the Operations Director, the Director of Nursing/Clinical Manager, all clinical staff assigned patient visits, and any contracted or per diem staff delivering visits. ---</x:v>
      </x:c>
      <x:c r="G224" s="90" t="str">
        <x:v>Assign — read + bundled quiz</x:v>
      </x:c>
      <x:c r="H224" s="90" t="str">
        <x:v>LVN, HHA, PT, PTA, OT, COTA, SLP, MSW</x:v>
      </x:c>
      <x:c r="I224" s="90" t="str">
        <x:v>LVN-03, HHA-03, PT-02, PTA-02, OT-02, COTA-02, SLP-01, MSW-01</x:v>
      </x:c>
      <x:c r="J224" s="90" t="str">
        <x:v>Patient-facing rules that govern consent, emergency response, access, identification, property, and coordination. Aides must document tasks, report changes, coordinate with the supervisor, and follow visit scheduling/frequency rules. Common professional therapy duties for documentation, orders, transitions, patient safeguards, and field safety. Assistant-level documentation, coordination, safeguards, and field saf…</x:v>
      </x:c>
      <x:c r="K224" s="90" t="str">
        <x:v>Internal body reviewed</x:v>
      </x:c>
      <x:c r="L224" s="90" t="str">
        <x:v>12-allPoliciesContent.generated.ts — OP-SL-001</x:v>
      </x:c>
      <x:c r="M224" s="90" t="str"/>
    </x:row>
    <x:row r="225" ht="58" customHeight="1">
      <x:c r="A225" s="90" t="str">
        <x:v>OP-SL-002</x:v>
      </x:c>
      <x:c r="B225" s="90" t="str">
        <x:v>After-Hours &amp; On-Call Services</x:v>
      </x:c>
      <x:c r="C225" s="90" t="str">
        <x:v>REQUIRED</x:v>
      </x:c>
      <x:c r="D225" s="90" t="str">
        <x:v>ACTIVE</x:v>
      </x:c>
      <x:c r="E225" s="90" t="str">
        <x:v>Operations Director</x:v>
      </x:c>
      <x:c r="F225" s="90" t="str">
        <x:v>This policy applies to the Operations Director, the Director of Nursing/Clinical Manager, all clinical staff participating in on-call rotations, the scheduling coordinator, and the Administrator. ---</x:v>
      </x:c>
      <x:c r="G225" s="90" t="str">
        <x:v>Not a separate scored LMS assignment</x:v>
      </x:c>
      <x:c r="H225" s="90" t="str"/>
      <x:c r="I225" s="90" t="str"/>
      <x:c r="J225" s="90" t="str">
        <x:v>Reviewed — intake/facility/operations-owner procedure outside the selected pathway quiz scope unless explicitly mapped.</x:v>
      </x:c>
      <x:c r="K225" s="90" t="str">
        <x:v>Internal body reviewed</x:v>
      </x:c>
      <x:c r="L225" s="90" t="str">
        <x:v>12-allPoliciesContent.generated.ts — OP-SL-002</x:v>
      </x:c>
      <x:c r="M225" s="90" t="str"/>
    </x:row>
    <x:row r="226" ht="58" customHeight="1">
      <x:c r="A226" s="90" t="str">
        <x:v>OP-SL-003</x:v>
      </x:c>
      <x:c r="B226" s="90" t="str">
        <x:v>Vehicle &amp; Transportation Safety</x:v>
      </x:c>
      <x:c r="C226" s="90" t="str">
        <x:v>ESSENTIAL__</x:v>
      </x:c>
      <x:c r="D226" s="90" t="str">
        <x:v>ACTIVE</x:v>
      </x:c>
      <x:c r="E226" s="90" t="str">
        <x:v>Operations Director</x:v>
      </x:c>
      <x:c r="F226" s="90" t="str">
        <x:v>All staff who use a vehicle (personal or agency-provided) for agency business including patient visits, travel to meetings, supply pick-up, or any other agency-related purpose. ---</x:v>
      </x:c>
      <x:c r="G226" s="90" t="str">
        <x:v>Assign conditionally — read + bundled quiz</x:v>
      </x:c>
      <x:c r="H226" s="90" t="str">
        <x:v>LVN, RN, HHA, PT, PTA, OT, COTA, SLP, MSW</x:v>
      </x:c>
      <x:c r="I226" s="90" t="str">
        <x:v>LVN-05, RN-08, HHA-05, PT-02, PTA-02, OT-02, COTA-02, SLP-01, MSW-01</x:v>
      </x:c>
      <x:c r="J226" s="90" t="str">
        <x:v>Combines universal transition duties with task-, population-, and field-triggered procedures.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documentation, orders, transitio…</x:v>
      </x:c>
      <x:c r="K226" s="90" t="str">
        <x:v>Internal body reviewed</x:v>
      </x:c>
      <x:c r="L226" s="90" t="str">
        <x:v>12-allPoliciesContent.generated.ts — OP-SL-003</x:v>
      </x:c>
      <x:c r="M226" s="90" t="str"/>
    </x:row>
    <x:row r="227" ht="58" customHeight="1">
      <x:c r="A227" s="90" t="str">
        <x:v>OP-SL-004</x:v>
      </x:c>
      <x:c r="B227" s="90" t="str">
        <x:v>Equipment &amp; Supply Management</x:v>
      </x:c>
      <x:c r="C227" s="90" t="str">
        <x:v>ESSENTIAL</x:v>
      </x:c>
      <x:c r="D227" s="90" t="str">
        <x:v>ACTIVE</x:v>
      </x:c>
      <x:c r="E227" s="90" t="str">
        <x:v>Operations Director</x:v>
      </x:c>
      <x:c r="F227" s="90" t="str">
        <x:v>All clinical staff, the Operations Director, the Director of Nursing, office staff involved in supply management, and contracted vendors providing equipment or supplies. ---</x:v>
      </x:c>
      <x:c r="G227" s="90" t="str">
        <x:v>Assign — read + bundled quiz</x:v>
      </x:c>
      <x:c r="H227" s="90" t="str">
        <x:v>LVN, HHA, PT, PTA, OT, COTA, SLP, MSW</x:v>
      </x:c>
      <x:c r="I227" s="90" t="str">
        <x:v>LVN-03, HHA-05, PT-02, PTA-02, OT-02, COTA-02, SLP-01, MSW-01</x:v>
      </x:c>
      <x:c r="J227" s="90" t="str">
        <x:v>Patient-facing rules that govern consent, emergency response, access, identification, property, and coordination. Federal HHA in-service hours must be documented; specialty, exposure, equipment, driving, and weather modules are assigned by work performed. Common professional therapy duties for documentation, orders, transitions, patient safeguards, and field safety. Assistant-level documentation, coordination, saf…</x:v>
      </x:c>
      <x:c r="K227" s="90" t="str">
        <x:v>Internal body reviewed</x:v>
      </x:c>
      <x:c r="L227" s="90" t="str">
        <x:v>12-allPoliciesContent.generated.ts — OP-SL-004</x:v>
      </x:c>
      <x:c r="M227" s="90" t="str"/>
    </x:row>
    <x:row r="228" ht="58" customHeight="1">
      <x:c r="A228" s="90" t="str">
        <x:v>OP-SL-005</x:v>
      </x:c>
      <x:c r="B228" s="90" t="str">
        <x:v>Communication &amp; Documentation Systems</x:v>
      </x:c>
      <x:c r="C228" s="90" t="str">
        <x:v>REQUIRED</x:v>
      </x:c>
      <x:c r="D228" s="90" t="str">
        <x:v>ACTIVE</x:v>
      </x:c>
      <x:c r="E228" s="90" t="str">
        <x:v>Operations Director</x:v>
      </x:c>
      <x:c r="F228" s="90" t="str">
        <x:v>All agency staff, the Operations Director, the IT Director/CISO, and the Administrator. ---</x:v>
      </x:c>
      <x:c r="G228" s="90" t="str">
        <x:v>Not a separate scored LMS assignment</x:v>
      </x:c>
      <x:c r="H228" s="90" t="str"/>
      <x:c r="I228" s="90" t="str"/>
      <x:c r="J228" s="90" t="str">
        <x:v>Reviewed — intake/facility/operations-owner procedure outside the selected pathway quiz scope unless explicitly mapped.</x:v>
      </x:c>
      <x:c r="K228" s="90" t="str">
        <x:v>Internal body reviewed</x:v>
      </x:c>
      <x:c r="L228" s="90" t="str">
        <x:v>12-allPoliciesContent.generated.ts — OP-SL-005</x:v>
      </x:c>
      <x:c r="M228" s="90" t="str"/>
    </x:row>
    <x:row r="229" ht="58" customHeight="1">
      <x:c r="A229" s="90" t="str">
        <x:v>OP-SL-006</x:v>
      </x:c>
      <x:c r="B229" s="90" t="str">
        <x:v>Service Delivery During Public Health Emergencies</x:v>
      </x:c>
      <x:c r="C229" s="90" t="str">
        <x:v>REQUIRED</x:v>
      </x:c>
      <x:c r="D229" s="90" t="str">
        <x:v>ACTIVE</x:v>
      </x:c>
      <x:c r="E229" s="90" t="str">
        <x:v>Operations Director</x:v>
      </x:c>
      <x:c r="F229" s="90" t="str">
        <x:v>All agency staff, the Operations Director, the Director of Nursing/Clinical Manager, the Administrator, and the Governing Body. ---</x:v>
      </x:c>
      <x:c r="G229" s="90" t="str">
        <x:v>Assign — read + bundled quiz</x:v>
      </x:c>
      <x:c r="H229" s="90" t="str">
        <x:v>General</x:v>
      </x:c>
      <x:c r="I229" s="90" t="str">
        <x:v>G-06</x:v>
      </x:c>
      <x:c r="J229" s="90" t="str">
        <x:v>Staff must know their emergency role, communication route, and continuity expectations.</x:v>
      </x:c>
      <x:c r="K229" s="90" t="str">
        <x:v>Internal body reviewed</x:v>
      </x:c>
      <x:c r="L229" s="90" t="str">
        <x:v>12-allPoliciesContent.generated.ts — OP-SL-006</x:v>
      </x:c>
      <x:c r="M229" s="90" t="str"/>
    </x:row>
    <x:row r="230" ht="58" customHeight="1">
      <x:c r="A230" s="90" t="str">
        <x:v>OP-SL-007</x:v>
      </x:c>
      <x:c r="B230" s="90" t="str">
        <x:v>Inclement Weather &amp; Hazardous Conditions</x:v>
      </x:c>
      <x:c r="C230" s="90" t="str">
        <x:v>ESSENTIAL</x:v>
      </x:c>
      <x:c r="D230" s="90" t="str">
        <x:v>ACTIVE</x:v>
      </x:c>
      <x:c r="E230" s="90" t="str">
        <x:v>Operations Director</x:v>
      </x:c>
      <x:c r="F230" s="90" t="str">
        <x:v>All field staff, the Operations Director, the Director of Nursing/Clinical Manager, scheduling staff, and the Administrator. ---</x:v>
      </x:c>
      <x:c r="G230" s="90" t="str">
        <x:v>Assign — read + bundled quiz</x:v>
      </x:c>
      <x:c r="H230" s="90" t="str">
        <x:v>LVN, RN, HHA, PT, PTA, OT, COTA, SLP, MSW</x:v>
      </x:c>
      <x:c r="I230" s="90" t="str">
        <x:v>LVN-03, RN-08, HHA-05, PT-02, PTA-02, OT-02, COTA-02, SLP-01, MSW-01</x:v>
      </x:c>
      <x:c r="J230" s="90" t="str">
        <x:v>Patient-facing rules that govern consent, emergency response, access, identification, property, and coordination.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x:v>
      </x:c>
      <x:c r="K230" s="90" t="str">
        <x:v>Internal body reviewed</x:v>
      </x:c>
      <x:c r="L230" s="90" t="str">
        <x:v>12-allPoliciesContent.generated.ts — OP-SL-007</x:v>
      </x:c>
      <x:c r="M230" s="90" t="str"/>
    </x:row>
    <x:row r="231" ht="58" customHeight="1">
      <x:c r="A231" s="90" t="str">
        <x:v>QA-AE-001</x:v>
      </x:c>
      <x:c r="B231" s="90" t="str">
        <x:v>Adverse Event Identification &amp; Reporting</x:v>
      </x:c>
      <x:c r="C231" s="90" t="str">
        <x:v>REQUIRED</x:v>
      </x:c>
      <x:c r="D231" s="90" t="str">
        <x:v>ACTIVE</x:v>
      </x:c>
      <x:c r="E231" s="90" t="str">
        <x:v>QAPI Coordinator</x:v>
      </x:c>
      <x:c r="F231" s="90" t="str">
        <x:v>This policy applies to: All agency staff — clinical, administrative, contracted, and per diem All QAPI Committee members The QAPI Coordinator The Director of Nursing / Clinical Manager The Administrator The Compliance Officer The Risk Manager ---</x:v>
      </x:c>
      <x:c r="G231" s="90" t="str">
        <x:v>Assign — read + bundled quiz</x:v>
      </x:c>
      <x:c r="H231" s="90" t="str">
        <x:v>General</x:v>
      </x:c>
      <x:c r="I231" s="90" t="str">
        <x:v>G-05</x:v>
      </x:c>
      <x:c r="J231" s="90" t="str">
        <x:v>All employees need agency-specific hazard, violence, injury, adverse-event, and escalation procedures.</x:v>
      </x:c>
      <x:c r="K231" s="90" t="str">
        <x:v>Internal body reviewed</x:v>
      </x:c>
      <x:c r="L231" s="90" t="str">
        <x:v>12-allPoliciesContent.generated.ts — QA-AE-001</x:v>
      </x:c>
      <x:c r="M231" s="90" t="str">
        <x:v>https://www.ecfr.gov/current/title-42/part-484/section-484.65</x:v>
      </x:c>
    </x:row>
    <x:row r="232" ht="58" customHeight="1">
      <x:c r="A232" s="90" t="str">
        <x:v>QA-AE-002</x:v>
      </x:c>
      <x:c r="B232" s="90" t="str">
        <x:v>Root Cause Analysis Process</x:v>
      </x:c>
      <x:c r="C232" s="90" t="str">
        <x:v>REQUIRED</x:v>
      </x:c>
      <x:c r="D232" s="90" t="str">
        <x:v>ACTIVE</x:v>
      </x:c>
      <x:c r="E232" s="90" t="str">
        <x:v>QAPI Coordinator</x:v>
      </x:c>
      <x:c r="F232" s="90" t="str">
        <x:v>This policy applies to: The QAPI Coordinator All individuals appointed to RCA teams The Director of Nursing / Clinical Manager The Administrator The Risk Manager The Compliance Officer All QAPI Committee members ---</x:v>
      </x:c>
      <x:c r="G232" s="90" t="str">
        <x:v>Assign — read + bundled quiz</x:v>
      </x:c>
      <x:c r="H232" s="90" t="str">
        <x:v>ADM, DON</x:v>
      </x:c>
      <x:c r="I232" s="90" t="str">
        <x:v>ADM-04, DON-06</x:v>
      </x:c>
      <x:c r="J232" s="90" t="str">
        <x:v>Administrator must govern the QAPI plan, projects, indicators, corrective actions, and outcome oversight. DON translates clinical data, events, competency, utilization, and outcomes into QAPI action.</x:v>
      </x:c>
      <x:c r="K232" s="90" t="str">
        <x:v>Internal body reviewed</x:v>
      </x:c>
      <x:c r="L232" s="90" t="str">
        <x:v>12-allPoliciesContent.generated.ts — QA-AE-002</x:v>
      </x:c>
      <x:c r="M232" s="90" t="str">
        <x:v>https://www.ecfr.gov/current/title-42/part-484/section-484.65</x:v>
      </x:c>
    </x:row>
    <x:row r="233" ht="58" customHeight="1">
      <x:c r="A233" s="90" t="str">
        <x:v>QA-AE-003</x:v>
      </x:c>
      <x:c r="B233" s="90" t="str">
        <x:v>Corrective Action Plan Development &amp; Tracking</x:v>
      </x:c>
      <x:c r="C233" s="90" t="str">
        <x:v>REQUIRED</x:v>
      </x:c>
      <x:c r="D233" s="90" t="str">
        <x:v>ACTIVE</x:v>
      </x:c>
      <x:c r="E233" s="90" t="str">
        <x:v>QAPI Coordinator</x:v>
      </x:c>
      <x:c r="F233" s="90" t="str">
        <x:v>This policy applies to: The QAPI Coordinator All individuals assigned as CAP Leads or responsible parties All QAPI Committee members The Director of Nursing / Clinical Manager The Administrator The Compliance Officer The Risk Manager All department heads whose areas are subjec…</x:v>
      </x:c>
      <x:c r="G233" s="90" t="str">
        <x:v>Assign — read + bundled quiz</x:v>
      </x:c>
      <x:c r="H233" s="90" t="str">
        <x:v>ADM, DON</x:v>
      </x:c>
      <x:c r="I233" s="90" t="str">
        <x:v>ADM-04, DON-06</x:v>
      </x:c>
      <x:c r="J233" s="90" t="str">
        <x:v>Administrator must govern the QAPI plan, projects, indicators, corrective actions, and outcome oversight. DON translates clinical data, events, competency, utilization, and outcomes into QAPI action.</x:v>
      </x:c>
      <x:c r="K233" s="90" t="str">
        <x:v>Internal body reviewed</x:v>
      </x:c>
      <x:c r="L233" s="90" t="str">
        <x:v>12-allPoliciesContent.generated.ts — QA-AE-003</x:v>
      </x:c>
      <x:c r="M233" s="90" t="str">
        <x:v>https://www.ecfr.gov/current/title-42/part-484/section-484.65</x:v>
      </x:c>
    </x:row>
    <x:row r="234" ht="58" customHeight="1">
      <x:c r="A234" s="90" t="str">
        <x:v>QA-AE-004</x:v>
      </x:c>
      <x:c r="B234" s="90" t="str">
        <x:v>Patient Safety Program</x:v>
      </x:c>
      <x:c r="C234" s="90" t="str">
        <x:v>REQUIRED</x:v>
      </x:c>
      <x:c r="D234" s="90" t="str">
        <x:v>ACTIVE</x:v>
      </x:c>
      <x:c r="E234" s="90" t="str">
        <x:v>QAPI Coordinator</x:v>
      </x:c>
      <x:c r="F234" s="90" t="str">
        <x:v>This policy applies to: All agency staff — clinical, administrative, contracted, and per diem All QAPI Committee members The QAPI Coordinator (Patient Safety Program Lead) The Director of Nursing / Clinical Manager The Administrator The Risk Manager The Compliance Officer ---</x:v>
      </x:c>
      <x:c r="G234" s="90" t="str">
        <x:v>Assign — read + bundled quiz</x:v>
      </x:c>
      <x:c r="H234" s="90" t="str">
        <x:v>General, ADM, DON</x:v>
      </x:c>
      <x:c r="I234" s="90" t="str">
        <x:v>G-08, ADM-04, DON-06</x:v>
      </x:c>
      <x:c r="J234" s="90" t="str">
        <x:v>All staff need QAPI awareness, patient-safety reporting, and a basic understanding of how data drives improvement. Administrator must govern the QAPI plan, projects, indicators, corrective actions, and outcome oversight. DON translates clinical data, events, competency, utilization, and outcomes into QAPI action.</x:v>
      </x:c>
      <x:c r="K234" s="90" t="str">
        <x:v>Internal body reviewed</x:v>
      </x:c>
      <x:c r="L234" s="90" t="str">
        <x:v>12-allPoliciesContent.generated.ts — QA-AE-004</x:v>
      </x:c>
      <x:c r="M234" s="90" t="str">
        <x:v>https://www.ecfr.gov/current/title-42/part-484/section-484.65</x:v>
      </x:c>
    </x:row>
    <x:row r="235" ht="58" customHeight="1">
      <x:c r="A235" s="90" t="str">
        <x:v>QA-PG-001</x:v>
      </x:c>
      <x:c r="B235" s="90" t="str">
        <x:v>QAPI Program Establishment &amp; Governance</x:v>
      </x:c>
      <x:c r="C235" s="90" t="str">
        <x:v>REQUIRED</x:v>
      </x:c>
      <x:c r="D235" s="90" t="str">
        <x:v>ACTIVE</x:v>
      </x:c>
      <x:c r="E235" s="90" t="str">
        <x:v>QAPI Coordinator</x:v>
      </x:c>
      <x:c r="F235" s="90" t="str">
        <x:v>This policy applies to: The Governing Body of Care Indeed Home Health Care, Inc. The Agency Administrator The QAPI Coordinator (designated program lead) The Director of Nursing / Clinical Manager All members of the QAPI Committee The Compliance Officer All clinical, administra…</x:v>
      </x:c>
      <x:c r="G235" s="90" t="str">
        <x:v>Assign — read + bundled quiz</x:v>
      </x:c>
      <x:c r="H235" s="90" t="str">
        <x:v>General, ADM, DON, GB</x:v>
      </x:c>
      <x:c r="I235" s="90" t="str">
        <x:v>G-08, ADM-04, DON-06, GB-10</x:v>
      </x:c>
      <x:c r="J235" s="90" t="str">
        <x:v>All staff need QAPI awareness, patient-safety reporting, and a basic understanding of how data drives improvement. Administrator must govern the QAPI plan, projects, indicators, corrective actions, and outcome oversight. DON translates clinical data, events, competency, utilization, and outcomes into QAPI action. The Governing Body retains accountability for QAPI oversight and data-driven improvement.</x:v>
      </x:c>
      <x:c r="K235" s="90" t="str">
        <x:v>Internal body reviewed</x:v>
      </x:c>
      <x:c r="L235" s="90" t="str">
        <x:v>12-allPoliciesContent.generated.ts — QA-PG-001</x:v>
      </x:c>
      <x:c r="M235" s="90" t="str">
        <x:v>https://www.ecfr.gov/current/title-42/part-484/section-484.65</x:v>
      </x:c>
    </x:row>
    <x:row r="236" ht="58" customHeight="1">
      <x:c r="A236" s="90" t="str">
        <x:v>QA-PG-002</x:v>
      </x:c>
      <x:c r="B236" s="90" t="str">
        <x:v>QAPI Plan Development &amp; Annual Review</x:v>
      </x:c>
      <x:c r="C236" s="90" t="str">
        <x:v>REQUIRED</x:v>
      </x:c>
      <x:c r="D236" s="90" t="str">
        <x:v>ACTIVE</x:v>
      </x:c>
      <x:c r="E236" s="90" t="str">
        <x:v>QAPI Coordinator</x:v>
      </x:c>
      <x:c r="F236" s="90" t="str">
        <x:v>This policy applies to: The Governing Body of Care Indeed Home Health Care, Inc. The Agency Administrator The QAPI Coordinator The Director of Nursing / Clinical Manager All QAPI Committee members The Compliance Officer All department heads and supervisors responsible for achi…</x:v>
      </x:c>
      <x:c r="G236" s="90" t="str">
        <x:v>Assign — read + bundled quiz</x:v>
      </x:c>
      <x:c r="H236" s="90" t="str">
        <x:v>ADM, DON, GB</x:v>
      </x:c>
      <x:c r="I236" s="90" t="str">
        <x:v>ADM-04, DON-06, GB-10</x:v>
      </x:c>
      <x:c r="J236" s="90" t="str">
        <x:v>Administrator must govern the QAPI plan, projects, indicators, corrective actions, and outcome oversight. DON translates clinical data, events, competency, utilization, and outcomes into QAPI action. The Governing Body retains accountability for QAPI oversight and data-driven improvement.</x:v>
      </x:c>
      <x:c r="K236" s="90" t="str">
        <x:v>Internal body reviewed</x:v>
      </x:c>
      <x:c r="L236" s="90" t="str">
        <x:v>12-allPoliciesContent.generated.ts — QA-PG-002</x:v>
      </x:c>
      <x:c r="M236" s="90" t="str">
        <x:v>https://www.ecfr.gov/current/title-42/part-484/section-484.65</x:v>
      </x:c>
    </x:row>
    <x:row r="237" ht="58" customHeight="1">
      <x:c r="A237" s="90" t="str">
        <x:v>QA-PG-003</x:v>
      </x:c>
      <x:c r="B237" s="90" t="str">
        <x:v>QAPI Committee Structure &amp; Meeting Requirements</x:v>
      </x:c>
      <x:c r="C237" s="90" t="str">
        <x:v>REQUIRED</x:v>
      </x:c>
      <x:c r="D237" s="90" t="str">
        <x:v>ACTIVE</x:v>
      </x:c>
      <x:c r="E237" s="90" t="str">
        <x:v>QAPI Coordinator</x:v>
      </x:c>
      <x:c r="F237" s="90" t="str">
        <x:v>This policy applies to: The QAPI Coordinator (Committee Chair) All QAPI Committee members (standing and ad hoc) The Agency Administrator The Director of Nursing / Clinical Manager The Compliance Officer (standing invitee) All department heads and supervisors who participate in…</x:v>
      </x:c>
      <x:c r="G237" s="90" t="str">
        <x:v>Assign — read + bundled quiz</x:v>
      </x:c>
      <x:c r="H237" s="90" t="str">
        <x:v>ADM, DON, GB</x:v>
      </x:c>
      <x:c r="I237" s="90" t="str">
        <x:v>ADM-04, DON-06, GB-10</x:v>
      </x:c>
      <x:c r="J237" s="90" t="str">
        <x:v>Administrator must govern the QAPI plan, projects, indicators, corrective actions, and outcome oversight. DON translates clinical data, events, competency, utilization, and outcomes into QAPI action. The Governing Body retains accountability for QAPI oversight and data-driven improvement.</x:v>
      </x:c>
      <x:c r="K237" s="90" t="str">
        <x:v>Internal body reviewed</x:v>
      </x:c>
      <x:c r="L237" s="90" t="str">
        <x:v>12-allPoliciesContent.generated.ts — QA-PG-003</x:v>
      </x:c>
      <x:c r="M237" s="90" t="str">
        <x:v>https://www.ecfr.gov/current/title-42/part-484/section-484.65</x:v>
      </x:c>
    </x:row>
    <x:row r="238" ht="58" customHeight="1">
      <x:c r="A238" s="90" t="str">
        <x:v>QA-PI-001</x:v>
      </x:c>
      <x:c r="B238" s="90" t="str">
        <x:v>Performance Improvement Project Management</x:v>
      </x:c>
      <x:c r="C238" s="90" t="str">
        <x:v>REQUIRED</x:v>
      </x:c>
      <x:c r="D238" s="90" t="str">
        <x:v>ACTIVE</x:v>
      </x:c>
      <x:c r="E238" s="90" t="str">
        <x:v>QAPI Coordinator</x:v>
      </x:c>
      <x:c r="F238" s="90" t="str">
        <x:v>This policy applies to: The QAPI Coordinator All QAPI Committee members All PIP leads and team members The Director of Nursing / Clinical Manager The Administrator All department heads whose areas are the subject of a PIP All staff participating in PIP data collection, interve…</x:v>
      </x:c>
      <x:c r="G238" s="90" t="str">
        <x:v>Assign — read + bundled quiz</x:v>
      </x:c>
      <x:c r="H238" s="90" t="str">
        <x:v>ADM, DON, GB</x:v>
      </x:c>
      <x:c r="I238" s="90" t="str">
        <x:v>ADM-04, DON-06, GB-10</x:v>
      </x:c>
      <x:c r="J238" s="90" t="str">
        <x:v>Administrator must govern the QAPI plan, projects, indicators, corrective actions, and outcome oversight. DON translates clinical data, events, competency, utilization, and outcomes into QAPI action. The Governing Body retains accountability for QAPI oversight and data-driven improvement.</x:v>
      </x:c>
      <x:c r="K238" s="90" t="str">
        <x:v>Internal body reviewed</x:v>
      </x:c>
      <x:c r="L238" s="90" t="str">
        <x:v>12-allPoliciesContent.generated.ts — QA-PI-001</x:v>
      </x:c>
      <x:c r="M238" s="90" t="str">
        <x:v>https://www.ecfr.gov/current/title-42/part-484/section-484.65</x:v>
      </x:c>
    </x:row>
    <x:row r="239" ht="58" customHeight="1">
      <x:c r="A239" s="90" t="str">
        <x:v>QA-PI-002</x:v>
      </x:c>
      <x:c r="B239" s="90" t="str">
        <x:v>Quality Indicator Monitoring &amp; Reporting</x:v>
      </x:c>
      <x:c r="C239" s="90" t="str">
        <x:v>REQUIRED</x:v>
      </x:c>
      <x:c r="D239" s="90" t="str">
        <x:v>ACTIVE</x:v>
      </x:c>
      <x:c r="E239" s="90" t="str">
        <x:v>QAPI Coordinator</x:v>
      </x:c>
      <x:c r="F239" s="90" t="str">
        <x:v>This policy applies to: The QAPI Coordinator All QAPI Committee members The Director of Nursing / Clinical Manager The Administrator All department heads and supervisors responsible for data collection or indicator performance All clinical staff whose work generates indicator …</x:v>
      </x:c>
      <x:c r="G239" s="90" t="str">
        <x:v>Assign — read + bundled quiz</x:v>
      </x:c>
      <x:c r="H239" s="90" t="str">
        <x:v>ADM, DON, GB</x:v>
      </x:c>
      <x:c r="I239" s="90" t="str">
        <x:v>ADM-04, DON-06, GB-10</x:v>
      </x:c>
      <x:c r="J239" s="90" t="str">
        <x:v>Administrator must govern the QAPI plan, projects, indicators, corrective actions, and outcome oversight. DON translates clinical data, events, competency, utilization, and outcomes into QAPI action. The Governing Body retains accountability for QAPI oversight and data-driven improvement.</x:v>
      </x:c>
      <x:c r="K239" s="90" t="str">
        <x:v>Internal body reviewed</x:v>
      </x:c>
      <x:c r="L239" s="90" t="str">
        <x:v>12-allPoliciesContent.generated.ts — QA-PI-002</x:v>
      </x:c>
      <x:c r="M239" s="90" t="str">
        <x:v>https://www.ecfr.gov/current/title-42/part-484/section-484.65</x:v>
      </x:c>
    </x:row>
    <x:row r="240" ht="58" customHeight="1">
      <x:c r="A240" s="90" t="str">
        <x:v>QA-PI-003</x:v>
      </x:c>
      <x:c r="B240" s="90" t="str">
        <x:v>Clinical Outcome Benchmarking</x:v>
      </x:c>
      <x:c r="C240" s="90" t="str">
        <x:v>ESSENTIAL</x:v>
      </x:c>
      <x:c r="D240" s="90" t="str">
        <x:v>ACTIVE</x:v>
      </x:c>
      <x:c r="E240" s="90" t="str">
        <x:v>QAPI Coordinator</x:v>
      </x:c>
      <x:c r="F240" s="90" t="str">
        <x:v>This policy applies to: The QAPI Coordinator All QAPI Committee members The Director of Nursing / Clinical Manager The Administrator All clinical supervisors responsible for outcome-driving care areas ---</x:v>
      </x:c>
      <x:c r="G240" s="90" t="str">
        <x:v>Assign — read + bundled quiz</x:v>
      </x:c>
      <x:c r="H240" s="90" t="str">
        <x:v>ADM, DON</x:v>
      </x:c>
      <x:c r="I240" s="90" t="str">
        <x:v>ADM-04, DON-06</x:v>
      </x:c>
      <x:c r="J240" s="90" t="str">
        <x:v>Administrator must govern the QAPI plan, projects, indicators, corrective actions, and outcome oversight. DON translates clinical data, events, competency, utilization, and outcomes into QAPI action.</x:v>
      </x:c>
      <x:c r="K240" s="90" t="str">
        <x:v>Internal body reviewed</x:v>
      </x:c>
      <x:c r="L240" s="90" t="str">
        <x:v>12-allPoliciesContent.generated.ts — QA-PI-003</x:v>
      </x:c>
      <x:c r="M240" s="90" t="str">
        <x:v>https://www.ecfr.gov/current/title-42/part-484/section-484.65</x:v>
      </x:c>
    </x:row>
    <x:row r="241" ht="58" customHeight="1">
      <x:c r="A241" s="90" t="str">
        <x:v>QA-PI-004</x:v>
      </x:c>
      <x:c r="B241" s="90" t="str">
        <x:v>Data-Driven Decision Making</x:v>
      </x:c>
      <x:c r="C241" s="90" t="str">
        <x:v>ESSENTIAL</x:v>
      </x:c>
      <x:c r="D241" s="90" t="str">
        <x:v>ACTIVE</x:v>
      </x:c>
      <x:c r="E241" s="90" t="str">
        <x:v>QAPI Coordinator</x:v>
      </x:c>
      <x:c r="F241" s="90" t="str">
        <x:v>This policy applies to: The Governing Body The Administrator The QAPI Coordinator and QAPI Committee The Director of Nursing / Clinical Manager All department heads and supervisors who propose or approve operational, clinical, or quality improvement changes The Compliance Offi…</x:v>
      </x:c>
      <x:c r="G241" s="90" t="str">
        <x:v>Assign — read + bundled quiz</x:v>
      </x:c>
      <x:c r="H241" s="90" t="str">
        <x:v>General, ADM, DON, GB</x:v>
      </x:c>
      <x:c r="I241" s="90" t="str">
        <x:v>G-08, ADM-04, DON-06, GB-10</x:v>
      </x:c>
      <x:c r="J241" s="90" t="str">
        <x:v>All staff need QAPI awareness, patient-safety reporting, and a basic understanding of how data drives improvement. Administrator must govern the QAPI plan, projects, indicators, corrective actions, and outcome oversight. DON translates clinical data, events, competency, utilization, and outcomes into QAPI action. The Governing Body retains accountability for QAPI oversight and data-driven improvement.</x:v>
      </x:c>
      <x:c r="K241" s="90" t="str">
        <x:v>Internal body reviewed</x:v>
      </x:c>
      <x:c r="L241" s="90" t="str">
        <x:v>12-allPoliciesContent.generated.ts — QA-PI-004</x:v>
      </x:c>
      <x:c r="M241" s="90" t="str">
        <x:v>https://www.ecfr.gov/current/title-42/part-484/section-484.65</x:v>
      </x:c>
    </x:row>
    <x:row r="242" ht="58" customHeight="1">
      <x:c r="A242" s="90" t="str">
        <x:v>QA-PI-005</x:v>
      </x:c>
      <x:c r="B242" s="90" t="str">
        <x:v>Staff Competency Integration with QAPI</x:v>
      </x:c>
      <x:c r="C242" s="90" t="str">
        <x:v>ESSENTIAL</x:v>
      </x:c>
      <x:c r="D242" s="90" t="str">
        <x:v>ACTIVE</x:v>
      </x:c>
      <x:c r="E242" s="90" t="str">
        <x:v>QAPI Coordinator</x:v>
      </x:c>
      <x:c r="F242" s="90" t="str">
        <x:v>This policy applies to: The QAPI Coordinator The Director of Nursing / Clinical Manager The HR Director All QAPI Committee members All department heads and clinical supervisors responsible for competency evaluation All clinical staff subject to competency evaluation (RNs, LVNs…</x:v>
      </x:c>
      <x:c r="G242" s="90" t="str">
        <x:v>Assign — read + bundled quiz</x:v>
      </x:c>
      <x:c r="H242" s="90" t="str">
        <x:v>RN, ADM, DON</x:v>
      </x:c>
      <x:c r="I242" s="90" t="str">
        <x:v>RN-08, ADM-04, DON-06</x:v>
      </x:c>
      <x:c r="J242" s="90" t="str">
        <x:v>Links documentation and competency to outcomes, infection surveillance, utilization, and safe field practice. Administrator must govern the QAPI plan, projects, indicators, corrective actions, and outcome oversight. DON translates clinical data, events, competency, utilization, and outcomes into QAPI action.</x:v>
      </x:c>
      <x:c r="K242" s="90" t="str">
        <x:v>Internal body reviewed</x:v>
      </x:c>
      <x:c r="L242" s="90" t="str">
        <x:v>12-allPoliciesContent.generated.ts — QA-PI-005</x:v>
      </x:c>
      <x:c r="M242" s="90" t="str">
        <x:v>https://www.ecfr.gov/current/title-42/part-484/section-484.65</x:v>
      </x:c>
    </x:row>
    <x:row r="243" ht="58" customHeight="1">
      <x:c r="A243" s="90" t="str">
        <x:v>QA-PI-006</x:v>
      </x:c>
      <x:c r="B243" s="90" t="str">
        <x:v>Visit Utilization &amp; LUPA Risk Management Program</x:v>
      </x:c>
      <x:c r="C243" s="90" t="str">
        <x:v>ESSENTIAL</x:v>
      </x:c>
      <x:c r="D243" s="90" t="str">
        <x:v>ACTIVE</x:v>
      </x:c>
      <x:c r="E243" s="90" t="str">
        <x:v>QAPI Coordinator</x:v>
      </x:c>
      <x:c r="F243" s="90" t="str">
        <x:v>This policy applies to: The QAPI Coordinator The Director of Nursing / Clinical Manager The Administrator The CFO / Revenue Cycle Director All QAPI Committee members All scheduling and intake staff All clinical staff responsible for visit delivery (RNs, LVNs, therapists, MSWs,…</x:v>
      </x:c>
      <x:c r="G243" s="90" t="str">
        <x:v>Assign — read + bundled quiz</x:v>
      </x:c>
      <x:c r="H243" s="90" t="str">
        <x:v>RN, DON</x:v>
      </x:c>
      <x:c r="I243" s="90" t="str">
        <x:v>RN-08, DON-06</x:v>
      </x:c>
      <x:c r="J243" s="90" t="str">
        <x:v>Links documentation and competency to outcomes, infection surveillance, utilization, and safe field practice. DON translates clinical data, events, competency, utilization, and outcomes into QAPI action.</x:v>
      </x:c>
      <x:c r="K243" s="90" t="str">
        <x:v>Internal body reviewed</x:v>
      </x:c>
      <x:c r="L243" s="90" t="str">
        <x:v>12-allPoliciesContent.generated.ts — QA-PI-006</x:v>
      </x:c>
      <x:c r="M243" s="90" t="str">
        <x:v>https://www.ecfr.gov/current/title-42/part-484/section-484.65</x:v>
      </x:c>
    </x:row>
    <x:row r="244" ht="58" customHeight="1">
      <x:c r="A244" s="90" t="str">
        <x:v>QA-PI-007</x:v>
      </x:c>
      <x:c r="B244" s="90" t="str">
        <x:v>Staff Competency Impact on Patient Outcomes</x:v>
      </x:c>
      <x:c r="C244" s="90" t="str">
        <x:v>ESSENTIAL__</x:v>
      </x:c>
      <x:c r="D244" s="90" t="str">
        <x:v>ACTIVE</x:v>
      </x:c>
      <x:c r="E244" s="90" t="str">
        <x:v>QAPI Coordinator</x:v>
      </x:c>
      <x:c r="F244" s="90" t="str">
        <x:v>This policy applies to: The QAPI Coordinator The Director of Nursing / Clinical Manager The HR Director All QAPI Committee members All clinical supervisors responsible for competency evaluation and outcome monitoring All clinical staff subject to competency evaluation (RNs, LV…</x:v>
      </x:c>
      <x:c r="G244" s="90" t="str">
        <x:v>Assign — read + bundled quiz</x:v>
      </x:c>
      <x:c r="H244" s="90" t="str">
        <x:v>RN, DON</x:v>
      </x:c>
      <x:c r="I244" s="90" t="str">
        <x:v>RN-08, DON-06</x:v>
      </x:c>
      <x:c r="J244" s="90" t="str">
        <x:v>Links documentation and competency to outcomes, infection surveillance, utilization, and safe field practice. DON translates clinical data, events, competency, utilization, and outcomes into QAPI action.</x:v>
      </x:c>
      <x:c r="K244" s="90" t="str">
        <x:v>Internal body reviewed</x:v>
      </x:c>
      <x:c r="L244" s="90" t="str">
        <x:v>12-allPoliciesContent.generated.ts — QA-PI-007</x:v>
      </x:c>
      <x:c r="M244" s="90" t="str">
        <x:v>https://www.ecfr.gov/current/title-42/part-484/section-484.65</x:v>
      </x:c>
    </x:row>
    <x:row r="245" ht="58" customHeight="1">
      <x:c r="A245" s="90" t="str">
        <x:v>QA-SM-001</x:v>
      </x:c>
      <x:c r="B245" s="90" t="str">
        <x:v>Utilization Review &amp; Management</x:v>
      </x:c>
      <x:c r="C245" s="90" t="str">
        <x:v>REQUIRED</x:v>
      </x:c>
      <x:c r="D245" s="90" t="str">
        <x:v>ACTIVE</x:v>
      </x:c>
      <x:c r="E245" s="90" t="str">
        <x:v>QAPI Coordinator</x:v>
      </x:c>
      <x:c r="F245" s="90" t="str">
        <x:v>This policy applies to: The QAPI Coordinator The Director of Nursing / Clinical Manager The Administrator The CFO / Revenue Cycle Director All QAPI Committee members All clinical supervisors responsible for caseload oversight All scheduling and intake staff All clinical staff …</x:v>
      </x:c>
      <x:c r="G245" s="90" t="str">
        <x:v>Assign — read + bundled quiz</x:v>
      </x:c>
      <x:c r="H245" s="90" t="str">
        <x:v>ADM, DON</x:v>
      </x:c>
      <x:c r="I245" s="90" t="str">
        <x:v>ADM-04, DON-06</x:v>
      </x:c>
      <x:c r="J245" s="90" t="str">
        <x:v>Administrator must govern the QAPI plan, projects, indicators, corrective actions, and outcome oversight. DON translates clinical data, events, competency, utilization, and outcomes into QAPI action.</x:v>
      </x:c>
      <x:c r="K245" s="90" t="str">
        <x:v>Internal body reviewed</x:v>
      </x:c>
      <x:c r="L245" s="90" t="str">
        <x:v>12-allPoliciesContent.generated.ts — QA-SM-001</x:v>
      </x:c>
      <x:c r="M245" s="90" t="str">
        <x:v>https://www.ecfr.gov/current/title-42/part-484/section-484.65</x:v>
      </x:c>
    </x:row>
    <x:row r="246" ht="58" customHeight="1">
      <x:c r="A246" s="90" t="str">
        <x:v>QA-SM-002</x:v>
      </x:c>
      <x:c r="B246" s="90" t="str">
        <x:v>Infection Surveillance &amp; Trending</x:v>
      </x:c>
      <x:c r="C246" s="90" t="str">
        <x:v>REQUIRED</x:v>
      </x:c>
      <x:c r="D246" s="90" t="str">
        <x:v>ACTIVE</x:v>
      </x:c>
      <x:c r="E246" s="90" t="str">
        <x:v>QAPI Coordinator</x:v>
      </x:c>
      <x:c r="F246" s="90" t="str">
        <x:v>This policy applies to: The QAPI Coordinator The Infection Prevention and Control Designee (as designated per CL-SD-016) The Director of Nursing / Clinical Manager All clinical staff (RNs, LVNs, therapists, MSWs, HHAs) All QAPI Committee members The Administrator The Complianc…</x:v>
      </x:c>
      <x:c r="G246" s="90" t="str">
        <x:v>Assign — read + bundled quiz</x:v>
      </x:c>
      <x:c r="H246" s="90" t="str">
        <x:v>RN, DON</x:v>
      </x:c>
      <x:c r="I246" s="90" t="str">
        <x:v>RN-08, DON-06</x:v>
      </x:c>
      <x:c r="J246" s="90" t="str">
        <x:v>Links documentation and competency to outcomes, infection surveillance, utilization, and safe field practice. DON translates clinical data, events, competency, utilization, and outcomes into QAPI action.</x:v>
      </x:c>
      <x:c r="K246" s="90" t="str">
        <x:v>Internal body reviewed</x:v>
      </x:c>
      <x:c r="L246" s="90" t="str">
        <x:v>12-allPoliciesContent.generated.ts — QA-SM-002</x:v>
      </x:c>
      <x:c r="M246" s="90" t="str">
        <x:v>https://www.ecfr.gov/current/title-42/part-484/section-484.65</x:v>
      </x:c>
    </x:row>
    <x:row r="247" ht="58" customHeight="1">
      <x:c r="A247" s="90" t="str">
        <x:v>QA-SM-003</x:v>
      </x:c>
      <x:c r="B247" s="90" t="str">
        <x:v>Patient Satisfaction Survey &amp; Analysis</x:v>
      </x:c>
      <x:c r="C247" s="90" t="str">
        <x:v>ESSENTIAL</x:v>
      </x:c>
      <x:c r="D247" s="90" t="str">
        <x:v>ACTIVE</x:v>
      </x:c>
      <x:c r="E247" s="90" t="str">
        <x:v>QAPI Coordinator</x:v>
      </x:c>
      <x:c r="F247" s="90" t="str">
        <x:v>This policy applies to: The QAPI Coordinator The Administrator The Director of Nursing / Clinical Manager All QAPI Committee members All clinical staff whose conduct and communication affect patient experience The CFO / Revenue Cycle Director (for Star Rating implications) The…</x:v>
      </x:c>
      <x:c r="G247" s="90" t="str">
        <x:v>Assign — read + bundled quiz</x:v>
      </x:c>
      <x:c r="H247" s="90" t="str">
        <x:v>General, RN, ADM, DON</x:v>
      </x:c>
      <x:c r="I247" s="90" t="str">
        <x:v>G-08, RN-08, ADM-04, DON-06</x:v>
      </x:c>
      <x:c r="J247" s="90" t="str">
        <x:v>All staff need QAPI awareness, patient-safety reporting, and a basic understanding of how data drives improvement. Links documentation and competency to outcomes, infection surveillance, utilization, and safe field practice. Administrator must govern the QAPI plan, projects, indicators, corrective actions, and outcome oversight. DON translates clinical data, events, competency, utilization, and outcomes into QAPI …</x:v>
      </x:c>
      <x:c r="K247" s="90" t="str">
        <x:v>Internal body reviewed</x:v>
      </x:c>
      <x:c r="L247" s="90" t="str">
        <x:v>12-allPoliciesContent.generated.ts — QA-SM-003</x:v>
      </x:c>
      <x:c r="M247" s="90" t="str">
        <x:v>https://www.ecfr.gov/current/title-42/part-484/section-484.65</x:v>
      </x:c>
    </x:row>
    <x:row r="248" ht="58" customHeight="1">
      <x:c r="A248" s="90" t="str">
        <x:v>QA-SM-004</x:v>
      </x:c>
      <x:c r="B248" s="90" t="str">
        <x:v>Home Health Compare &amp; Star Rating Monitoring</x:v>
      </x:c>
      <x:c r="C248" s="90" t="str">
        <x:v>ESSENTIAL</x:v>
      </x:c>
      <x:c r="D248" s="90" t="str">
        <x:v>ACTIVE</x:v>
      </x:c>
      <x:c r="E248" s="90" t="str">
        <x:v>QAPI Coordinator</x:v>
      </x:c>
      <x:c r="F248" s="90" t="str">
        <x:v>This policy applies to: The QAPI Coordinator The Administrator The Director of Nursing / Clinical Manager All QAPI Committee members The CFO / Revenue Cycle Director The Governing Body ---</x:v>
      </x:c>
      <x:c r="G248" s="90" t="str">
        <x:v>Assign — read + bundled quiz</x:v>
      </x:c>
      <x:c r="H248" s="90" t="str">
        <x:v>ADM, DON</x:v>
      </x:c>
      <x:c r="I248" s="90" t="str">
        <x:v>ADM-04, DON-06</x:v>
      </x:c>
      <x:c r="J248" s="90" t="str">
        <x:v>Administrator must govern the QAPI plan, projects, indicators, corrective actions, and outcome oversight. DON translates clinical data, events, competency, utilization, and outcomes into QAPI action.</x:v>
      </x:c>
      <x:c r="K248" s="90" t="str">
        <x:v>Internal body reviewed</x:v>
      </x:c>
      <x:c r="L248" s="90" t="str">
        <x:v>12-allPoliciesContent.generated.ts — QA-SM-004</x:v>
      </x:c>
      <x:c r="M248" s="90" t="str">
        <x:v>https://www.ecfr.gov/current/title-42/part-484/section-484.65</x:v>
      </x:c>
    </x:row>
    <x:row r="249" ht="58" customHeight="1">
      <x:c r="A249" s="90" t="str">
        <x:v>QA-SM-005</x:v>
      </x:c>
      <x:c r="B249" s="90" t="str">
        <x:v>Policy Effectiveness Monitoring and Outcome Validation</x:v>
      </x:c>
      <x:c r="C249" s="90" t="str">
        <x:v>REQUIRED</x:v>
      </x:c>
      <x:c r="D249" s="90" t="str">
        <x:v>ACTIVE</x:v>
      </x:c>
      <x:c r="E249" s="90" t="str">
        <x:v>QAPI Coordinator</x:v>
      </x:c>
      <x:c r="F249" s="90" t="str">
        <x:v>This policy applies to: The Compliance Officer The QAPI Coordinator The Administrator The Director of Nursing / Clinical Manager All QAPI Committee members All department heads and supervisors responsible for policy implementation in their domains ---</x:v>
      </x:c>
      <x:c r="G249" s="90" t="str">
        <x:v>Assign — read + bundled quiz</x:v>
      </x:c>
      <x:c r="H249" s="90" t="str">
        <x:v>ADM, DON</x:v>
      </x:c>
      <x:c r="I249" s="90" t="str">
        <x:v>ADM-04, DON-06</x:v>
      </x:c>
      <x:c r="J249" s="90" t="str">
        <x:v>Administrator must govern the QAPI plan, projects, indicators, corrective actions, and outcome oversight. DON translates clinical data, events, competency, utilization, and outcomes into QAPI action.</x:v>
      </x:c>
      <x:c r="K249" s="90" t="str">
        <x:v>Internal body reviewed</x:v>
      </x:c>
      <x:c r="L249" s="90" t="str">
        <x:v>12-allPoliciesContent.generated.ts — QA-SM-005</x:v>
      </x:c>
      <x:c r="M249" s="90" t="str">
        <x:v>https://www.ecfr.gov/current/title-42/part-484/section-484.65</x:v>
      </x:c>
    </x:row>
    <x:row r="250" ht="58" customHeight="1">
      <x:c r="A250" s="90" t="str">
        <x:v>RM-EP-001</x:v>
      </x:c>
      <x:c r="B250" s="90" t="str">
        <x:v>Emergency Preparedness Program</x:v>
      </x:c>
      <x:c r="C250" s="90" t="str">
        <x:v>REQUIRED</x:v>
      </x:c>
      <x:c r="D250" s="90" t="str">
        <x:v>ACTIVE</x:v>
      </x:c>
      <x:c r="E250" s="90" t="str">
        <x:v>Administrator / Risk Manager</x:v>
      </x:c>
      <x:c r="F250" s="90" t="str">
        <x:v>This program applies to: * All employees, contractors, volunteers, and students of Care Indeed Home Health Care, Inc. * All patients actively enrolled in care with the agency, from the date of admission through the date of discharge * All operational sites: main office, any sa…</x:v>
      </x:c>
      <x:c r="G250" s="90" t="str">
        <x:v>Assign — read + bundled quiz</x:v>
      </x:c>
      <x:c r="H250" s="90" t="str">
        <x:v>General, ADM, DON, GB</x:v>
      </x:c>
      <x:c r="I250" s="90" t="str">
        <x:v>G-06, ADM-05, DON-08, GB-12</x:v>
      </x:c>
      <x:c r="J250" s="90" t="str">
        <x:v>Staff must know their emergency role, communication route, and continuity expectations. Administrator owns escalation, continuity, prioritization, insurance, claims, and trend response. DON manages staffing, training, occupational clearance, emergencies, risk, performance, and supervisory employment obligations. Board oversight includes emergency program resources and enterprise risk priorities.</x:v>
      </x:c>
      <x:c r="K250" s="90" t="str">
        <x:v>Internal body reviewed</x:v>
      </x:c>
      <x:c r="L250" s="90" t="str">
        <x:v>12-allPoliciesContent.generated.ts — RM-EP-001</x:v>
      </x:c>
      <x:c r="M250" s="90" t="str">
        <x:v>https://www.ecfr.gov/current/title-42/part-484/section-484.102</x:v>
      </x:c>
    </x:row>
    <x:row r="251" ht="58" customHeight="1">
      <x:c r="A251" s="90" t="str">
        <x:v>RM-EP-002</x:v>
      </x:c>
      <x:c r="B251" s="90" t="str">
        <x:v>Emergency Preparedness Training &amp; Testing Program</x:v>
      </x:c>
      <x:c r="C251" s="90" t="str">
        <x:v>REQUIRED</x:v>
      </x:c>
      <x:c r="D251" s="90" t="str">
        <x:v>ACTIVE</x:v>
      </x:c>
      <x:c r="E251" s="90" t="str">
        <x:v>Administrator / DON</x:v>
      </x:c>
      <x:c r="F251" s="90" t="str">
        <x:v>All employees of Care Indeed Home Health Care, Inc. regardless of position or employment status (full-time, part-time, per diem). Contracted clinical staff shall receive equivalent training from the agency. ---</x:v>
      </x:c>
      <x:c r="G251" s="90" t="str">
        <x:v>Assign — read + bundled quiz</x:v>
      </x:c>
      <x:c r="H251" s="90" t="str">
        <x:v>General, ADM, DON, GB</x:v>
      </x:c>
      <x:c r="I251" s="90" t="str">
        <x:v>G-06, ADM-05, DON-08, GB-12</x:v>
      </x:c>
      <x:c r="J251" s="90" t="str">
        <x:v>Staff must know their emergency role, communication route, and continuity expectations. Administrator owns escalation, continuity, prioritization, insurance, claims, and trend response. DON manages staffing, training, occupational clearance, emergencies, risk, performance, and supervisory employment obligations. Board oversight includes emergency program resources and enterprise risk priorities.</x:v>
      </x:c>
      <x:c r="K251" s="90" t="str">
        <x:v>Internal body reviewed</x:v>
      </x:c>
      <x:c r="L251" s="90" t="str">
        <x:v>12-allPoliciesContent.generated.ts — RM-EP-002</x:v>
      </x:c>
      <x:c r="M251" s="90" t="str">
        <x:v>https://www.ecfr.gov/current/title-42/part-484/section-484.102</x:v>
      </x:c>
    </x:row>
    <x:row r="252" ht="58" customHeight="1">
      <x:c r="A252" s="90" t="str">
        <x:v>RM-EP-003</x:v>
      </x:c>
      <x:c r="B252" s="90" t="str">
        <x:v>Patient Emergency Communication Plan</x:v>
      </x:c>
      <x:c r="C252" s="90" t="str">
        <x:v>REQUIRED</x:v>
      </x:c>
      <x:c r="D252" s="90" t="str">
        <x:v>ACTIVE</x:v>
      </x:c>
      <x:c r="E252" s="90" t="str">
        <x:v>Administrator / DON</x:v>
      </x:c>
      <x:c r="F252" s="90" t="str">
        <x:v>All patients currently receiving home health services from Care Indeed Home Health Care, Inc. and all clinical and administrative staff responsible for patient communication and care coordination. ---</x:v>
      </x:c>
      <x:c r="G252" s="90" t="str">
        <x:v>Assign — read + bundled quiz</x:v>
      </x:c>
      <x:c r="H252" s="90" t="str">
        <x:v>ADM, DON</x:v>
      </x:c>
      <x:c r="I252" s="90" t="str">
        <x:v>ADM-05, DON-08</x:v>
      </x:c>
      <x:c r="J252" s="90" t="str">
        <x:v>Administrator owns escalation, continuity, prioritization, insurance, claims, and trend response. DON manages staffing, training, occupational clearance, emergencies, risk, performance, and supervisory employment obligations.</x:v>
      </x:c>
      <x:c r="K252" s="90" t="str">
        <x:v>Internal body reviewed</x:v>
      </x:c>
      <x:c r="L252" s="90" t="str">
        <x:v>12-allPoliciesContent.generated.ts — RM-EP-003</x:v>
      </x:c>
      <x:c r="M252" s="90" t="str">
        <x:v>https://www.ecfr.gov/current/title-42/part-484/section-484.102</x:v>
      </x:c>
    </x:row>
    <x:row r="253" ht="58" customHeight="1">
      <x:c r="A253" s="90" t="str">
        <x:v>RM-ER-001</x:v>
      </x:c>
      <x:c r="B253" s="90" t="str">
        <x:v>Enterprise Risk Management Program</x:v>
      </x:c>
      <x:c r="C253" s="90" t="str">
        <x:v>REQUIRED</x:v>
      </x:c>
      <x:c r="D253" s="90" t="str">
        <x:v>ACTIVE</x:v>
      </x:c>
      <x:c r="E253" s="90" t="str">
        <x:v>Risk Manager</x:v>
      </x:c>
      <x:c r="F253" s="90" t="str">
        <x:v>This policy applies to: All members of the Governing Body of Care Indeed Home Health Care, Inc. The Agency Administrator The Risk Manager The Director of Nursing / Clinical Manager The Compliance Officer All department directors and supervisory personnel All clinical and admin…</x:v>
      </x:c>
      <x:c r="G253" s="90" t="str">
        <x:v>Assign — read + bundled quiz</x:v>
      </x:c>
      <x:c r="H253" s="90" t="str">
        <x:v>ADM, DON, GB</x:v>
      </x:c>
      <x:c r="I253" s="90" t="str">
        <x:v>ADM-05, DON-08, GB-12</x:v>
      </x:c>
      <x:c r="J253" s="90" t="str">
        <x:v>Administrator owns escalation, continuity, prioritization, insurance, claims, and trend response. DON manages staffing, training, occupational clearance, emergencies, risk, performance, and supervisory employment obligations. Board oversight includes emergency program resources and enterprise risk priorities.</x:v>
      </x:c>
      <x:c r="K253" s="90" t="str">
        <x:v>Internal body reviewed</x:v>
      </x:c>
      <x:c r="L253" s="90" t="str">
        <x:v>12-allPoliciesContent.generated.ts — RM-ER-001</x:v>
      </x:c>
      <x:c r="M253" s="90" t="str"/>
    </x:row>
    <x:row r="254" ht="58" customHeight="1">
      <x:c r="A254" s="90" t="str">
        <x:v>RM-ER-002</x:v>
      </x:c>
      <x:c r="B254" s="90" t="str">
        <x:v>Incident Reporting &amp; Investigation</x:v>
      </x:c>
      <x:c r="C254" s="90" t="str">
        <x:v>REQUIRED</x:v>
      </x:c>
      <x:c r="D254" s="90" t="str">
        <x:v>ACTIVE</x:v>
      </x:c>
      <x:c r="E254" s="90" t="str">
        <x:v>Risk Manager</x:v>
      </x:c>
      <x:c r="F254" s="90" t="str">
        <x:v>This policy applies to: All employees of Care Indeed Home Health Care, Inc. (clinical and administrative) All contracted and per diem staff providing services on behalf of the agency All supervisory and management personnel All volunteers performing activities under agency dir…</x:v>
      </x:c>
      <x:c r="G254" s="90" t="str">
        <x:v>Assign — read + bundled quiz</x:v>
      </x:c>
      <x:c r="H254" s="90" t="str">
        <x:v>General, ADM, DON</x:v>
      </x:c>
      <x:c r="I254" s="90" t="str">
        <x:v>G-05, ADM-05, DON-08</x:v>
      </x:c>
      <x:c r="J254" s="90" t="str">
        <x:v>All employees need agency-specific hazard, violence, injury, adverse-event, and escalation procedures. Administrator owns escalation, continuity, prioritization, insurance, claims, and trend response. DON manages staffing, training, occupational clearance, emergencies, risk, performance, and supervisory employment obligations.</x:v>
      </x:c>
      <x:c r="K254" s="90" t="str">
        <x:v>Internal body reviewed</x:v>
      </x:c>
      <x:c r="L254" s="90" t="str">
        <x:v>12-allPoliciesContent.generated.ts — RM-ER-002</x:v>
      </x:c>
      <x:c r="M254" s="90" t="str"/>
    </x:row>
    <x:row r="255" ht="58" customHeight="1">
      <x:c r="A255" s="90" t="str">
        <x:v>RM-ER-003</x:v>
      </x:c>
      <x:c r="B255" s="90" t="str">
        <x:v>Risk Assessment &amp; Prioritization</x:v>
      </x:c>
      <x:c r="C255" s="90" t="str">
        <x:v>REQUIRED</x:v>
      </x:c>
      <x:c r="D255" s="90" t="str">
        <x:v>ACTIVE</x:v>
      </x:c>
      <x:c r="E255" s="90" t="str">
        <x:v>Risk Manager</x:v>
      </x:c>
      <x:c r="F255" s="90" t="str">
        <x:v>This policy applies to the Risk Manager, all department directors, the Administrator, the Risk Management Committee, and all personnel responsible for conducting or contributing to risk assessments. ---</x:v>
      </x:c>
      <x:c r="G255" s="90" t="str">
        <x:v>Assign — read + bundled quiz</x:v>
      </x:c>
      <x:c r="H255" s="90" t="str">
        <x:v>ADM, DON, GB</x:v>
      </x:c>
      <x:c r="I255" s="90" t="str">
        <x:v>ADM-05, DON-08, GB-12</x:v>
      </x:c>
      <x:c r="J255" s="90" t="str">
        <x:v>Administrator owns escalation, continuity, prioritization, insurance, claims, and trend response. DON manages staffing, training, occupational clearance, emergencies, risk, performance, and supervisory employment obligations. Board oversight includes emergency program resources and enterprise risk priorities.</x:v>
      </x:c>
      <x:c r="K255" s="90" t="str">
        <x:v>Internal body reviewed</x:v>
      </x:c>
      <x:c r="L255" s="90" t="str">
        <x:v>12-allPoliciesContent.generated.ts — RM-ER-003</x:v>
      </x:c>
      <x:c r="M255" s="90" t="str"/>
    </x:row>
    <x:row r="256" ht="58" customHeight="1">
      <x:c r="A256" s="90" t="str">
        <x:v>RM-ER-004</x:v>
      </x:c>
      <x:c r="B256" s="90" t="str">
        <x:v>Liability &amp; Insurance Management</x:v>
      </x:c>
      <x:c r="C256" s="90" t="str">
        <x:v>REQUIRED</x:v>
      </x:c>
      <x:c r="D256" s="90" t="str">
        <x:v>ACTIVE</x:v>
      </x:c>
      <x:c r="E256" s="90" t="str">
        <x:v>Risk Manager</x:v>
      </x:c>
      <x:c r="F256" s="90" t="str">
        <x:v>This policy applies to the Governing Body, Administrator, Risk Manager, CFO/Revenue Cycle Director, and any personnel involved in insurance procurement, claims management, or risk transfer decisions. ---</x:v>
      </x:c>
      <x:c r="G256" s="90" t="str">
        <x:v>Assign — read + bundled quiz</x:v>
      </x:c>
      <x:c r="H256" s="90" t="str">
        <x:v>ADM</x:v>
      </x:c>
      <x:c r="I256" s="90" t="str">
        <x:v>ADM-05</x:v>
      </x:c>
      <x:c r="J256" s="90" t="str">
        <x:v>Administrator owns escalation, continuity, prioritization, insurance, claims, and trend response.</x:v>
      </x:c>
      <x:c r="K256" s="90" t="str">
        <x:v>Internal body reviewed</x:v>
      </x:c>
      <x:c r="L256" s="90" t="str">
        <x:v>12-allPoliciesContent.generated.ts — RM-ER-004</x:v>
      </x:c>
      <x:c r="M256" s="90" t="str"/>
    </x:row>
    <x:row r="257" ht="58" customHeight="1">
      <x:c r="A257" s="90" t="str">
        <x:v>RM-ER-005</x:v>
      </x:c>
      <x:c r="B257" s="90" t="str">
        <x:v>Risk Trending &amp; Pattern Analysis</x:v>
      </x:c>
      <x:c r="C257" s="90" t="str">
        <x:v>ESSENTIAL</x:v>
      </x:c>
      <x:c r="D257" s="90" t="str">
        <x:v>ACTIVE</x:v>
      </x:c>
      <x:c r="E257" s="90" t="str">
        <x:v>Risk Manager</x:v>
      </x:c>
      <x:c r="F257" s="90" t="str">
        <x:v>This policy applies to the Risk Manager, QAPI Coordinator, Risk Management Committee, and all personnel who generate, collect, or analyze risk-related data. ---</x:v>
      </x:c>
      <x:c r="G257" s="90" t="str">
        <x:v>Assign — read + bundled quiz</x:v>
      </x:c>
      <x:c r="H257" s="90" t="str">
        <x:v>ADM</x:v>
      </x:c>
      <x:c r="I257" s="90" t="str">
        <x:v>ADM-05</x:v>
      </x:c>
      <x:c r="J257" s="90" t="str">
        <x:v>Administrator owns escalation, continuity, prioritization, insurance, claims, and trend response.</x:v>
      </x:c>
      <x:c r="K257" s="90" t="str">
        <x:v>Internal body reviewed</x:v>
      </x:c>
      <x:c r="L257" s="90" t="str">
        <x:v>12-allPoliciesContent.generated.ts — RM-ER-005</x:v>
      </x:c>
      <x:c r="M257" s="90" t="str"/>
    </x:row>
    <x:row r="258" ht="58" customHeight="1">
      <x:c r="A258" s="90" t="str">
        <x:v>RM-ER-006</x:v>
      </x:c>
      <x:c r="B258" s="90" t="str">
        <x:v>Claims Management &amp; Litigation Support</x:v>
      </x:c>
      <x:c r="C258" s="90" t="str">
        <x:v>ESSENTIAL</x:v>
      </x:c>
      <x:c r="D258" s="90" t="str">
        <x:v>ACTIVE</x:v>
      </x:c>
      <x:c r="E258" s="90" t="str">
        <x:v>Risk Manager</x:v>
      </x:c>
      <x:c r="F258" s="90" t="str">
        <x:v>This policy applies to the Risk Manager, Administrator, Compliance Officer, Governing Body, legal counsel, insurance carriers, and any personnel involved in claims-related activities or litigation support. ---</x:v>
      </x:c>
      <x:c r="G258" s="90" t="str">
        <x:v>Assign — read + bundled quiz</x:v>
      </x:c>
      <x:c r="H258" s="90" t="str">
        <x:v>ADM</x:v>
      </x:c>
      <x:c r="I258" s="90" t="str">
        <x:v>ADM-05</x:v>
      </x:c>
      <x:c r="J258" s="90" t="str">
        <x:v>Administrator owns escalation, continuity, prioritization, insurance, claims, and trend response.</x:v>
      </x:c>
      <x:c r="K258" s="90" t="str">
        <x:v>Internal body reviewed</x:v>
      </x:c>
      <x:c r="L258" s="90" t="str">
        <x:v>12-allPoliciesContent.generated.ts — RM-ER-006</x:v>
      </x:c>
      <x:c r="M258" s="90" t="str"/>
    </x:row>
    <x:row r="259" ht="58" customHeight="1">
      <x:c r="A259" s="90" t="str">
        <x:v>RM-OS-001</x:v>
      </x:c>
      <x:c r="B259" s="90" t="str">
        <x:v>Cal/OSHA Injury &amp; Illness Prevention Program (IIPP)</x:v>
      </x:c>
      <x:c r="C259" s="90" t="str">
        <x:v>REQUIRED</x:v>
      </x:c>
      <x:c r="D259" s="90" t="str">
        <x:v>ACTIVE</x:v>
      </x:c>
      <x:c r="E259" s="90" t="str">
        <x:v>Risk Manager / Administrator</x:v>
      </x:c>
      <x:c r="F259" s="90" t="str">
        <x:v>This program applies to: * All employees of Care Indeed Home Health Care, Inc. in all roles (clinical, administrative, supportive) * All work locations: the agency's main office, any branch offices, all patient homes and community settings where employees perform services * Pe…</x:v>
      </x:c>
      <x:c r="G259" s="90" t="str">
        <x:v>Assign — read + bundled quiz</x:v>
      </x:c>
      <x:c r="H259" s="90" t="str">
        <x:v>General</x:v>
      </x:c>
      <x:c r="I259" s="90" t="str">
        <x:v>G-05</x:v>
      </x:c>
      <x:c r="J259" s="90" t="str">
        <x:v>All employees need agency-specific hazard, violence, injury, adverse-event, and escalation procedures.</x:v>
      </x:c>
      <x:c r="K259" s="90" t="str">
        <x:v>Internal body reviewed</x:v>
      </x:c>
      <x:c r="L259" s="90" t="str">
        <x:v>12-allPoliciesContent.generated.ts — RM-OS-001</x:v>
      </x:c>
      <x:c r="M259" s="90" t="str"/>
    </x:row>
    <x:row r="260" ht="58" customHeight="1">
      <x:c r="A260" s="90" t="str">
        <x:v>RM-OS-002</x:v>
      </x:c>
      <x:c r="B260" s="90" t="str">
        <x:v>Aerosol Transmissible Disease (ATD) Exposure Control Plan</x:v>
      </x:c>
      <x:c r="C260" s="90" t="str">
        <x:v>REQUIRED</x:v>
      </x:c>
      <x:c r="D260" s="90" t="str">
        <x:v>ACTIVE</x:v>
      </x:c>
      <x:c r="E260" s="90" t="str">
        <x:v>Risk Manager / Director of Nursing</x:v>
      </x:c>
      <x:c r="F260" s="90" t="str">
        <x:v>This plan applies to: * All employees of Care Indeed Home Health Care, Inc. who may have occupational exposure to aerosol transmissible pathogens in the course of their work duties * All work settings: patient residences, group homes, skilled nursing facilities visited for car…</x:v>
      </x:c>
      <x:c r="G260" s="90" t="str">
        <x:v>Assign — read + bundled quiz</x:v>
      </x:c>
      <x:c r="H260" s="90" t="str">
        <x:v>LVN, RN, HHA, PT, PTA, OT, COTA, SLP, MSW</x:v>
      </x:c>
      <x:c r="I260" s="90" t="str">
        <x:v>LVN-04, RN-08, HHA-05, PT-02, PTA-02, OT-02, COTA-02, SLP-01, MSW-01</x:v>
      </x:c>
      <x:c r="J260" s="90" t="str">
        <x:v>Covers common nursing safety risks and condition-specific competencies within the LVN assignment.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documentation, orders, trans…</x:v>
      </x:c>
      <x:c r="K260" s="90" t="str">
        <x:v>Internal body reviewed</x:v>
      </x:c>
      <x:c r="L260" s="90" t="str">
        <x:v>12-allPoliciesContent.generated.ts — RM-OS-002</x:v>
      </x:c>
      <x:c r="M260" s="90" t="str">
        <x:v>https://www.dir.ca.gov/title8/5199.html</x:v>
      </x:c>
    </x:row>
    <x:row r="261" ht="58" customHeight="1">
      <x:c r="A261" s="90" t="str">
        <x:v>RM-OS-003</x:v>
      </x:c>
      <x:c r="B261" s="90" t="str">
        <x:v>Bloodborne Pathogen (BBP) Exposure Control Plan</x:v>
      </x:c>
      <x:c r="C261" s="90" t="str">
        <x:v>REQUIRED</x:v>
      </x:c>
      <x:c r="D261" s="90" t="str">
        <x:v>ACTIVE</x:v>
      </x:c>
      <x:c r="E261" s="90" t="str">
        <x:v>Risk Manager / Director of Nursing</x:v>
      </x:c>
      <x:c r="F261" s="90" t="str">
        <x:v>This plan applies to: * All employees and contractors of Care Indeed Home Health Care, Inc. with reasonably anticipated occupational exposure to blood or other potentially infectious materials (OPIM) in the performance of their duties, without regard to personal protective equ…</x:v>
      </x:c>
      <x:c r="G261" s="90" t="str">
        <x:v>Assign — read + bundled quiz</x:v>
      </x:c>
      <x:c r="H261" s="90" t="str">
        <x:v>LVN, RN, HHA, PT, PTA, OT, COTA, SLP, MSW</x:v>
      </x:c>
      <x:c r="I261" s="90" t="str">
        <x:v>LVN-04, RN-08, HHA-05, PT-02, PTA-02, OT-02, COTA-02, SLP-01, MSW-01</x:v>
      </x:c>
      <x:c r="J261" s="90" t="str">
        <x:v>Covers common nursing safety risks and condition-specific competencies within the LVN assignment.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documentation, orders, trans…</x:v>
      </x:c>
      <x:c r="K261" s="90" t="str">
        <x:v>Internal body reviewed</x:v>
      </x:c>
      <x:c r="L261" s="90" t="str">
        <x:v>12-allPoliciesContent.generated.ts — RM-OS-003</x:v>
      </x:c>
      <x:c r="M261" s="90" t="str">
        <x:v>https://www.dir.ca.gov/title8/5193.html</x:v>
      </x:c>
    </x:row>
    <x:row r="262" ht="58" customHeight="1">
      <x:c r="A262" s="90" t="str">
        <x:v>RM-OS-004</x:v>
      </x:c>
      <x:c r="B262" s="90" t="str">
        <x:v>Heat Illness Prevention Program</x:v>
      </x:c>
      <x:c r="C262" s="90" t="str">
        <x:v>REQUIRED</x:v>
      </x:c>
      <x:c r="D262" s="90" t="str">
        <x:v>ACTIVE</x:v>
      </x:c>
      <x:c r="E262" s="90" t="str">
        <x:v>Risk Manager / Administrator</x:v>
      </x:c>
      <x:c r="F262" s="90" t="str">
        <x:v>This policy applies to: * All employees of Care Indeed Home Health Care, Inc. who perform work duties in outdoor environments or in indoor environments where temperatures may reach or exceed 82°F * Job classifications primarily affected: Registered Nurse (RN), Licensed Vocatio…</x:v>
      </x:c>
      <x:c r="G262" s="90" t="str">
        <x:v>Assign conditionally — read + bundled quiz</x:v>
      </x:c>
      <x:c r="H262" s="90" t="str">
        <x:v>LVN, RN, HHA, PT, PTA, OT, COTA, SLP, MSW</x:v>
      </x:c>
      <x:c r="I262" s="90" t="str">
        <x:v>LVN-05, RN-08, HHA-05, PT-02, PTA-02, OT-02, COTA-02, SLP-01, MSW-01</x:v>
      </x:c>
      <x:c r="J262" s="90" t="str">
        <x:v>Combines universal transition duties with task-, population-, and field-triggered procedures.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documentation, orders, transitio…</x:v>
      </x:c>
      <x:c r="K262" s="90" t="str">
        <x:v>Internal body reviewed</x:v>
      </x:c>
      <x:c r="L262" s="90" t="str">
        <x:v>12-allPoliciesContent.generated.ts — RM-OS-004</x:v>
      </x:c>
      <x:c r="M262" s="90" t="str"/>
    </x:row>
    <x:row r="263" ht="58" customHeight="1">
      <x:c r="A263" s="90" t="str">
        <x:v>RM-OS-101</x:v>
      </x:c>
      <x:c r="B263" s="90" t="str">
        <x:v>Cal/OSHA Occupational Safety Program (IIPP)</x:v>
      </x:c>
      <x:c r="C263" s="90" t="str">
        <x:v>REQUIRED</x:v>
      </x:c>
      <x:c r="D263" s="90" t="str">
        <x:v>ACTIVE</x:v>
      </x:c>
      <x:c r="E263" s="90" t="str">
        <x:v>Risk Manager</x:v>
      </x:c>
      <x:c r="F263" s="90" t="str">
        <x:v>This policy applies to all employees, contractors, per diem staff, students, interns, and volunteers of Care Indeed Home Health Care, Inc. who perform work activities in any location including the agency's office, patient homes, community settings, and while traveling for agen…</x:v>
      </x:c>
      <x:c r="G263" s="90" t="str">
        <x:v>Not a separate scored LMS assignment</x:v>
      </x:c>
      <x:c r="H263" s="90" t="str"/>
      <x:c r="I263" s="90" t="str"/>
      <x:c r="J263" s="90" t="str">
        <x:v>Do not assign while RM-OS-001 is the selected IIPP master; reconcile cross-references and retire one source.</x:v>
      </x:c>
      <x:c r="K263" s="90" t="str">
        <x:v>Internal body reviewed</x:v>
      </x:c>
      <x:c r="L263" s="90" t="str">
        <x:v>12-allPoliciesContent.generated.ts — RM-OS-101</x:v>
      </x:c>
      <x:c r="M263" s="90" t="str"/>
    </x:row>
    <x:row r="264" ht="58" customHeight="1">
      <x:c r="A264" s="90" t="str">
        <x:v>RM-PS-001</x:v>
      </x:c>
      <x:c r="B264" s="90" t="str">
        <x:v>Environmental Safety Assessment</x:v>
      </x:c>
      <x:c r="C264" s="90" t="str">
        <x:v>REQUIRED</x:v>
      </x:c>
      <x:c r="D264" s="90" t="str">
        <x:v>ACTIVE</x:v>
      </x:c>
      <x:c r="E264" s="90" t="str">
        <x:v>Risk Manager</x:v>
      </x:c>
      <x:c r="F264" s="90" t="str">
        <x:v>This policy applies to all clinical staff of Care Indeed Home Health Care, Inc. who provide services in patient homes, including registered nurses, licensed vocational nurses, physical therapists, occupational therapists, speech-language pathologists, medical social workers, h…</x:v>
      </x:c>
      <x:c r="G264" s="90" t="str">
        <x:v>Assign — read + bundled quiz</x:v>
      </x:c>
      <x:c r="H264" s="90" t="str">
        <x:v>LVN, RN, HHA, PT, PTA, OT, COTA, SLP, MSW</x:v>
      </x:c>
      <x:c r="I264" s="90" t="str">
        <x:v>LVN-05, RN-08, HHA-05, PT-02, PTA-02, OT-02, COTA-02, SLP-01, MSW-01</x:v>
      </x:c>
      <x:c r="J264" s="90" t="str">
        <x:v>Combines universal transition duties with task-, population-, and field-triggered procedures.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documentation, orders, transitio…</x:v>
      </x:c>
      <x:c r="K264" s="90" t="str">
        <x:v>Internal body reviewed</x:v>
      </x:c>
      <x:c r="L264" s="90" t="str">
        <x:v>12-allPoliciesContent.generated.ts — RM-PS-001</x:v>
      </x:c>
      <x:c r="M264" s="90" t="str"/>
    </x:row>
    <x:row r="265" ht="58" customHeight="1">
      <x:c r="A265" s="90" t="str">
        <x:v>RM-PS-002</x:v>
      </x:c>
      <x:c r="B265" s="90" t="str">
        <x:v>Hazardous Materials &amp; Waste Management</x:v>
      </x:c>
      <x:c r="C265" s="90" t="str">
        <x:v>REQUIRED</x:v>
      </x:c>
      <x:c r="D265" s="90" t="str">
        <x:v>ACTIVE</x:v>
      </x:c>
      <x:c r="E265" s="90" t="str">
        <x:v>Risk Manager</x:v>
      </x:c>
      <x:c r="F265" s="90" t="str">
        <x:v>This policy applies to all clinical staff, home health aides, and any personnel who handle, transport, or dispose of medical waste, sharps, biohazardous materials, or pharmaceutical waste during agency operations. ---</x:v>
      </x:c>
      <x:c r="G265" s="90" t="str">
        <x:v>Assign conditionally — read + bundled quiz</x:v>
      </x:c>
      <x:c r="H265" s="90" t="str">
        <x:v>LVN, RN, HHA</x:v>
      </x:c>
      <x:c r="I265" s="90" t="str">
        <x:v>LVN-05, RN-06, HHA-05</x:v>
      </x:c>
      <x:c r="J265" s="90" t="str">
        <x:v>Combines universal transition duties with task-, population-, and field-triggered procedures. Assign only when the RN will perform or oversee the specialty service. Federal HHA in-service hours must be documented; specialty, exposure, equipment, driving, and weather modules are assigned by work performed.</x:v>
      </x:c>
      <x:c r="K265" s="90" t="str">
        <x:v>Internal body reviewed</x:v>
      </x:c>
      <x:c r="L265" s="90" t="str">
        <x:v>12-allPoliciesContent.generated.ts — RM-PS-002</x:v>
      </x:c>
      <x:c r="M265" s="90" t="str"/>
    </x:row>
    <x:row r="266" ht="58" customHeight="1">
      <x:c r="A266" s="90" t="str">
        <x:v>RM-PS-003</x:v>
      </x:c>
      <x:c r="B266" s="90" t="str">
        <x:v>Product &amp; Equipment Safety Recall Management</x:v>
      </x:c>
      <x:c r="C266" s="90" t="str">
        <x:v>ESSENTIAL</x:v>
      </x:c>
      <x:c r="D266" s="90" t="str">
        <x:v>ACTIVE</x:v>
      </x:c>
      <x:c r="E266" s="90" t="str">
        <x:v>Risk Manager</x:v>
      </x:c>
      <x:c r="F266" s="90" t="str">
        <x:v>This policy applies to the Risk Manager, Operations Director, Director of Nursing, all clinical staff, and all personnel responsible for procuring, distributing, or using medical products, devices, or equipment on behalf of the agency. ---</x:v>
      </x:c>
      <x:c r="G266" s="90" t="str">
        <x:v>Assign — read + bundled quiz</x:v>
      </x:c>
      <x:c r="H266" s="90" t="str">
        <x:v>LVN, RN, HHA, PT, PTA, OT, COTA, SLP, MSW</x:v>
      </x:c>
      <x:c r="I266" s="90" t="str">
        <x:v>LVN-05, RN-06, HHA-05, PT-02, PTA-02, OT-02, COTA-02, SLP-01, MSW-01</x:v>
      </x:c>
      <x:c r="J266" s="90" t="str">
        <x:v>Combines universal transition duties with task-, population-, and field-triggered procedures. Assign only when the RN will perform or oversee the specialty service. Federal HHA in-service hours must be documented; specialty, exposure, equipment, driving, and weather modules are assigned by work performed. Common professional therapy duties for documentation, orders, transitions, patient safeguards, and field safet…</x:v>
      </x:c>
      <x:c r="K266" s="90" t="str">
        <x:v>Internal body reviewed</x:v>
      </x:c>
      <x:c r="L266" s="90" t="str">
        <x:v>12-allPoliciesContent.generated.ts — RM-PS-003</x:v>
      </x:c>
      <x:c r="M266" s="90" t="str"/>
    </x:row>
    <x:row r="267" ht="58" customHeight="1">
      <x:c r="A267" s="90" t="str">
        <x:v>RM-PS-004</x:v>
      </x:c>
      <x:c r="B267" s="90" t="str">
        <x:v>Patient Elopement &amp; Wandering Risk</x:v>
      </x:c>
      <x:c r="C267" s="90" t="str">
        <x:v>ESSENTIAL</x:v>
      </x:c>
      <x:c r="D267" s="90" t="str">
        <x:v>ACTIVE</x:v>
      </x:c>
      <x:c r="E267" s="90" t="str">
        <x:v>Risk Manager</x:v>
      </x:c>
      <x:c r="F267" s="90" t="str">
        <x:v>This policy applies to all clinical staff who assess, plan, and deliver care to patients with identified or suspected elopement/wandering risk, their supervisors, and the Director of Nursing. ---</x:v>
      </x:c>
      <x:c r="G267" s="90" t="str">
        <x:v>Not a separate scored LMS assignment</x:v>
      </x:c>
      <x:c r="H267" s="90" t="str"/>
      <x:c r="I267" s="90" t="str"/>
      <x:c r="J267" s="90" t="str">
        <x:v>Reviewed — risk-owner procedure; workforce safety and leadership risk policies are mapped separately.</x:v>
      </x:c>
      <x:c r="K267" s="90" t="str">
        <x:v>Internal body reviewed</x:v>
      </x:c>
      <x:c r="L267" s="90" t="str">
        <x:v>12-allPoliciesContent.generated.ts — RM-PS-004</x:v>
      </x:c>
      <x:c r="M267" s="90" t="str"/>
    </x:row>
    <x:row r="268" ht="58" customHeight="1">
      <x:c r="A268" s="90" t="str">
        <x:v>RM-PS-005</x:v>
      </x:c>
      <x:c r="B268" s="90" t="str">
        <x:v>High-Risk Medication Safety</x:v>
      </x:c>
      <x:c r="C268" s="90" t="str">
        <x:v>REQUIRED</x:v>
      </x:c>
      <x:c r="D268" s="90" t="str">
        <x:v>ACTIVE</x:v>
      </x:c>
      <x:c r="E268" s="90" t="str">
        <x:v>Risk Manager</x:v>
      </x:c>
      <x:c r="F268" s="90" t="str">
        <x:v>This policy applies to all clinical staff who assess, administer, manage, or educate patients regarding high-risk medications, including registered nurses, licensed vocational nurses, therapists contributing to medication management, and their supervisors. ---</x:v>
      </x:c>
      <x:c r="G268" s="90" t="str">
        <x:v>Assign — read + bundled quiz</x:v>
      </x:c>
      <x:c r="H268" s="90" t="str">
        <x:v>LVN, RN, PT, PTA, OT, COTA, SLP, DON</x:v>
      </x:c>
      <x:c r="I268" s="90" t="str">
        <x:v>LVN-04, RN-05, PT-03, PTA-03, OT-03, COTA-03, SLP-01, DON-05</x:v>
      </x:c>
      <x:c r="J268" s="90" t="str">
        <x:v>Covers common nursing safety risks and condition-specific competencies within the LVN assignment. Addresses recurring nursing risks and condition-specific competency triggers. Federal rules permit PT assessment in therapy-only cases, but the supplied RN-only policy text must be corrected before this module is released. Assign only for services within PTA scope and the supervising PT plan; no independent OASIS assi…</x:v>
      </x:c>
      <x:c r="K268" s="90" t="str">
        <x:v>Internal body reviewed</x:v>
      </x:c>
      <x:c r="L268" s="90" t="str">
        <x:v>12-allPoliciesContent.generated.ts — RM-PS-005</x:v>
      </x:c>
      <x:c r="M268" s="90" t="str"/>
    </x:row>
    <x:row r="269" ht="58" customHeight="1">
      <x:c r="A269" s="90" t="str">
        <x:v>RM-SS-001</x:v>
      </x:c>
      <x:c r="B269" s="90" t="str">
        <x:v>Staff Safety &amp; Personal Security</x:v>
      </x:c>
      <x:c r="C269" s="90" t="str">
        <x:v>REQUIRED</x:v>
      </x:c>
      <x:c r="D269" s="90" t="str">
        <x:v>ACTIVE</x:v>
      </x:c>
      <x:c r="E269" s="90" t="str">
        <x:v>Risk Manager</x:v>
      </x:c>
      <x:c r="F269" s="90" t="str">
        <x:v>This policy applies to all employees, contracted staff, and per diem personnel of Care Indeed Home Health Care, Inc. who provide services in patient homes or travel for agency business, as well as supervisory personnel responsible for staff deployment and scheduling. ---</x:v>
      </x:c>
      <x:c r="G269" s="90" t="str">
        <x:v>Assign — read + bundled quiz</x:v>
      </x:c>
      <x:c r="H269" s="90" t="str">
        <x:v>LVN, RN, HHA, PT, PTA, OT, COTA, SLP, MSW</x:v>
      </x:c>
      <x:c r="I269" s="90" t="str">
        <x:v>LVN-05, RN-08, HHA-05, PT-02, PTA-02, OT-02, COTA-02, SLP-01, MSW-01</x:v>
      </x:c>
      <x:c r="J269" s="90" t="str">
        <x:v>Combines universal transition duties with task-, population-, and field-triggered procedures.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documentation, orders, transitio…</x:v>
      </x:c>
      <x:c r="K269" s="90" t="str">
        <x:v>Internal body reviewed</x:v>
      </x:c>
      <x:c r="L269" s="90" t="str">
        <x:v>12-allPoliciesContent.generated.ts — RM-SS-001</x:v>
      </x:c>
      <x:c r="M269" s="90" t="str"/>
    </x:row>
    <x:row r="270" ht="58" customHeight="1">
      <x:c r="A270" s="90" t="str">
        <x:v>RM-SS-002</x:v>
      </x:c>
      <x:c r="B270" s="90" t="str">
        <x:v>Workplace Violence Prevention</x:v>
      </x:c>
      <x:c r="C270" s="90" t="str">
        <x:v>REQUIRED</x:v>
      </x:c>
      <x:c r="D270" s="90" t="str">
        <x:v>ACTIVE</x:v>
      </x:c>
      <x:c r="E270" s="90" t="str">
        <x:v>Risk Manager</x:v>
      </x:c>
      <x:c r="F270" s="90" t="str">
        <x:v>This policy applies to all employees, contractors, per diem staff, and volunteers of Care Indeed Home Health Care, Inc. It covers all work settings including patient homes, the agency office, community locations, and while in transit. ---</x:v>
      </x:c>
      <x:c r="G270" s="90" t="str">
        <x:v>Assign — read + bundled quiz</x:v>
      </x:c>
      <x:c r="H270" s="90" t="str">
        <x:v>General</x:v>
      </x:c>
      <x:c r="I270" s="90" t="str">
        <x:v>G-05</x:v>
      </x:c>
      <x:c r="J270" s="90" t="str">
        <x:v>All employees need agency-specific hazard, violence, injury, adverse-event, and escalation procedures.</x:v>
      </x:c>
      <x:c r="K270" s="90" t="str">
        <x:v>Internal body reviewed</x:v>
      </x:c>
      <x:c r="L270" s="90" t="str">
        <x:v>12-allPoliciesContent.generated.ts — RM-SS-002</x:v>
      </x:c>
      <x:c r="M270" s="90" t="str">
        <x:v>https://leginfo.legislature.ca.gov/faces/codes_displaySection.xhtml?lawCode=LAB&amp;sectionNum=6401.9.</x:v>
      </x:c>
    </x:row>
    <x:row r="271" ht="58" customHeight="1">
      <x:c r="A271" s="90" t="str">
        <x:v>RM-SS-003</x:v>
      </x:c>
      <x:c r="B271" s="90" t="str">
        <x:v>Motor Vehicle Safety &amp; Accident Reporting</x:v>
      </x:c>
      <x:c r="C271" s="90" t="str">
        <x:v>ESSENTIAL</x:v>
      </x:c>
      <x:c r="D271" s="90" t="str">
        <x:v>ACTIVE</x:v>
      </x:c>
      <x:c r="E271" s="90" t="str">
        <x:v>Risk Manager</x:v>
      </x:c>
      <x:c r="F271" s="90" t="str">
        <x:v>This policy applies to: All employees of Care Indeed Home Health Care, Inc. who use personal vehicles or agency-owned/leased vehicles for agency business All contracted and per diem staff who drive to patient homes or other locations for agency services All supervisory and man…</x:v>
      </x:c>
      <x:c r="G271" s="90" t="str">
        <x:v>Assign conditionally — read + bundled quiz</x:v>
      </x:c>
      <x:c r="H271" s="90" t="str">
        <x:v>LVN, RN, HHA, PT, PTA, OT, COTA, SLP, MSW</x:v>
      </x:c>
      <x:c r="I271" s="90" t="str">
        <x:v>LVN-05, RN-08, HHA-05, PT-02, PTA-02, OT-02, COTA-02, SLP-01, MSW-01</x:v>
      </x:c>
      <x:c r="J271" s="90" t="str">
        <x:v>Combines universal transition duties with task-, population-, and field-triggered procedures. Links documentation and competency to outcomes, infection surveillance, utilization, and safe field practice. Federal HHA in-service hours must be documented; specialty, exposure, equipment, driving, and weather modules are assigned by work performed. Common professional therapy duties for documentation, orders, transitio…</x:v>
      </x:c>
      <x:c r="K271" s="90" t="str">
        <x:v>Internal body reviewed</x:v>
      </x:c>
      <x:c r="L271" s="90" t="str">
        <x:v>12-allPoliciesContent.generated.ts — RM-SS-003</x:v>
      </x:c>
      <x:c r="M271" s="90" t="str"/>
    </x:row>
    <x:row r="272" ht="58" customHeight="1">
      <x:c r="A272" s="90" t="str">
        <x:v>CL-OA-101</x:v>
      </x:c>
      <x:c r="B272" s="90" t="str">
        <x:v>OASIS Data Accuracy, Validation &amp; Submission Integrity</x:v>
      </x:c>
      <x:c r="C272" s="90" t="str">
        <x:v>REQUIRED</x:v>
      </x:c>
      <x:c r="D272" s="90" t="str">
        <x:v>ACTIVE</x:v>
      </x:c>
      <x:c r="E272" s="90" t="str">
        <x:v>Director of Nursing / OASIS Coordinator</x:v>
      </x:c>
      <x:c r="F272" s="90" t="str">
        <x:v>Applies to all RNs, PTs, OTs, and SLPs qualified to complete OASIS per 42 CFR § 484.55(a)(2); the OASIS Coordinator / QAPI Director responsible for pre-submission validation; and all assessment time points (SOC, ROC, RECERT, OFU, TRN, DC, Death at Home). ---</x:v>
      </x:c>
      <x:c r="G272" s="90" t="str">
        <x:v>Hold — correction required</x:v>
      </x:c>
      <x:c r="H272" s="90" t="str">
        <x:v>RN, PT, OT, SLP, DON</x:v>
      </x:c>
      <x:c r="I272" s="90" t="str">
        <x:v>RN-04, PT-03, OT-03, SLP-01, DON-03</x:v>
      </x:c>
      <x:c r="J272" s="90" t="str">
        <x:v>OASIS is high-risk and requires a single controlled competency course rather than 20 separate quizzes. Federal rules permit PT assessment in therapy-only cases, but the supplied RN-only policy text must be corrected before this module is released. Federal rules permit OT assessment in specified therapy-only cases, but the supplied RN-only policy text must be corrected before release. One integrated SLP course cove…</x:v>
      </x:c>
      <x:c r="K272" s="90" t="str">
        <x:v>Conflict/correction required</x:v>
      </x:c>
      <x:c r="L272" s="90" t="str">
        <x:v>12-allPoliciesContent.generated.ts — CL-OA-101</x:v>
      </x:c>
      <x:c r="M272" s="90" t="str">
        <x:v>https://www.ecfr.gov/current/title-42/part-484/section-484.55</x:v>
      </x:c>
    </x:row>
    <x:row r="273" ht="58" customHeight="1">
      <x:c r="A273" s="90" t="str">
        <x:v>CL-DC-101</x:v>
      </x:c>
      <x:c r="B273" s="90" t="str">
        <x:v>Clinical Documentation Integrity &amp; Authenticity</x:v>
      </x:c>
      <x:c r="C273" s="90" t="str">
        <x:v>REQUIRED</x:v>
      </x:c>
      <x:c r="D273" s="90" t="str">
        <x:v>ACTIVE</x:v>
      </x:c>
      <x:c r="E273" s="90" t="str">
        <x:v>Director of Nursing / Compliance Officer</x:v>
      </x:c>
      <x:c r="F273" s="90" t="str">
        <x:v>Applies to all clinical documentation in any modality (EHR, paper, voice-to-text, AI-assisted) created by RNs, LVNs, PT/PTA, OT/COTA, SLP, MSW, HHA, and any contracted clinician. ---</x:v>
      </x:c>
      <x:c r="G273" s="90" t="str">
        <x:v>Assign — read + bundled quiz</x:v>
      </x:c>
      <x:c r="H273" s="90" t="str">
        <x:v>DON</x:v>
      </x:c>
      <x:c r="I273" s="90" t="str">
        <x:v>DON-02</x:v>
      </x:c>
      <x:c r="J273" s="90" t="str">
        <x:v>DON must set and audit clinical documentation, orders, coordination, transfers, discharge, and recertification controls.</x:v>
      </x:c>
      <x:c r="K273" s="90" t="str">
        <x:v>Internal body reviewed</x:v>
      </x:c>
      <x:c r="L273" s="90" t="str">
        <x:v>12-allPoliciesContent.generated.ts — CL-DC-101</x:v>
      </x:c>
      <x:c r="M273" s="90" t="str">
        <x:v>https://www.ecfr.gov/current/title-42/part-484/section-484.110</x:v>
      </x:c>
    </x:row>
    <x:row r="274" ht="58" customHeight="1">
      <x:c r="A274" s="90" t="str">
        <x:v>CL-CC-101</x:v>
      </x:c>
      <x:c r="B274" s="90" t="str">
        <x:v>Care Coordination &amp; SDOH Management</x:v>
      </x:c>
      <x:c r="C274" s="90" t="str">
        <x:v>REQUIRED</x:v>
      </x:c>
      <x:c r="D274" s="90" t="str">
        <x:v>ACTIVE</x:v>
      </x:c>
      <x:c r="E274" s="90" t="str">
        <x:v>Director of Nursing</x:v>
      </x:c>
      <x:c r="F274" s="90" t="str">
        <x:v>Applies to all patients admitted to home health services and to all clinicians (RN, PT, OT, SLP, MSW, HHA) and care coordination personnel. ---</x:v>
      </x:c>
      <x:c r="G274" s="90" t="str">
        <x:v>Assign — read + bundled quiz</x:v>
      </x:c>
      <x:c r="H274" s="90" t="str">
        <x:v>LVN, RN, HHA, PT, PTA, OT, COTA, SLP, MSW, DON</x:v>
      </x:c>
      <x:c r="I274" s="90" t="str">
        <x:v>LVN-03, RN-02, HHA-03, PT-02, PTA-02, OT-02, COTA-02, SLP-01, MSW-01, DON-02</x:v>
      </x:c>
      <x:c r="J274" s="90" t="str">
        <x:v>Patient-facing rules that govern consent, emergency response, access, identification, property, and coordination. RN case management depends on compliant documentation, order handling, coordination, recertification, transfer, and discharge. Aides must document tasks, report changes, coordinate with the supervisor, and follow visit scheduling/frequency rules. Common professional therapy duties for documentation, or…</x:v>
      </x:c>
      <x:c r="K274" s="90" t="str">
        <x:v>Internal body reviewed</x:v>
      </x:c>
      <x:c r="L274" s="90" t="str">
        <x:v>12-allPoliciesContent.generated.ts — CL-CC-101</x:v>
      </x:c>
      <x:c r="M274" s="90" t="str">
        <x:v>https://www.ecfr.gov/current/title-42/part-484/section-484.60</x:v>
      </x:c>
    </x:row>
    <x:row r="275" ht="58" customHeight="1">
      <x:c r="A275" s="90" t="str">
        <x:v>QA-VBP-101</x:v>
      </x:c>
      <x:c r="B275" s="90" t="str">
        <x:v>HHVBP Performance &amp; Outcomes Management</x:v>
      </x:c>
      <x:c r="C275" s="90" t="str">
        <x:v>REQUIRED</x:v>
      </x:c>
      <x:c r="D275" s="90" t="str">
        <x:v>ACTIVE</x:v>
      </x:c>
      <x:c r="E275" s="90" t="str">
        <x:v>QAPI Director</x:v>
      </x:c>
      <x:c r="F275" s="90" t="str">
        <x:v>Applies to all clinical, administrative, billing, and patient-experience operations contributing to HHVBP-impacting measures: TNC Self-Care, TNC Mobility, Discharged to Community, ACH, ED Use, HHCAHPS composites, and any future CMS-published HHVBP measure. ---</x:v>
      </x:c>
      <x:c r="G275" s="90" t="str">
        <x:v>Assign — read + bundled quiz</x:v>
      </x:c>
      <x:c r="H275" s="90" t="str">
        <x:v>ADM, DON</x:v>
      </x:c>
      <x:c r="I275" s="90" t="str">
        <x:v>ADM-04, DON-06</x:v>
      </x:c>
      <x:c r="J275" s="90" t="str">
        <x:v>Administrator must govern the QAPI plan, projects, indicators, corrective actions, and outcome oversight. DON translates clinical data, events, competency, utilization, and outcomes into QAPI action.</x:v>
      </x:c>
      <x:c r="K275" s="90" t="str">
        <x:v>Internal body reviewed</x:v>
      </x:c>
      <x:c r="L275" s="90" t="str">
        <x:v>12-allPoliciesContent.generated.ts — QA-VBP-101</x:v>
      </x:c>
      <x:c r="M275" s="90" t="str">
        <x:v>https://www.ecfr.gov/current/title-42/part-484/section-484.65</x:v>
      </x:c>
    </x:row>
    <x:row r="276" ht="58" customHeight="1">
      <x:c r="A276" s="90" t="str">
        <x:v>EN-WF-101</x:v>
      </x:c>
      <x:c r="B276" s="90" t="str">
        <x:v>Policy Execution, Workflow Enforcement &amp; Evidence Traceability</x:v>
      </x:c>
      <x:c r="C276" s="90" t="str">
        <x:v>REQUIRED</x:v>
      </x:c>
      <x:c r="D276" s="90" t="str">
        <x:v>ACTIVE</x:v>
      </x:c>
      <x:c r="E276" s="90" t="str">
        <x:v>Compliance Officer + IT Director (joint)</x:v>
      </x:c>
      <x:c r="F276" s="90" t="str">
        <x:v>Applies enterprise-wide: every policy in the library; every clinical, operational, financial, HR, IT, compliance, risk-management, governance workflow; every system that creates, edits, transmits, stores, or destroys agency data; every workforce member, contractor, business as…</x:v>
      </x:c>
      <x:c r="G276" s="90" t="str">
        <x:v>Not a separate scored LMS assignment</x:v>
      </x:c>
      <x:c r="H276" s="90" t="str"/>
      <x:c r="I276" s="90" t="str"/>
      <x:c r="J276" s="90" t="str">
        <x:v>Reviewed — enterprise policy-governance owner procedure; decision-critical items are assigned to ADM/GB.</x:v>
      </x:c>
      <x:c r="K276" s="90" t="str">
        <x:v>Internal body reviewed</x:v>
      </x:c>
      <x:c r="L276" s="90" t="str">
        <x:v>12-allPoliciesContent.generated.ts — EN-WF-101</x:v>
      </x:c>
      <x:c r="M276" s="90" t="str"/>
    </x:row>
  </x:sheetData>
  <x:mergeCells>
    <x:mergeCell ref="A1:M1"/>
    <x:mergeCell ref="A2:M2"/>
  </x:mergeCells>
  <x:conditionalFormatting sqref="G5:G276">
    <x:cfRule type="containsText" dxfId="18" priority="1" operator="containsText" text="Hold"/>
    <x:cfRule type="containsText" dxfId="19" priority="2" operator="containsText" text="Partial"/>
    <x:cfRule type="containsText" dxfId="20" priority="3" operator="containsText" text="Conditional"/>
    <x:cfRule type="containsText" dxfId="21" priority="4" operator="containsText" text="Ready"/>
  </x:conditionalFormatting>
  <x:pageMargins left="0.7" right="0.7" top="0.75" bottom="0.75" header="0.3" footer="0.3"/>
  <x:tableParts count="1">
    <x:tablePart xmlns:r="http://schemas.openxmlformats.org/officeDocument/2006/relationships" r:id="R0071d7fea76a44d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52" hidden="0" customWidth="1"/>
    <x:col min="4" max="4" width="34" hidden="0" customWidth="1"/>
    <x:col min="5" max="5" width="52" hidden="0" customWidth="1"/>
    <x:col min="6" max="6" width="26" hidden="0" customWidth="1"/>
    <x:col min="7" max="7" width="46" hidden="0" customWidth="1"/>
    <x:col min="8" max="8" width="46" hidden="0" customWidth="1"/>
  </x:cols>
  <x:sheetData>
    <x:row r="1" ht="34" customHeight="1">
      <x:c r="A1" s="3" t="str">
        <x:v>Release Blockers</x:v>
      </x:c>
      <x:c r="B1" s="85"/>
      <x:c r="C1" s="85"/>
      <x:c r="D1" s="85"/>
      <x:c r="E1" s="85"/>
      <x:c r="F1" s="85"/>
      <x:c r="G1" s="85"/>
      <x:c r="H1" s="85"/>
    </x:row>
    <x:row r="2" ht="30" customHeight="1">
      <x:c r="A2" s="7" t="str">
        <x:v>Owner actions required before publishing affected courses. Critical issues are substantive, not cosmetic.</x:v>
      </x:c>
      <x:c r="B2" s="85"/>
      <x:c r="C2" s="85"/>
      <x:c r="D2" s="85"/>
      <x:c r="E2" s="85"/>
      <x:c r="F2" s="85"/>
      <x:c r="G2" s="85"/>
      <x:c r="H2" s="85"/>
    </x:row>
    <x:row r="3">
      <x:c r="A3" s="85"/>
      <x:c r="B3" s="85"/>
      <x:c r="C3" s="85"/>
      <x:c r="D3" s="85"/>
      <x:c r="E3" s="85"/>
      <x:c r="F3" s="85"/>
      <x:c r="G3" s="85"/>
      <x:c r="H3" s="85"/>
    </x:row>
    <x:row r="4" ht="32" customHeight="1">
      <x:c r="A4" s="67" t="str">
        <x:v>Severity</x:v>
      </x:c>
      <x:c r="B4" s="68" t="str">
        <x:v>Issue</x:v>
      </x:c>
      <x:c r="C4" s="68" t="str">
        <x:v>Evidence</x:v>
      </x:c>
      <x:c r="D4" s="68" t="str">
        <x:v>Affected courses</x:v>
      </x:c>
      <x:c r="E4" s="68" t="str">
        <x:v>Required action</x:v>
      </x:c>
      <x:c r="F4" s="68" t="str">
        <x:v>Owner</x:v>
      </x:c>
      <x:c r="G4" s="68" t="str">
        <x:v>Release acceptance</x:v>
      </x:c>
      <x:c r="H4" s="69" t="str">
        <x:v>Authority / source</x:v>
      </x:c>
    </x:row>
    <x:row r="5" ht="54" customHeight="1">
      <x:c r="A5" s="90" t="str">
        <x:v>Critical</x:v>
      </x:c>
      <x:c r="B5" s="90" t="str">
        <x:v>Missing role policy bodies / job-description gaps</x:v>
      </x:c>
      <x:c r="C5" s="90" t="str">
        <x:v>Generated library omits HR-JD-005, -006, -008, -009, -010; PTA and COTA have no dedicated job-description policy.</x:v>
      </x:c>
      <x:c r="D5" s="90" t="str">
        <x:v>LVN-01; RN-01; PT-01; PTA-01; OT-01; COTA-01; SLP-01</x:v>
      </x:c>
      <x:c r="E5" s="90" t="str">
        <x:v>Restore/author the full approved policies, add PTA/COTA job descriptions, and validate IDs/titles against HR-JD-000.</x:v>
      </x:c>
      <x:c r="F5" s="90" t="str">
        <x:v>HR Director + DON</x:v>
      </x:c>
      <x:c r="G5" s="90" t="str">
        <x:v>Do not publish affected role-scope module until complete body is approved and generated.</x:v>
      </x:c>
      <x:c r="H5" s="90" t="str">
        <x:v>Internal source comparison</x:v>
      </x:c>
    </x:row>
    <x:row r="6" ht="54" customHeight="1">
      <x:c r="A6" s="90" t="str">
        <x:v>Critical</x:v>
      </x:c>
      <x:c r="B6" s="90" t="str">
        <x:v>Role-ID conflict</x:v>
      </x:c>
      <x:c r="C6" s="90" t="str">
        <x:v>Workflow material assigns inconsistent IDs/titles (including MSW/SLP), while generated HR-JD-011 is Medical Social Worker.</x:v>
      </x:c>
      <x:c r="D6" s="90" t="str">
        <x:v>All job-description courses</x:v>
      </x:c>
      <x:c r="E6" s="90" t="str">
        <x:v>Approve one authoritative HR-JD index and regenerate taxonomy, crosswalk, content, and workflows from it.</x:v>
      </x:c>
      <x:c r="F6" s="90" t="str">
        <x:v>HR Director + Compliance</x:v>
      </x:c>
      <x:c r="G6" s="90" t="str">
        <x:v>Zero conflicting role IDs across all generated artifacts.</x:v>
      </x:c>
      <x:c r="H6" s="90" t="str">
        <x:v>Internal source comparison</x:v>
      </x:c>
    </x:row>
    <x:row r="7" ht="54" customHeight="1">
      <x:c r="A7" s="90" t="str">
        <x:v>Critical</x:v>
      </x:c>
      <x:c r="B7" s="90" t="str">
        <x:v>Incorrect OASIS/comprehensive-assessment authority</x:v>
      </x:c>
      <x:c r="C7" s="90" t="str">
        <x:v>CL-CA-001/002 and CL-OA-003 say RN-only; current 42 CFR 484.55 permits PT/SLP/OT in qualifying therapy-only cases.</x:v>
      </x:c>
      <x:c r="D7" s="90" t="str">
        <x:v>RN-03; RN-04; PT-03; OT-03; SLP-01; DON-03</x:v>
      </x:c>
      <x:c r="E7" s="90" t="str">
        <x:v>Revise all affected policies and authorization logic to match current federal text and agency service configuration.</x:v>
      </x:c>
      <x:c r="F7" s="90" t="str">
        <x:v>DON + Compliance</x:v>
      </x:c>
      <x:c r="G7" s="90" t="str">
        <x:v>Counsel/clinical owner approves one consistent assessor-eligibility rule.</x:v>
      </x:c>
      <x:c r="H7" s="90" t="str">
        <x:v>https://www.ecfr.gov/current/title-42/part-484/section-484.55</x:v>
      </x:c>
    </x:row>
    <x:row r="8" ht="54" customHeight="1">
      <x:c r="A8" s="90" t="str">
        <x:v>Critical</x:v>
      </x:c>
      <x:c r="B8" s="90" t="str">
        <x:v>Two OASIS policy generations</x:v>
      </x:c>
      <x:c r="C8" s="90" t="str">
        <x:v>CL-OA-001–019 and CL-OA-101 overlap, with inconsistent scope and authority language.</x:v>
      </x:c>
      <x:c r="D8" s="90" t="str">
        <x:v>RN-04; PT-03; OT-03; SLP-01; DON-03</x:v>
      </x:c>
      <x:c r="E8" s="90" t="str">
        <x:v>Designate a canonical OASIS curriculum/source, retire/supersede duplicates, and regenerate mappings.</x:v>
      </x:c>
      <x:c r="F8" s="90" t="str">
        <x:v>DON + Policy Administrator</x:v>
      </x:c>
      <x:c r="G8" s="90" t="str">
        <x:v>One active OASIS source hierarchy; no duplicate quiz assignments.</x:v>
      </x:c>
      <x:c r="H8" s="90" t="str">
        <x:v>Internal source comparison</x:v>
      </x:c>
    </x:row>
    <x:row r="9" ht="54" customHeight="1">
      <x:c r="A9" s="90" t="str">
        <x:v>Critical</x:v>
      </x:c>
      <x:c r="B9" s="90" t="str">
        <x:v>California harassment rule misstated</x:v>
      </x:c>
      <x:c r="C9" s="90" t="str">
        <x:v>HR-ER-004 / HR-TD-001 describe 2 hours annually for all as SB 1343. California minimum is 1 hour nonsupervisory, 2 hours supervisory, within six months and every two years; training must be interactive.</x:v>
      </x:c>
      <x:c r="D9" s="90" t="str">
        <x:v>G-07; ADM-06; DON-08</x:v>
      </x:c>
      <x:c r="E9" s="90" t="str">
        <x:v>Correct the legal statement. If annual training is retained, label it as a stricter agency standard—not the statutory minimum.</x:v>
      </x:c>
      <x:c r="F9" s="90" t="str">
        <x:v>HR Director + Counsel</x:v>
      </x:c>
      <x:c r="G9" s="90" t="str">
        <x:v>Updated policy and LMS durations/cadence by supervisor status.</x:v>
      </x:c>
      <x:c r="H9" s="90" t="str">
        <x:v>https://calcivilrights.ca.gov/Employment/</x:v>
      </x:c>
    </x:row>
    <x:row r="10" ht="54" customHeight="1">
      <x:c r="A10" s="90" t="str">
        <x:v>High</x:v>
      </x:c>
      <x:c r="B10" s="90" t="str">
        <x:v>GV-GB-001 missing from generated content</x:v>
      </x:c>
      <x:c r="C10" s="90" t="str">
        <x:v>The raw governing-body authority policy exists in ALL_POLICIES.md but is absent from allPoliciesContent.generated.ts.</x:v>
      </x:c>
      <x:c r="D10" s="90" t="str">
        <x:v>ADM-01; GB-01</x:v>
      </x:c>
      <x:c r="E10" s="90" t="str">
        <x:v>Restore GV-GB-001 to the generated policy library and assignment source.</x:v>
      </x:c>
      <x:c r="F10" s="90" t="str">
        <x:v>Policy Administrator</x:v>
      </x:c>
      <x:c r="G10" s="90" t="str">
        <x:v>Policy resolves in the app and matches the approved raw source.</x:v>
      </x:c>
      <x:c r="H10" s="90" t="str">
        <x:v>Internal source comparison</x:v>
      </x:c>
    </x:row>
    <x:row r="11" ht="54" customHeight="1">
      <x:c r="A11" s="90" t="str">
        <x:v>High</x:v>
      </x:c>
      <x:c r="B11" s="90" t="str">
        <x:v>IIPP duplicate / broken cross-references</x:v>
      </x:c>
      <x:c r="C11" s="90" t="str">
        <x:v>RM-OS-001 and RM-OS-101 both claim IIPP authority; HR-WM-004 points to RM-OS-101.</x:v>
      </x:c>
      <x:c r="D11" s="90" t="str">
        <x:v>G-05</x:v>
      </x:c>
      <x:c r="E11" s="90" t="str">
        <x:v>Select one controlled IIPP master, update cross-references, and retire the duplicate.</x:v>
      </x:c>
      <x:c r="F11" s="90" t="str">
        <x:v>Safety Officer + HR</x:v>
      </x:c>
      <x:c r="G11" s="90" t="str">
        <x:v>One active IIPP ID and no dangling references.</x:v>
      </x:c>
      <x:c r="H11" s="90" t="str">
        <x:v>https://www.dir.ca.gov/dosh/dosh_publications/TrainingReq.htm</x:v>
      </x:c>
    </x:row>
    <x:row r="12" ht="54" customHeight="1">
      <x:c r="A12" s="90" t="str">
        <x:v>Moderate</x:v>
      </x:c>
      <x:c r="B12" s="90" t="str">
        <x:v>Training timing conflict</x:v>
      </x:c>
      <x:c r="C12" s="90" t="str">
        <x:v>HR-TA-005 uses day 5/day 30; HR-TR-101 uses day 14 and different annual windows.</x:v>
      </x:c>
      <x:c r="D12" s="90" t="str">
        <x:v>All employee pathways</x:v>
      </x:c>
      <x:c r="E12" s="90" t="str">
        <x:v>Approve a single rule: General by day 5, all initial requirements by day 14, role competency by day 30 and always before independent duty/first exposure.</x:v>
      </x:c>
      <x:c r="F12" s="90" t="str">
        <x:v>HR Director + Compliance</x:v>
      </x:c>
      <x:c r="G12" s="90" t="str">
        <x:v>One timetable in policy, LMS due dates, reminders, and reports.</x:v>
      </x:c>
      <x:c r="H12" s="90" t="str">
        <x:v>Internal source comparison</x:v>
      </x:c>
    </x:row>
    <x:row r="13" ht="54" customHeight="1">
      <x:c r="A13" s="90" t="str">
        <x:v>Moderate</x:v>
      </x:c>
      <x:c r="B13" s="90" t="str">
        <x:v>Taxonomy/version drift</x:v>
      </x:c>
      <x:c r="C13" s="90" t="str">
        <x:v>Taxonomy reports 253 policies while the generated library contains 272 active records.</x:v>
      </x:c>
      <x:c r="D13" s="90" t="str">
        <x:v>All pathways / review ledger</x:v>
      </x:c>
      <x:c r="E13" s="90" t="str">
        <x:v>Regenerate taxonomy counts, version metadata, and mappings from the approved policy inventory.</x:v>
      </x:c>
      <x:c r="F13" s="90" t="str">
        <x:v>Policy Administrator</x:v>
      </x:c>
      <x:c r="G13" s="90" t="str">
        <x:v>All inventory counts and versions reconcile to 272 or an approved replacement count.</x:v>
      </x:c>
      <x:c r="H13" s="90" t="str">
        <x:v>Internal source comparison</x:v>
      </x:c>
    </x:row>
  </x:sheetData>
  <x:mergeCells>
    <x:mergeCell ref="A1:H1"/>
    <x:mergeCell ref="A2:H2"/>
  </x:mergeCells>
  <x:conditionalFormatting sqref="A5:A13">
    <x:cfRule type="containsText" dxfId="22" priority="1" operator="containsText" text="Critical"/>
    <x:cfRule type="containsText" dxfId="23" priority="2" operator="containsText" text="High"/>
    <x:cfRule type="containsText" dxfId="24" priority="3" operator="containsText" text="Moderate"/>
  </x:conditionalFormatting>
  <x:pageMargins left="0.7" right="0.7" top="0.75" bottom="0.75" header="0.3" footer="0.3"/>
  <x:tableParts count="1">
    <x:tablePart xmlns:r="http://schemas.openxmlformats.org/officeDocument/2006/relationships" r:id="R60961e584658472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58" hidden="0" customWidth="1"/>
    <x:col min="4" max="4" width="62" hidden="0" customWidth="1"/>
  </x:cols>
  <x:sheetData>
    <x:row r="1" ht="34" customHeight="1">
      <x:c r="A1" s="3" t="str">
        <x:v>Sources &amp; Method</x:v>
      </x:c>
      <x:c r="B1" s="85"/>
      <x:c r="C1" s="85"/>
      <x:c r="D1" s="85"/>
    </x:row>
    <x:row r="2" ht="30" customHeight="1">
      <x:c r="A2" s="7" t="str">
        <x:v>Primary internal corpus plus current federal and California authority used to resolve assignment-sensitive conflicts.</x:v>
      </x:c>
      <x:c r="B2" s="85"/>
      <x:c r="C2" s="85"/>
      <x:c r="D2" s="85"/>
    </x:row>
    <x:row r="3">
      <x:c r="A3" s="85"/>
      <x:c r="B3" s="85"/>
      <x:c r="C3" s="85"/>
      <x:c r="D3" s="85"/>
    </x:row>
    <x:row r="4" ht="32" customHeight="1">
      <x:c r="A4" s="67" t="str">
        <x:v>Source type</x:v>
      </x:c>
      <x:c r="B4" s="68" t="str">
        <x:v>Topic</x:v>
      </x:c>
      <x:c r="C4" s="68" t="str">
        <x:v>Source / URL</x:v>
      </x:c>
      <x:c r="D4" s="69" t="str">
        <x:v>How it was used</x:v>
      </x:c>
    </x:row>
    <x:row r="5" ht="32" customHeight="1">
      <x:c r="A5" s="90" t="str">
        <x:v>Internal</x:v>
      </x:c>
      <x:c r="B5" s="90" t="str">
        <x:v>Full policy corpus</x:v>
      </x:c>
      <x:c r="C5" s="90" t="str">
        <x:v>07-ALL_POLICIES.md</x:v>
      </x:c>
      <x:c r="D5" s="90" t="str">
        <x:v>Reviewed for raw policy bodies and GV-GB-001.</x:v>
      </x:c>
    </x:row>
    <x:row r="6" ht="32" customHeight="1">
      <x:c r="A6" s="90" t="str">
        <x:v>Internal</x:v>
      </x:c>
      <x:c r="B6" s="90" t="str">
        <x:v>Generated policy library</x:v>
      </x:c>
      <x:c r="C6" s="90" t="str">
        <x:v>12-allPoliciesContent.generated.ts</x:v>
      </x:c>
      <x:c r="D6" s="90" t="str">
        <x:v>Parsed 272 unique policy records; primary source for current LMS bodies.</x:v>
      </x:c>
    </x:row>
    <x:row r="7" ht="32" customHeight="1">
      <x:c r="A7" s="90" t="str">
        <x:v>Internal</x:v>
      </x:c>
      <x:c r="B7" s="90" t="str">
        <x:v>Crosswalk</x:v>
      </x:c>
      <x:c r="C7" s="90" t="str">
        <x:v>13-policy_hh_section_map.csv</x:v>
      </x:c>
      <x:c r="D7" s="90" t="str">
        <x:v>Used to identify role-policy references and source gaps; automated HIGH labels were not treated as validation.</x:v>
      </x:c>
    </x:row>
    <x:row r="8" ht="32" customHeight="1">
      <x:c r="A8" s="90" t="str">
        <x:v>Internal</x:v>
      </x:c>
      <x:c r="B8" s="90" t="str">
        <x:v>Alignment generation</x:v>
      </x:c>
      <x:c r="C8" s="90" t="str">
        <x:v>11-corridorAlignment.generated.ts</x:v>
      </x:c>
      <x:c r="D8" s="90" t="str">
        <x:v>Compared for older/coarse mappings and missing-source drift.</x:v>
      </x:c>
    </x:row>
    <x:row r="9" ht="32" customHeight="1">
      <x:c r="A9" s="90" t="str">
        <x:v>Internal</x:v>
      </x:c>
      <x:c r="B9" s="90" t="str">
        <x:v>Assignment governance</x:v>
      </x:c>
      <x:c r="C9" s="90" t="str">
        <x:v>HR-TA-005; HR-TD-001; HR-TR-101; GV-PM-003; EN-LC-003</x:v>
      </x:c>
      <x:c r="D9" s="90" t="str">
        <x:v>Set orientation, assessment, acknowledgment, and role-matrix rules.</x:v>
      </x:c>
    </x:row>
    <x:row r="10" ht="32" customHeight="1">
      <x:c r="A10" s="90" t="str">
        <x:v>Federal</x:v>
      </x:c>
      <x:c r="B10" s="90" t="str">
        <x:v>Comprehensive assessment authority</x:v>
      </x:c>
      <x:c r="C10" s="90" t="str">
        <x:v>https://www.ecfr.gov/current/title-42/part-484/section-484.55</x:v>
      </x:c>
      <x:c r="D10" s="90" t="str">
        <x:v>RN plus specified PT/SLP/OT therapy-only authority.</x:v>
      </x:c>
    </x:row>
    <x:row r="11" ht="32" customHeight="1">
      <x:c r="A11" s="90" t="str">
        <x:v>Federal</x:v>
      </x:c>
      <x:c r="B11" s="90" t="str">
        <x:v>HHA competency / 12-hour in-service</x:v>
      </x:c>
      <x:c r="C11" s="90" t="str">
        <x:v>https://www.ecfr.gov/current/title-42/part-484/section-484.80</x:v>
      </x:c>
      <x:c r="D11" s="90" t="str">
        <x:v>Competency observation and at least 12 in-service hours each 12 months.</x:v>
      </x:c>
    </x:row>
    <x:row r="12" ht="32" customHeight="1">
      <x:c r="A12" s="90" t="str">
        <x:v>Federal</x:v>
      </x:c>
      <x:c r="B12" s="90" t="str">
        <x:v>Emergency preparedness</x:v>
      </x:c>
      <x:c r="C12" s="90" t="str">
        <x:v>https://www.ecfr.gov/current/title-42/part-484/section-484.102</x:v>
      </x:c>
      <x:c r="D12" s="90" t="str">
        <x:v>Initial training; at least every two years; exercises at least annually.</x:v>
      </x:c>
    </x:row>
    <x:row r="13" ht="32" customHeight="1">
      <x:c r="A13" s="90" t="str">
        <x:v>Federal</x:v>
      </x:c>
      <x:c r="B13" s="90" t="str">
        <x:v>HIPAA workforce training</x:v>
      </x:c>
      <x:c r="C13" s="90" t="str">
        <x:v>https://www.ecfr.gov/current/title-45/part-164/section-164.530</x:v>
      </x:c>
      <x:c r="D13" s="90" t="str">
        <x:v>New workforce and material-change training; documentation required.</x:v>
      </x:c>
    </x:row>
    <x:row r="14" ht="32" customHeight="1">
      <x:c r="A14" s="90" t="str">
        <x:v>California</x:v>
      </x:c>
      <x:c r="B14" s="90" t="str">
        <x:v>Harassment prevention</x:v>
      </x:c>
      <x:c r="C14" s="90" t="str">
        <x:v>https://calcivilrights.ca.gov/Employment/</x:v>
      </x:c>
      <x:c r="D14" s="90" t="str">
        <x:v>1 hour nonsupervisory / 2 hours supervisory, within six months and every two years; interactive.</x:v>
      </x:c>
    </x:row>
    <x:row r="15" ht="32" customHeight="1">
      <x:c r="A15" s="90" t="str">
        <x:v>California</x:v>
      </x:c>
      <x:c r="B15" s="90" t="str">
        <x:v>Workplace violence</x:v>
      </x:c>
      <x:c r="C15" s="90" t="str">
        <x:v>https://leginfo.legislature.ca.gov/faces/codes_displaySection.xhtml?lawCode=LAB&amp;sectionNum=6401.9.</x:v>
      </x:c>
      <x:c r="D15" s="90" t="str">
        <x:v>Initial and annual employee training; interactive questions and answers.</x:v>
      </x:c>
    </x:row>
    <x:row r="16" ht="32" customHeight="1">
      <x:c r="A16" s="90" t="str">
        <x:v>California</x:v>
      </x:c>
      <x:c r="B16" s="90" t="str">
        <x:v>Bloodborne pathogens</x:v>
      </x:c>
      <x:c r="C16" s="90" t="str">
        <x:v>https://www.dir.ca.gov/title8/5193.html</x:v>
      </x:c>
      <x:c r="D16" s="90" t="str">
        <x:v>Initial and annual training for employees with occupational exposure.</x:v>
      </x:c>
    </x:row>
    <x:row r="17" ht="32" customHeight="1">
      <x:c r="A17" s="90" t="str">
        <x:v>California</x:v>
      </x:c>
      <x:c r="B17" s="90" t="str">
        <x:v>Aerosol transmissible diseases</x:v>
      </x:c>
      <x:c r="C17" s="90" t="str">
        <x:v>https://www.dir.ca.gov/title8/5199.html</x:v>
      </x:c>
      <x:c r="D17" s="90" t="str">
        <x:v>Initial and annual training for covered occupational exposure.</x:v>
      </x:c>
    </x:row>
    <x:row r="18">
      <x:c r="A18" s="90"/>
      <x:c r="B18" s="90"/>
      <x:c r="C18" s="90"/>
      <x:c r="D18" s="90"/>
    </x:row>
    <x:row r="19">
      <x:c r="A19" s="90"/>
      <x:c r="B19" s="90"/>
      <x:c r="C19" s="90"/>
      <x:c r="D19" s="90"/>
    </x:row>
    <x:row r="20">
      <x:c r="A20" s="105" t="str">
        <x:v>Method rule</x:v>
      </x:c>
      <x:c r="B20" s="105"/>
      <x:c r="C20" s="105"/>
      <x:c r="D20" s="105"/>
    </x:row>
    <x:row r="21">
      <x:c r="A21" s="96" t="str">
        <x:v>Policy applicability was based on the actual policy scope/training language, the authoritative orientation and annual-training policies, role duties, and current governing authority—not the generated crosswalk's automated confidence label. Every listed assignment requires full-policy reading plus a bundled scored quiz. Additional competency evidence remains mandatory where the policy or regulation requires it. This map is intentionally limited to General plus LVN, RN, HHA, PT, PTA, OT, COTA, SLP, MSW, Administrator, DON/Clinical Manager, and Governing Body pathways.</x:v>
      </x:c>
      <x:c r="B21" s="97"/>
      <x:c r="C21" s="97"/>
      <x:c r="D21" s="98"/>
    </x:row>
    <x:row r="22">
      <x:c r="A22" s="99"/>
      <x:c r="B22" s="100"/>
      <x:c r="C22" s="100"/>
      <x:c r="D22" s="101"/>
    </x:row>
    <x:row r="23">
      <x:c r="A23" s="99"/>
      <x:c r="B23" s="100"/>
      <x:c r="C23" s="100"/>
      <x:c r="D23" s="101"/>
    </x:row>
    <x:row r="24">
      <x:c r="A24" s="99"/>
      <x:c r="B24" s="100"/>
      <x:c r="C24" s="100"/>
      <x:c r="D24" s="101"/>
    </x:row>
    <x:row r="25">
      <x:c r="A25" s="102"/>
      <x:c r="B25" s="103"/>
      <x:c r="C25" s="103"/>
      <x:c r="D25" s="104"/>
    </x:row>
  </x:sheetData>
  <x:mergeCells>
    <x:mergeCell ref="A1:D1"/>
    <x:mergeCell ref="A2:D2"/>
    <x:mergeCell ref="A20:D20"/>
    <x:mergeCell ref="A21:D25"/>
  </x:mergeCells>
  <x:pageMargins left="0.7" right="0.7" top="0.75" bottom="0.75" header="0.3" footer="0.3"/>
  <x:tableParts count="1">
    <x:tablePart xmlns:r="http://schemas.openxmlformats.org/officeDocument/2006/relationships" r:id="Rd6ef41a209944396"/>
  </x:tableParts>
</x:worksheet>
</file>